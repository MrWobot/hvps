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360" yWindow="45" windowWidth="13395" windowHeight="3930" tabRatio="615"/>
  </bookViews>
  <sheets>
    <sheet name="Driver And Controller" sheetId="1" r:id="rId1"/>
    <sheet name="Villard Diode PCB Calcs" sheetId="2" r:id="rId2"/>
    <sheet name="Villard Capacitor PCB Calcs" sheetId="3" r:id="rId3"/>
    <sheet name="Villard Capacitor Bleeder Calcs" sheetId="4" r:id="rId4"/>
    <sheet name="Output Series Compsite Resistor" sheetId="5" r:id="rId5"/>
    <sheet name="Regenerative snubber design" sheetId="6" r:id="rId6"/>
    <sheet name="Active Cooling" sheetId="8" r:id="rId7"/>
    <sheet name="Sheet3" sheetId="9" r:id="rId8"/>
  </sheets>
  <calcPr calcId="144525"/>
</workbook>
</file>

<file path=xl/calcChain.xml><?xml version="1.0" encoding="utf-8"?>
<calcChain xmlns="http://schemas.openxmlformats.org/spreadsheetml/2006/main">
  <c r="D235" i="1" l="1"/>
  <c r="D234" i="1"/>
  <c r="D233" i="1"/>
  <c r="I228" i="1"/>
  <c r="J228" i="1"/>
  <c r="K228" i="1"/>
  <c r="L228" i="1"/>
  <c r="M228" i="1"/>
  <c r="N228" i="1"/>
  <c r="O228" i="1"/>
  <c r="P228" i="1"/>
  <c r="Q228" i="1"/>
  <c r="R228" i="1"/>
  <c r="S228" i="1"/>
  <c r="T228" i="1"/>
  <c r="U228" i="1"/>
  <c r="V228" i="1"/>
  <c r="W228" i="1"/>
  <c r="X228" i="1"/>
  <c r="Y228" i="1"/>
  <c r="Z228" i="1"/>
  <c r="AA228" i="1"/>
  <c r="AB228" i="1"/>
  <c r="AC228" i="1"/>
  <c r="AD228" i="1"/>
  <c r="AE228" i="1"/>
  <c r="AF228" i="1"/>
  <c r="AG228" i="1"/>
  <c r="AH228" i="1"/>
  <c r="AI228" i="1"/>
  <c r="AJ228" i="1"/>
  <c r="AK228" i="1"/>
  <c r="AL228" i="1"/>
  <c r="AM228" i="1"/>
  <c r="AN228" i="1"/>
  <c r="AO228" i="1"/>
  <c r="AP228" i="1"/>
  <c r="AQ228" i="1"/>
  <c r="AR228" i="1"/>
  <c r="AS228" i="1"/>
  <c r="AT228" i="1"/>
  <c r="AU228" i="1"/>
  <c r="AV228" i="1"/>
  <c r="AW228" i="1"/>
  <c r="AX228" i="1"/>
  <c r="AY228" i="1"/>
  <c r="AZ228" i="1"/>
  <c r="BA228" i="1"/>
  <c r="BB228" i="1"/>
  <c r="BC228" i="1"/>
  <c r="BD228" i="1"/>
  <c r="BE228" i="1"/>
  <c r="BF228" i="1"/>
  <c r="BG228" i="1"/>
  <c r="BH228" i="1"/>
  <c r="BI228" i="1"/>
  <c r="BJ228" i="1"/>
  <c r="BK228" i="1"/>
  <c r="BL228" i="1"/>
  <c r="BM228" i="1"/>
  <c r="BN228" i="1"/>
  <c r="BO228" i="1"/>
  <c r="BP228" i="1"/>
  <c r="BQ228" i="1"/>
  <c r="BR228" i="1"/>
  <c r="BS228" i="1"/>
  <c r="BT228" i="1"/>
  <c r="BU228" i="1"/>
  <c r="BV228" i="1"/>
  <c r="BW228" i="1"/>
  <c r="BX228" i="1"/>
  <c r="BY228" i="1"/>
  <c r="BZ228" i="1"/>
  <c r="CA228" i="1"/>
  <c r="CB228" i="1"/>
  <c r="CC228" i="1"/>
  <c r="CD228" i="1"/>
  <c r="CE228" i="1"/>
  <c r="CF228" i="1"/>
  <c r="CG228" i="1"/>
  <c r="CH228" i="1"/>
  <c r="CI228" i="1"/>
  <c r="CJ228" i="1"/>
  <c r="CK228" i="1"/>
  <c r="CL228" i="1"/>
  <c r="CM228" i="1"/>
  <c r="CN228" i="1"/>
  <c r="CO228" i="1"/>
  <c r="CP228" i="1"/>
  <c r="CQ228" i="1"/>
  <c r="CR228" i="1"/>
  <c r="CS228" i="1"/>
  <c r="CT228" i="1"/>
  <c r="CU228" i="1"/>
  <c r="CV228" i="1"/>
  <c r="CW228" i="1"/>
  <c r="CX228" i="1"/>
  <c r="CY228" i="1"/>
  <c r="CZ228" i="1"/>
  <c r="DA228" i="1"/>
  <c r="DB228" i="1"/>
  <c r="H228" i="1"/>
  <c r="D230" i="1"/>
  <c r="D231" i="1" s="1"/>
  <c r="D232" i="1" s="1"/>
  <c r="F228" i="1"/>
  <c r="F229" i="1"/>
  <c r="D216" i="1"/>
  <c r="D185" i="1"/>
  <c r="D17" i="1"/>
  <c r="G226" i="1"/>
  <c r="G225" i="1"/>
  <c r="G224" i="1"/>
  <c r="G229" i="1" s="1"/>
  <c r="D215" i="1"/>
  <c r="F223" i="1"/>
  <c r="BP223" i="1" s="1"/>
  <c r="D218" i="1"/>
  <c r="D217" i="1"/>
  <c r="D221" i="1" s="1"/>
  <c r="D212" i="1"/>
  <c r="D211" i="1"/>
  <c r="D210" i="1"/>
  <c r="D153" i="1"/>
  <c r="H224" i="1" l="1"/>
  <c r="CU223" i="1"/>
  <c r="T223" i="1"/>
  <c r="R223" i="1"/>
  <c r="AV223" i="1"/>
  <c r="BO223" i="1"/>
  <c r="CT223" i="1"/>
  <c r="S223" i="1"/>
  <c r="AD223" i="1"/>
  <c r="BI223" i="1"/>
  <c r="CR223" i="1"/>
  <c r="Q223" i="1"/>
  <c r="AR223" i="1"/>
  <c r="CA223" i="1"/>
  <c r="BG223" i="1"/>
  <c r="CP223" i="1"/>
  <c r="BF223" i="1"/>
  <c r="BY223" i="1"/>
  <c r="BE223" i="1"/>
  <c r="DA223" i="1"/>
  <c r="X223" i="1"/>
  <c r="P223" i="1"/>
  <c r="CL223" i="1"/>
  <c r="CJ223" i="1"/>
  <c r="AU223" i="1"/>
  <c r="CD223" i="1"/>
  <c r="AT223" i="1"/>
  <c r="CC223" i="1"/>
  <c r="AS223" i="1"/>
  <c r="CB223" i="1"/>
  <c r="AB223" i="1"/>
  <c r="AA223" i="1"/>
  <c r="CO223" i="1"/>
  <c r="AO223" i="1"/>
  <c r="CN223" i="1"/>
  <c r="AN223" i="1"/>
  <c r="BW223" i="1"/>
  <c r="BC223" i="1"/>
  <c r="W223" i="1"/>
  <c r="CY223" i="1"/>
  <c r="BB223" i="1"/>
  <c r="V223" i="1"/>
  <c r="BU223" i="1"/>
  <c r="N223" i="1"/>
  <c r="AK223" i="1"/>
  <c r="BT223" i="1"/>
  <c r="BS223" i="1"/>
  <c r="L223" i="1"/>
  <c r="AY223" i="1"/>
  <c r="CH223" i="1"/>
  <c r="BN223" i="1"/>
  <c r="AX223" i="1"/>
  <c r="AH223" i="1"/>
  <c r="CW223" i="1"/>
  <c r="CG223" i="1"/>
  <c r="BQ223" i="1"/>
  <c r="BL223" i="1"/>
  <c r="AF223" i="1"/>
  <c r="CE223" i="1"/>
  <c r="BK223" i="1"/>
  <c r="AE223" i="1"/>
  <c r="BJ223" i="1"/>
  <c r="CS223" i="1"/>
  <c r="AC223" i="1"/>
  <c r="BH223" i="1"/>
  <c r="CQ223" i="1"/>
  <c r="AQ223" i="1"/>
  <c r="BZ223" i="1"/>
  <c r="AP223" i="1"/>
  <c r="Z223" i="1"/>
  <c r="DB223" i="1"/>
  <c r="Y223" i="1"/>
  <c r="BX223" i="1"/>
  <c r="BD223" i="1"/>
  <c r="CM223" i="1"/>
  <c r="CZ223" i="1"/>
  <c r="AM223" i="1"/>
  <c r="BV223" i="1"/>
  <c r="O223" i="1"/>
  <c r="AL223" i="1"/>
  <c r="CK223" i="1"/>
  <c r="CX223" i="1"/>
  <c r="BA223" i="1"/>
  <c r="U223" i="1"/>
  <c r="M223" i="1"/>
  <c r="AZ223" i="1"/>
  <c r="AJ223" i="1"/>
  <c r="CI223" i="1"/>
  <c r="AI223" i="1"/>
  <c r="BR223" i="1"/>
  <c r="BM223" i="1"/>
  <c r="AW223" i="1"/>
  <c r="AG223" i="1"/>
  <c r="CV223" i="1"/>
  <c r="CF223" i="1"/>
  <c r="DI160" i="1"/>
  <c r="DJ160" i="1"/>
  <c r="DK160" i="1"/>
  <c r="DL160" i="1" s="1"/>
  <c r="DM160" i="1" s="1"/>
  <c r="DN160" i="1" s="1"/>
  <c r="DO160" i="1" s="1"/>
  <c r="DP160" i="1" s="1"/>
  <c r="DQ160" i="1" s="1"/>
  <c r="DR160" i="1" s="1"/>
  <c r="DS160" i="1" s="1"/>
  <c r="DT160" i="1" s="1"/>
  <c r="DU160" i="1" s="1"/>
  <c r="DV160" i="1" s="1"/>
  <c r="DW160" i="1" s="1"/>
  <c r="DX160" i="1" s="1"/>
  <c r="DY160" i="1" s="1"/>
  <c r="DZ160" i="1" s="1"/>
  <c r="EA160" i="1" s="1"/>
  <c r="EB160" i="1" s="1"/>
  <c r="EC160" i="1" s="1"/>
  <c r="ED160" i="1" s="1"/>
  <c r="EE160" i="1" s="1"/>
  <c r="EF160" i="1" s="1"/>
  <c r="EG160" i="1" s="1"/>
  <c r="EH160" i="1" s="1"/>
  <c r="EI160" i="1" s="1"/>
  <c r="EJ160" i="1" s="1"/>
  <c r="EK160" i="1" s="1"/>
  <c r="EL160" i="1" s="1"/>
  <c r="EM160" i="1" s="1"/>
  <c r="EN160" i="1" s="1"/>
  <c r="EO160" i="1" s="1"/>
  <c r="EP160" i="1" s="1"/>
  <c r="EQ160" i="1" s="1"/>
  <c r="ER160" i="1" s="1"/>
  <c r="ES160" i="1" s="1"/>
  <c r="ET160" i="1" s="1"/>
  <c r="EU160" i="1" s="1"/>
  <c r="EV160" i="1" s="1"/>
  <c r="EW160" i="1" s="1"/>
  <c r="EX160" i="1" s="1"/>
  <c r="EY160" i="1" s="1"/>
  <c r="EZ160" i="1" s="1"/>
  <c r="FA160" i="1" s="1"/>
  <c r="FB160" i="1" s="1"/>
  <c r="FC160" i="1" s="1"/>
  <c r="FD160" i="1" s="1"/>
  <c r="FE160" i="1" s="1"/>
  <c r="FF160" i="1" s="1"/>
  <c r="FG160" i="1" s="1"/>
  <c r="FH160" i="1" s="1"/>
  <c r="FI160" i="1" s="1"/>
  <c r="FJ160" i="1" s="1"/>
  <c r="FK160" i="1" s="1"/>
  <c r="FL160" i="1" s="1"/>
  <c r="FM160" i="1" s="1"/>
  <c r="FN160" i="1" s="1"/>
  <c r="FO160" i="1" s="1"/>
  <c r="FP160" i="1" s="1"/>
  <c r="FQ160" i="1" s="1"/>
  <c r="FR160" i="1" s="1"/>
  <c r="FS160" i="1" s="1"/>
  <c r="FT160" i="1" s="1"/>
  <c r="FU160" i="1" s="1"/>
  <c r="FV160" i="1" s="1"/>
  <c r="FW160" i="1" s="1"/>
  <c r="FX160" i="1" s="1"/>
  <c r="FY160" i="1" s="1"/>
  <c r="FZ160" i="1" s="1"/>
  <c r="GA160" i="1" s="1"/>
  <c r="GB160" i="1" s="1"/>
  <c r="GC160" i="1" s="1"/>
  <c r="GD160" i="1" s="1"/>
  <c r="GE160" i="1" s="1"/>
  <c r="GF160" i="1" s="1"/>
  <c r="GG160" i="1" s="1"/>
  <c r="GH160" i="1" s="1"/>
  <c r="GI160" i="1" s="1"/>
  <c r="GJ160" i="1" s="1"/>
  <c r="GK160" i="1" s="1"/>
  <c r="GL160" i="1" s="1"/>
  <c r="GM160" i="1" s="1"/>
  <c r="GN160" i="1" s="1"/>
  <c r="GO160" i="1" s="1"/>
  <c r="GP160" i="1" s="1"/>
  <c r="GQ160" i="1" s="1"/>
  <c r="DG160" i="1"/>
  <c r="G227" i="1"/>
  <c r="H227" i="1" s="1"/>
  <c r="I227" i="1" s="1"/>
  <c r="J227" i="1" s="1"/>
  <c r="K227" i="1" s="1"/>
  <c r="CW160" i="1"/>
  <c r="CX160" i="1"/>
  <c r="CY160" i="1"/>
  <c r="CZ160" i="1"/>
  <c r="DA160" i="1"/>
  <c r="DB160" i="1"/>
  <c r="DC160" i="1"/>
  <c r="DD160" i="1"/>
  <c r="DE160" i="1"/>
  <c r="DF160" i="1"/>
  <c r="D148" i="1"/>
  <c r="D214" i="1" s="1"/>
  <c r="D213" i="1"/>
  <c r="H223" i="1"/>
  <c r="I223" i="1"/>
  <c r="J223" i="1"/>
  <c r="K223" i="1"/>
  <c r="Q160" i="1"/>
  <c r="R160" i="1"/>
  <c r="S160" i="1"/>
  <c r="T160" i="1"/>
  <c r="U160" i="1"/>
  <c r="V160" i="1"/>
  <c r="W160" i="1"/>
  <c r="X160" i="1"/>
  <c r="Y160" i="1"/>
  <c r="Z160" i="1"/>
  <c r="AA160" i="1"/>
  <c r="AB160" i="1"/>
  <c r="AC160" i="1"/>
  <c r="AD160" i="1"/>
  <c r="AE160" i="1"/>
  <c r="AF160" i="1"/>
  <c r="AG160" i="1"/>
  <c r="AH160" i="1"/>
  <c r="AI160" i="1"/>
  <c r="AJ160" i="1"/>
  <c r="AK160" i="1"/>
  <c r="AL160" i="1"/>
  <c r="AM160" i="1"/>
  <c r="AN160" i="1"/>
  <c r="AO160" i="1"/>
  <c r="AP160" i="1"/>
  <c r="AQ160" i="1"/>
  <c r="AR160" i="1"/>
  <c r="AS160" i="1"/>
  <c r="AT160" i="1"/>
  <c r="AU160" i="1"/>
  <c r="AV160" i="1"/>
  <c r="AW160" i="1"/>
  <c r="AX160" i="1"/>
  <c r="AY160" i="1"/>
  <c r="AZ160" i="1"/>
  <c r="BA160" i="1"/>
  <c r="BB160" i="1"/>
  <c r="BC160" i="1"/>
  <c r="BD160" i="1"/>
  <c r="BE160" i="1"/>
  <c r="BF160" i="1"/>
  <c r="BG160" i="1"/>
  <c r="BH160" i="1"/>
  <c r="BI160" i="1"/>
  <c r="BJ160" i="1"/>
  <c r="BK160" i="1"/>
  <c r="BL160" i="1"/>
  <c r="BM160" i="1"/>
  <c r="BN160" i="1"/>
  <c r="BO160" i="1"/>
  <c r="BP160" i="1"/>
  <c r="BQ160" i="1"/>
  <c r="BR160" i="1"/>
  <c r="BS160" i="1"/>
  <c r="BT160" i="1"/>
  <c r="BU160" i="1"/>
  <c r="BV160" i="1"/>
  <c r="BW160" i="1"/>
  <c r="BX160" i="1"/>
  <c r="BY160" i="1"/>
  <c r="BZ160" i="1"/>
  <c r="CA160" i="1"/>
  <c r="CB160" i="1"/>
  <c r="CC160" i="1"/>
  <c r="CD160" i="1"/>
  <c r="CE160" i="1"/>
  <c r="CF160" i="1"/>
  <c r="CG160" i="1"/>
  <c r="CH160" i="1"/>
  <c r="CI160" i="1"/>
  <c r="CJ160" i="1"/>
  <c r="CK160" i="1"/>
  <c r="CL160" i="1"/>
  <c r="CM160" i="1"/>
  <c r="CN160" i="1"/>
  <c r="CO160" i="1"/>
  <c r="CP160" i="1"/>
  <c r="CQ160" i="1"/>
  <c r="CR160" i="1"/>
  <c r="CS160" i="1"/>
  <c r="CT160" i="1"/>
  <c r="CU160" i="1"/>
  <c r="CV160" i="1"/>
  <c r="G223" i="1"/>
  <c r="G222" i="1"/>
  <c r="H222" i="1" s="1"/>
  <c r="I222" i="1" s="1"/>
  <c r="J222" i="1" s="1"/>
  <c r="K222" i="1" s="1"/>
  <c r="D220" i="1"/>
  <c r="G228" i="1" s="1"/>
  <c r="D219" i="1"/>
  <c r="D146" i="1"/>
  <c r="Q164" i="1" l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AG164" i="1" s="1"/>
  <c r="AH164" i="1" s="1"/>
  <c r="AI164" i="1" s="1"/>
  <c r="AJ164" i="1" s="1"/>
  <c r="AK164" i="1" s="1"/>
  <c r="AL164" i="1" s="1"/>
  <c r="AM164" i="1" s="1"/>
  <c r="AN164" i="1" s="1"/>
  <c r="AO164" i="1" s="1"/>
  <c r="AP164" i="1" s="1"/>
  <c r="AQ164" i="1" s="1"/>
  <c r="AR164" i="1" s="1"/>
  <c r="AS164" i="1" s="1"/>
  <c r="AT164" i="1" s="1"/>
  <c r="AU164" i="1" s="1"/>
  <c r="AV164" i="1" s="1"/>
  <c r="AW164" i="1" s="1"/>
  <c r="AX164" i="1" s="1"/>
  <c r="AY164" i="1" s="1"/>
  <c r="AZ164" i="1" s="1"/>
  <c r="BA164" i="1" s="1"/>
  <c r="BB164" i="1" s="1"/>
  <c r="BC164" i="1" s="1"/>
  <c r="BD164" i="1" s="1"/>
  <c r="BE164" i="1" s="1"/>
  <c r="BF164" i="1" s="1"/>
  <c r="BG164" i="1" s="1"/>
  <c r="BH164" i="1" s="1"/>
  <c r="BI164" i="1" s="1"/>
  <c r="BJ164" i="1" s="1"/>
  <c r="BK164" i="1" s="1"/>
  <c r="BL164" i="1" s="1"/>
  <c r="BM164" i="1" s="1"/>
  <c r="BN164" i="1" s="1"/>
  <c r="BO164" i="1" s="1"/>
  <c r="BP164" i="1" s="1"/>
  <c r="BQ164" i="1" s="1"/>
  <c r="BR164" i="1" s="1"/>
  <c r="BS164" i="1" s="1"/>
  <c r="BT164" i="1" s="1"/>
  <c r="BU164" i="1" s="1"/>
  <c r="BV164" i="1" s="1"/>
  <c r="BW164" i="1" s="1"/>
  <c r="BX164" i="1" s="1"/>
  <c r="BY164" i="1" s="1"/>
  <c r="BZ164" i="1" s="1"/>
  <c r="CA164" i="1" s="1"/>
  <c r="CB164" i="1" s="1"/>
  <c r="CC164" i="1" s="1"/>
  <c r="CD164" i="1" s="1"/>
  <c r="CE164" i="1" s="1"/>
  <c r="CF164" i="1" s="1"/>
  <c r="CG164" i="1" s="1"/>
  <c r="CH164" i="1" s="1"/>
  <c r="CI164" i="1" s="1"/>
  <c r="CJ164" i="1" s="1"/>
  <c r="CK164" i="1" s="1"/>
  <c r="CL164" i="1" s="1"/>
  <c r="CM164" i="1" s="1"/>
  <c r="CN164" i="1" s="1"/>
  <c r="CO164" i="1" s="1"/>
  <c r="CP164" i="1" s="1"/>
  <c r="CQ164" i="1" s="1"/>
  <c r="CR164" i="1" s="1"/>
  <c r="CS164" i="1" s="1"/>
  <c r="CT164" i="1" s="1"/>
  <c r="CU164" i="1" s="1"/>
  <c r="CV164" i="1" s="1"/>
  <c r="CW164" i="1" s="1"/>
  <c r="CX164" i="1" s="1"/>
  <c r="CY164" i="1" s="1"/>
  <c r="CZ164" i="1" s="1"/>
  <c r="DA164" i="1" s="1"/>
  <c r="DB164" i="1" s="1"/>
  <c r="DC164" i="1" s="1"/>
  <c r="DD164" i="1" s="1"/>
  <c r="DE164" i="1" s="1"/>
  <c r="DF164" i="1" s="1"/>
  <c r="DG164" i="1" s="1"/>
  <c r="DH164" i="1" s="1"/>
  <c r="DI164" i="1" s="1"/>
  <c r="DJ164" i="1" s="1"/>
  <c r="DK164" i="1" s="1"/>
  <c r="DL164" i="1" s="1"/>
  <c r="DM164" i="1" s="1"/>
  <c r="DN164" i="1" s="1"/>
  <c r="DO164" i="1" s="1"/>
  <c r="DP164" i="1" s="1"/>
  <c r="DQ164" i="1" s="1"/>
  <c r="DR164" i="1" s="1"/>
  <c r="DS164" i="1" s="1"/>
  <c r="DT164" i="1" s="1"/>
  <c r="DU164" i="1" s="1"/>
  <c r="DV164" i="1" s="1"/>
  <c r="DW164" i="1" s="1"/>
  <c r="DX164" i="1" s="1"/>
  <c r="DY164" i="1" s="1"/>
  <c r="DZ164" i="1" s="1"/>
  <c r="EA164" i="1" s="1"/>
  <c r="EB164" i="1" s="1"/>
  <c r="EC164" i="1" s="1"/>
  <c r="ED164" i="1" s="1"/>
  <c r="EE164" i="1" s="1"/>
  <c r="EF164" i="1" s="1"/>
  <c r="EG164" i="1" s="1"/>
  <c r="EH164" i="1" s="1"/>
  <c r="EI164" i="1" s="1"/>
  <c r="EJ164" i="1" s="1"/>
  <c r="EK164" i="1" s="1"/>
  <c r="EL164" i="1" s="1"/>
  <c r="EM164" i="1" s="1"/>
  <c r="EN164" i="1" s="1"/>
  <c r="EO164" i="1" s="1"/>
  <c r="EP164" i="1" s="1"/>
  <c r="EQ164" i="1" s="1"/>
  <c r="ER164" i="1" s="1"/>
  <c r="ES164" i="1" s="1"/>
  <c r="ET164" i="1" s="1"/>
  <c r="EU164" i="1" s="1"/>
  <c r="EV164" i="1" s="1"/>
  <c r="EW164" i="1" s="1"/>
  <c r="EX164" i="1" s="1"/>
  <c r="EY164" i="1" s="1"/>
  <c r="EZ164" i="1" s="1"/>
  <c r="FA164" i="1" s="1"/>
  <c r="FB164" i="1" s="1"/>
  <c r="FC164" i="1" s="1"/>
  <c r="FD164" i="1" s="1"/>
  <c r="FE164" i="1" s="1"/>
  <c r="FF164" i="1" s="1"/>
  <c r="FG164" i="1" s="1"/>
  <c r="FH164" i="1" s="1"/>
  <c r="FI164" i="1" s="1"/>
  <c r="FJ164" i="1" s="1"/>
  <c r="FK164" i="1" s="1"/>
  <c r="FL164" i="1" s="1"/>
  <c r="FM164" i="1" s="1"/>
  <c r="FN164" i="1" s="1"/>
  <c r="FO164" i="1" s="1"/>
  <c r="FP164" i="1" s="1"/>
  <c r="FQ164" i="1" s="1"/>
  <c r="FR164" i="1" s="1"/>
  <c r="FS164" i="1" s="1"/>
  <c r="FT164" i="1" s="1"/>
  <c r="FU164" i="1" s="1"/>
  <c r="FV164" i="1" s="1"/>
  <c r="FW164" i="1" s="1"/>
  <c r="FX164" i="1" s="1"/>
  <c r="FY164" i="1" s="1"/>
  <c r="FZ164" i="1" s="1"/>
  <c r="GA164" i="1" s="1"/>
  <c r="GB164" i="1" s="1"/>
  <c r="GC164" i="1" s="1"/>
  <c r="GD164" i="1" s="1"/>
  <c r="GE164" i="1" s="1"/>
  <c r="GF164" i="1" s="1"/>
  <c r="GG164" i="1" s="1"/>
  <c r="GH164" i="1" s="1"/>
  <c r="GI164" i="1" s="1"/>
  <c r="GJ164" i="1" s="1"/>
  <c r="GK164" i="1" s="1"/>
  <c r="GL164" i="1" s="1"/>
  <c r="GM164" i="1" s="1"/>
  <c r="GN164" i="1" s="1"/>
  <c r="GO164" i="1" s="1"/>
  <c r="GP164" i="1" s="1"/>
  <c r="GQ164" i="1" s="1"/>
  <c r="L227" i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AG227" i="1" s="1"/>
  <c r="AH227" i="1" s="1"/>
  <c r="AI227" i="1" s="1"/>
  <c r="AJ227" i="1" s="1"/>
  <c r="AK227" i="1" s="1"/>
  <c r="AL227" i="1" s="1"/>
  <c r="AM227" i="1" s="1"/>
  <c r="AN227" i="1" s="1"/>
  <c r="AO227" i="1" s="1"/>
  <c r="AP227" i="1" s="1"/>
  <c r="AQ227" i="1" s="1"/>
  <c r="AR227" i="1" s="1"/>
  <c r="AS227" i="1" s="1"/>
  <c r="AT227" i="1" s="1"/>
  <c r="AU227" i="1" s="1"/>
  <c r="AV227" i="1" s="1"/>
  <c r="AW227" i="1" s="1"/>
  <c r="AX227" i="1" s="1"/>
  <c r="AY227" i="1" s="1"/>
  <c r="AZ227" i="1" s="1"/>
  <c r="BA227" i="1" s="1"/>
  <c r="BB227" i="1" s="1"/>
  <c r="BC227" i="1" s="1"/>
  <c r="BD227" i="1" s="1"/>
  <c r="BE227" i="1" s="1"/>
  <c r="BF227" i="1" s="1"/>
  <c r="BG227" i="1" s="1"/>
  <c r="BH227" i="1" s="1"/>
  <c r="BI227" i="1" s="1"/>
  <c r="BJ227" i="1" s="1"/>
  <c r="BK227" i="1" s="1"/>
  <c r="BL227" i="1" s="1"/>
  <c r="BM227" i="1" s="1"/>
  <c r="BN227" i="1" s="1"/>
  <c r="BO227" i="1" s="1"/>
  <c r="BP227" i="1" s="1"/>
  <c r="BQ227" i="1" s="1"/>
  <c r="BR227" i="1" s="1"/>
  <c r="BS227" i="1" s="1"/>
  <c r="BT227" i="1" s="1"/>
  <c r="BU227" i="1" s="1"/>
  <c r="BV227" i="1" s="1"/>
  <c r="BW227" i="1" s="1"/>
  <c r="BX227" i="1" s="1"/>
  <c r="BY227" i="1" s="1"/>
  <c r="BZ227" i="1" s="1"/>
  <c r="CA227" i="1" s="1"/>
  <c r="CB227" i="1" s="1"/>
  <c r="CC227" i="1" s="1"/>
  <c r="CD227" i="1" s="1"/>
  <c r="CE227" i="1" s="1"/>
  <c r="CF227" i="1" s="1"/>
  <c r="CG227" i="1" s="1"/>
  <c r="CH227" i="1" s="1"/>
  <c r="CI227" i="1" s="1"/>
  <c r="CJ227" i="1" s="1"/>
  <c r="CK227" i="1" s="1"/>
  <c r="CL227" i="1" s="1"/>
  <c r="CM227" i="1" s="1"/>
  <c r="CN227" i="1" s="1"/>
  <c r="CO227" i="1" s="1"/>
  <c r="CP227" i="1" s="1"/>
  <c r="CQ227" i="1" s="1"/>
  <c r="CR227" i="1" s="1"/>
  <c r="CS227" i="1" s="1"/>
  <c r="CT227" i="1" s="1"/>
  <c r="CU227" i="1" s="1"/>
  <c r="CV227" i="1" s="1"/>
  <c r="CW227" i="1" s="1"/>
  <c r="CX227" i="1" s="1"/>
  <c r="CY227" i="1" s="1"/>
  <c r="CZ227" i="1" s="1"/>
  <c r="DA227" i="1" s="1"/>
  <c r="DB227" i="1" s="1"/>
  <c r="H229" i="1"/>
  <c r="Q159" i="1"/>
  <c r="R159" i="1" s="1"/>
  <c r="S159" i="1" s="1"/>
  <c r="T159" i="1" s="1"/>
  <c r="U159" i="1" s="1"/>
  <c r="V159" i="1" s="1"/>
  <c r="W159" i="1" s="1"/>
  <c r="X159" i="1" s="1"/>
  <c r="Y159" i="1" s="1"/>
  <c r="Z159" i="1" s="1"/>
  <c r="AA159" i="1" s="1"/>
  <c r="AB159" i="1" s="1"/>
  <c r="AC159" i="1" s="1"/>
  <c r="AD159" i="1" s="1"/>
  <c r="AE159" i="1" s="1"/>
  <c r="AF159" i="1" s="1"/>
  <c r="AG159" i="1" s="1"/>
  <c r="AH159" i="1" s="1"/>
  <c r="AI159" i="1" s="1"/>
  <c r="AJ159" i="1" s="1"/>
  <c r="AK159" i="1" s="1"/>
  <c r="AL159" i="1" s="1"/>
  <c r="AM159" i="1" s="1"/>
  <c r="AN159" i="1" s="1"/>
  <c r="AO159" i="1" s="1"/>
  <c r="AP159" i="1" s="1"/>
  <c r="AQ159" i="1" s="1"/>
  <c r="AR159" i="1" s="1"/>
  <c r="AS159" i="1" s="1"/>
  <c r="AT159" i="1" s="1"/>
  <c r="AU159" i="1" s="1"/>
  <c r="AV159" i="1" s="1"/>
  <c r="AW159" i="1" s="1"/>
  <c r="AX159" i="1" s="1"/>
  <c r="AY159" i="1" s="1"/>
  <c r="AZ159" i="1" s="1"/>
  <c r="BA159" i="1" s="1"/>
  <c r="BB159" i="1" s="1"/>
  <c r="BC159" i="1" s="1"/>
  <c r="BD159" i="1" s="1"/>
  <c r="BE159" i="1" s="1"/>
  <c r="BF159" i="1" s="1"/>
  <c r="BG159" i="1" s="1"/>
  <c r="BH159" i="1" s="1"/>
  <c r="BI159" i="1" s="1"/>
  <c r="BJ159" i="1" s="1"/>
  <c r="BK159" i="1" s="1"/>
  <c r="BL159" i="1" s="1"/>
  <c r="BM159" i="1" s="1"/>
  <c r="BN159" i="1" s="1"/>
  <c r="BO159" i="1" s="1"/>
  <c r="BP159" i="1" s="1"/>
  <c r="BQ159" i="1" s="1"/>
  <c r="BR159" i="1" s="1"/>
  <c r="BS159" i="1" s="1"/>
  <c r="BT159" i="1" s="1"/>
  <c r="BU159" i="1" s="1"/>
  <c r="BV159" i="1" s="1"/>
  <c r="BW159" i="1" s="1"/>
  <c r="BX159" i="1" s="1"/>
  <c r="BY159" i="1" s="1"/>
  <c r="BZ159" i="1" s="1"/>
  <c r="CA159" i="1" s="1"/>
  <c r="CB159" i="1" s="1"/>
  <c r="CC159" i="1" s="1"/>
  <c r="CD159" i="1" s="1"/>
  <c r="CE159" i="1" s="1"/>
  <c r="CF159" i="1" s="1"/>
  <c r="CG159" i="1" s="1"/>
  <c r="CH159" i="1" s="1"/>
  <c r="CI159" i="1" s="1"/>
  <c r="CJ159" i="1" s="1"/>
  <c r="CK159" i="1" s="1"/>
  <c r="CL159" i="1" s="1"/>
  <c r="CM159" i="1" s="1"/>
  <c r="CN159" i="1" s="1"/>
  <c r="CO159" i="1" s="1"/>
  <c r="CP159" i="1" s="1"/>
  <c r="CQ159" i="1" s="1"/>
  <c r="CR159" i="1" s="1"/>
  <c r="CS159" i="1" s="1"/>
  <c r="CT159" i="1" s="1"/>
  <c r="CU159" i="1" s="1"/>
  <c r="CV159" i="1" s="1"/>
  <c r="CW159" i="1" s="1"/>
  <c r="CX159" i="1" s="1"/>
  <c r="CY159" i="1" s="1"/>
  <c r="CZ159" i="1" s="1"/>
  <c r="DA159" i="1" s="1"/>
  <c r="DB159" i="1" s="1"/>
  <c r="DC159" i="1" s="1"/>
  <c r="DD159" i="1" s="1"/>
  <c r="DE159" i="1" s="1"/>
  <c r="DF159" i="1" s="1"/>
  <c r="DG159" i="1" s="1"/>
  <c r="DH159" i="1" s="1"/>
  <c r="DI159" i="1" s="1"/>
  <c r="DJ159" i="1" s="1"/>
  <c r="DK159" i="1" s="1"/>
  <c r="DL159" i="1" s="1"/>
  <c r="DM159" i="1" s="1"/>
  <c r="DN159" i="1" s="1"/>
  <c r="DO159" i="1" s="1"/>
  <c r="DP159" i="1" s="1"/>
  <c r="DQ159" i="1" s="1"/>
  <c r="DR159" i="1" s="1"/>
  <c r="DS159" i="1" s="1"/>
  <c r="DT159" i="1" s="1"/>
  <c r="DU159" i="1" s="1"/>
  <c r="DV159" i="1" s="1"/>
  <c r="DW159" i="1" s="1"/>
  <c r="DX159" i="1" s="1"/>
  <c r="DY159" i="1" s="1"/>
  <c r="DZ159" i="1" s="1"/>
  <c r="EA159" i="1" s="1"/>
  <c r="EB159" i="1" s="1"/>
  <c r="EC159" i="1" s="1"/>
  <c r="ED159" i="1" s="1"/>
  <c r="EE159" i="1" s="1"/>
  <c r="EF159" i="1" s="1"/>
  <c r="EG159" i="1" s="1"/>
  <c r="EH159" i="1" s="1"/>
  <c r="EI159" i="1" s="1"/>
  <c r="EJ159" i="1" s="1"/>
  <c r="EK159" i="1" s="1"/>
  <c r="EL159" i="1" s="1"/>
  <c r="EM159" i="1" s="1"/>
  <c r="EN159" i="1" s="1"/>
  <c r="EO159" i="1" s="1"/>
  <c r="EP159" i="1" s="1"/>
  <c r="EQ159" i="1" s="1"/>
  <c r="ER159" i="1" s="1"/>
  <c r="ES159" i="1" s="1"/>
  <c r="ET159" i="1" s="1"/>
  <c r="EU159" i="1" s="1"/>
  <c r="EV159" i="1" s="1"/>
  <c r="EW159" i="1" s="1"/>
  <c r="EX159" i="1" s="1"/>
  <c r="EY159" i="1" s="1"/>
  <c r="EZ159" i="1" s="1"/>
  <c r="FA159" i="1" s="1"/>
  <c r="FB159" i="1" s="1"/>
  <c r="FC159" i="1" s="1"/>
  <c r="FD159" i="1" s="1"/>
  <c r="FE159" i="1" s="1"/>
  <c r="FF159" i="1" s="1"/>
  <c r="FG159" i="1" s="1"/>
  <c r="FH159" i="1" s="1"/>
  <c r="FI159" i="1" s="1"/>
  <c r="FJ159" i="1" s="1"/>
  <c r="FK159" i="1" s="1"/>
  <c r="FL159" i="1" s="1"/>
  <c r="FM159" i="1" s="1"/>
  <c r="FN159" i="1" s="1"/>
  <c r="FO159" i="1" s="1"/>
  <c r="FP159" i="1" s="1"/>
  <c r="FQ159" i="1" s="1"/>
  <c r="FR159" i="1" s="1"/>
  <c r="FS159" i="1" s="1"/>
  <c r="FT159" i="1" s="1"/>
  <c r="FU159" i="1" s="1"/>
  <c r="FV159" i="1" s="1"/>
  <c r="FW159" i="1" s="1"/>
  <c r="FX159" i="1" s="1"/>
  <c r="FY159" i="1" s="1"/>
  <c r="FZ159" i="1" s="1"/>
  <c r="GA159" i="1" s="1"/>
  <c r="GB159" i="1" s="1"/>
  <c r="GC159" i="1" s="1"/>
  <c r="GD159" i="1" s="1"/>
  <c r="GE159" i="1" s="1"/>
  <c r="GF159" i="1" s="1"/>
  <c r="GG159" i="1" s="1"/>
  <c r="GH159" i="1" s="1"/>
  <c r="GI159" i="1" s="1"/>
  <c r="GJ159" i="1" s="1"/>
  <c r="GK159" i="1" s="1"/>
  <c r="GL159" i="1" s="1"/>
  <c r="GM159" i="1" s="1"/>
  <c r="GN159" i="1" s="1"/>
  <c r="GO159" i="1" s="1"/>
  <c r="GP159" i="1" s="1"/>
  <c r="GQ159" i="1" s="1"/>
  <c r="L222" i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AG222" i="1" s="1"/>
  <c r="AH222" i="1" s="1"/>
  <c r="AI222" i="1" s="1"/>
  <c r="AJ222" i="1" s="1"/>
  <c r="AK222" i="1" s="1"/>
  <c r="AL222" i="1" s="1"/>
  <c r="AM222" i="1" s="1"/>
  <c r="AN222" i="1" s="1"/>
  <c r="AO222" i="1" s="1"/>
  <c r="AP222" i="1" s="1"/>
  <c r="AQ222" i="1" s="1"/>
  <c r="AR222" i="1" s="1"/>
  <c r="AS222" i="1" s="1"/>
  <c r="AT222" i="1" s="1"/>
  <c r="AU222" i="1" s="1"/>
  <c r="AV222" i="1" s="1"/>
  <c r="AW222" i="1" s="1"/>
  <c r="AX222" i="1" s="1"/>
  <c r="AY222" i="1" s="1"/>
  <c r="AZ222" i="1" s="1"/>
  <c r="BA222" i="1" s="1"/>
  <c r="BB222" i="1" s="1"/>
  <c r="BC222" i="1" s="1"/>
  <c r="BD222" i="1" s="1"/>
  <c r="BE222" i="1" s="1"/>
  <c r="BF222" i="1" s="1"/>
  <c r="BG222" i="1" s="1"/>
  <c r="BH222" i="1" s="1"/>
  <c r="BI222" i="1" s="1"/>
  <c r="BJ222" i="1" s="1"/>
  <c r="BK222" i="1" s="1"/>
  <c r="BL222" i="1" s="1"/>
  <c r="BM222" i="1" s="1"/>
  <c r="BN222" i="1" s="1"/>
  <c r="BO222" i="1" s="1"/>
  <c r="BP222" i="1" s="1"/>
  <c r="BQ222" i="1" s="1"/>
  <c r="BR222" i="1" s="1"/>
  <c r="BS222" i="1" s="1"/>
  <c r="BT222" i="1" s="1"/>
  <c r="BU222" i="1" s="1"/>
  <c r="BV222" i="1" s="1"/>
  <c r="BW222" i="1" s="1"/>
  <c r="BX222" i="1" s="1"/>
  <c r="BY222" i="1" s="1"/>
  <c r="BZ222" i="1" s="1"/>
  <c r="CA222" i="1" s="1"/>
  <c r="CB222" i="1" s="1"/>
  <c r="CC222" i="1" s="1"/>
  <c r="CD222" i="1" s="1"/>
  <c r="CE222" i="1" s="1"/>
  <c r="CF222" i="1" s="1"/>
  <c r="CG222" i="1" s="1"/>
  <c r="CH222" i="1" s="1"/>
  <c r="CI222" i="1" s="1"/>
  <c r="CJ222" i="1" s="1"/>
  <c r="CK222" i="1" s="1"/>
  <c r="CL222" i="1" s="1"/>
  <c r="CM222" i="1" s="1"/>
  <c r="CN222" i="1" s="1"/>
  <c r="CO222" i="1" s="1"/>
  <c r="CP222" i="1" s="1"/>
  <c r="CQ222" i="1" s="1"/>
  <c r="CR222" i="1" s="1"/>
  <c r="CS222" i="1" s="1"/>
  <c r="CT222" i="1" s="1"/>
  <c r="CU222" i="1" s="1"/>
  <c r="CV222" i="1" s="1"/>
  <c r="CW222" i="1" s="1"/>
  <c r="CX222" i="1" s="1"/>
  <c r="CY222" i="1" s="1"/>
  <c r="CZ222" i="1" s="1"/>
  <c r="DA222" i="1" s="1"/>
  <c r="DB222" i="1" s="1"/>
  <c r="D116" i="1"/>
  <c r="D78" i="1"/>
  <c r="D79" i="1"/>
  <c r="D80" i="1"/>
  <c r="D82" i="1"/>
  <c r="D81" i="1"/>
  <c r="D62" i="1"/>
  <c r="D63" i="1"/>
  <c r="D64" i="1"/>
  <c r="D67" i="1" s="1"/>
  <c r="D69" i="1"/>
  <c r="D29" i="1"/>
  <c r="D30" i="1"/>
  <c r="D51" i="1" s="1"/>
  <c r="D23" i="1"/>
  <c r="D35" i="1" s="1"/>
  <c r="D34" i="1"/>
  <c r="H226" i="1" l="1"/>
  <c r="H225" i="1"/>
  <c r="D83" i="1"/>
  <c r="D84" i="1"/>
  <c r="D52" i="1"/>
  <c r="D72" i="1"/>
  <c r="D70" i="1"/>
  <c r="D71" i="1" s="1"/>
  <c r="D68" i="1"/>
  <c r="D36" i="1"/>
  <c r="I224" i="1" l="1"/>
  <c r="I229" i="1" s="1"/>
  <c r="I225" i="1"/>
  <c r="I226" i="1"/>
  <c r="D86" i="1"/>
  <c r="D87" i="1" s="1"/>
  <c r="D88" i="1" s="1"/>
  <c r="D85" i="1"/>
  <c r="D109" i="1"/>
  <c r="J224" i="1" l="1"/>
  <c r="J229" i="1" s="1"/>
  <c r="J226" i="1"/>
  <c r="J225" i="1"/>
  <c r="D461" i="1"/>
  <c r="K224" i="1" l="1"/>
  <c r="K226" i="1"/>
  <c r="K225" i="1"/>
  <c r="E737" i="1"/>
  <c r="E736" i="1"/>
  <c r="L224" i="1" l="1"/>
  <c r="L229" i="1" s="1"/>
  <c r="K229" i="1"/>
  <c r="L225" i="1"/>
  <c r="Q162" i="1"/>
  <c r="Q161" i="1"/>
  <c r="L226" i="1"/>
  <c r="Q163" i="1"/>
  <c r="E740" i="1"/>
  <c r="E741" i="1" s="1"/>
  <c r="E723" i="1"/>
  <c r="E717" i="1"/>
  <c r="E719" i="1" s="1"/>
  <c r="D329" i="1"/>
  <c r="D397" i="1" s="1"/>
  <c r="D327" i="1"/>
  <c r="E730" i="1"/>
  <c r="D399" i="1" s="1"/>
  <c r="D401" i="1" s="1"/>
  <c r="D398" i="1"/>
  <c r="F725" i="1"/>
  <c r="E714" i="1"/>
  <c r="M224" i="1" l="1"/>
  <c r="M229" i="1" s="1"/>
  <c r="Q165" i="1"/>
  <c r="R163" i="1"/>
  <c r="R162" i="1"/>
  <c r="M226" i="1"/>
  <c r="R161" i="1"/>
  <c r="M225" i="1"/>
  <c r="D402" i="1"/>
  <c r="E718" i="1"/>
  <c r="E720" i="1"/>
  <c r="G714" i="1"/>
  <c r="N714" i="1"/>
  <c r="M714" i="1"/>
  <c r="L714" i="1"/>
  <c r="K714" i="1"/>
  <c r="J714" i="1"/>
  <c r="I714" i="1"/>
  <c r="H714" i="1"/>
  <c r="D589" i="1"/>
  <c r="D598" i="1"/>
  <c r="D594" i="1"/>
  <c r="D593" i="1"/>
  <c r="D599" i="1"/>
  <c r="D572" i="1"/>
  <c r="D571" i="1"/>
  <c r="D567" i="1"/>
  <c r="D577" i="1" s="1"/>
  <c r="N224" i="1" l="1"/>
  <c r="N229" i="1" s="1"/>
  <c r="S161" i="1"/>
  <c r="N225" i="1"/>
  <c r="N226" i="1"/>
  <c r="S162" i="1"/>
  <c r="R165" i="1"/>
  <c r="S163" i="1"/>
  <c r="D603" i="1"/>
  <c r="D604" i="1" s="1"/>
  <c r="H722" i="1"/>
  <c r="H725" i="1" s="1"/>
  <c r="J722" i="1"/>
  <c r="J725" i="1" s="1"/>
  <c r="N722" i="1"/>
  <c r="N725" i="1" s="1"/>
  <c r="I722" i="1"/>
  <c r="I725" i="1" s="1"/>
  <c r="K722" i="1"/>
  <c r="K725" i="1" s="1"/>
  <c r="L722" i="1"/>
  <c r="L725" i="1" s="1"/>
  <c r="M722" i="1"/>
  <c r="M725" i="1" s="1"/>
  <c r="G722" i="1"/>
  <c r="G725" i="1" s="1"/>
  <c r="E722" i="1"/>
  <c r="E725" i="1" s="1"/>
  <c r="D595" i="1"/>
  <c r="D597" i="1"/>
  <c r="D605" i="1" s="1"/>
  <c r="D600" i="1"/>
  <c r="D601" i="1" s="1"/>
  <c r="D575" i="1"/>
  <c r="D582" i="1" s="1"/>
  <c r="D573" i="1"/>
  <c r="D271" i="1"/>
  <c r="D272" i="1" s="1"/>
  <c r="D273" i="1" s="1"/>
  <c r="D284" i="1"/>
  <c r="D283" i="1"/>
  <c r="D285" i="1" s="1"/>
  <c r="O224" i="1" l="1"/>
  <c r="O229" i="1" s="1"/>
  <c r="S165" i="1"/>
  <c r="T163" i="1"/>
  <c r="T162" i="1"/>
  <c r="T161" i="1"/>
  <c r="O226" i="1"/>
  <c r="O225" i="1"/>
  <c r="P224" i="1" s="1"/>
  <c r="P229" i="1" s="1"/>
  <c r="D608" i="1"/>
  <c r="D602" i="1"/>
  <c r="D606" i="1"/>
  <c r="D607" i="1"/>
  <c r="D287" i="1"/>
  <c r="D289" i="1" s="1"/>
  <c r="D286" i="1"/>
  <c r="D288" i="1" s="1"/>
  <c r="D290" i="1" s="1"/>
  <c r="U161" i="1" l="1"/>
  <c r="P225" i="1"/>
  <c r="P226" i="1"/>
  <c r="U162" i="1"/>
  <c r="T165" i="1"/>
  <c r="U163" i="1"/>
  <c r="D291" i="1"/>
  <c r="D115" i="1"/>
  <c r="Q224" i="1" l="1"/>
  <c r="Q229" i="1" s="1"/>
  <c r="U165" i="1"/>
  <c r="V163" i="1"/>
  <c r="V162" i="1"/>
  <c r="V161" i="1"/>
  <c r="Q226" i="1"/>
  <c r="Q225" i="1"/>
  <c r="R224" i="1" s="1"/>
  <c r="R229" i="1" s="1"/>
  <c r="AF131" i="1"/>
  <c r="AE131" i="1"/>
  <c r="AD131" i="1"/>
  <c r="AC131" i="1"/>
  <c r="AB131" i="1"/>
  <c r="AA131" i="1"/>
  <c r="Z131" i="1"/>
  <c r="Y131" i="1"/>
  <c r="X131" i="1"/>
  <c r="W131" i="1"/>
  <c r="V131" i="1"/>
  <c r="U131" i="1"/>
  <c r="T131" i="1"/>
  <c r="S131" i="1"/>
  <c r="P131" i="1"/>
  <c r="Q131" i="1"/>
  <c r="R131" i="1"/>
  <c r="O131" i="1"/>
  <c r="D184" i="1"/>
  <c r="D194" i="1" s="1"/>
  <c r="D112" i="1"/>
  <c r="D111" i="1"/>
  <c r="D110" i="1"/>
  <c r="W161" i="1" l="1"/>
  <c r="R225" i="1"/>
  <c r="R226" i="1"/>
  <c r="W162" i="1"/>
  <c r="V165" i="1"/>
  <c r="W163" i="1"/>
  <c r="D124" i="1"/>
  <c r="D122" i="1"/>
  <c r="D123" i="1" s="1"/>
  <c r="D135" i="1"/>
  <c r="D119" i="1"/>
  <c r="D340" i="1"/>
  <c r="D345" i="1" s="1"/>
  <c r="D350" i="1"/>
  <c r="D316" i="1"/>
  <c r="D315" i="1"/>
  <c r="D297" i="1"/>
  <c r="D374" i="1" s="1"/>
  <c r="D296" i="1"/>
  <c r="D312" i="1" s="1"/>
  <c r="D295" i="1"/>
  <c r="D335" i="1" s="1"/>
  <c r="S224" i="1" l="1"/>
  <c r="S229" i="1" s="1"/>
  <c r="W165" i="1"/>
  <c r="X163" i="1"/>
  <c r="X162" i="1"/>
  <c r="X161" i="1"/>
  <c r="S226" i="1"/>
  <c r="S225" i="1"/>
  <c r="D317" i="1"/>
  <c r="D319" i="1" s="1"/>
  <c r="D320" i="1" s="1"/>
  <c r="D341" i="1"/>
  <c r="D342" i="1" s="1"/>
  <c r="D343" i="1" s="1"/>
  <c r="D393" i="1"/>
  <c r="D394" i="1" s="1"/>
  <c r="D395" i="1" s="1"/>
  <c r="D306" i="1"/>
  <c r="D308" i="1" s="1"/>
  <c r="D322" i="1"/>
  <c r="D330" i="1" s="1"/>
  <c r="E701" i="1"/>
  <c r="E702" i="1" s="1"/>
  <c r="E704" i="1" s="1"/>
  <c r="E688" i="1"/>
  <c r="E689" i="1" s="1"/>
  <c r="E690" i="1" s="1"/>
  <c r="E694" i="1"/>
  <c r="E695" i="1" s="1"/>
  <c r="E697" i="1" s="1"/>
  <c r="E683" i="1"/>
  <c r="E684" i="1" s="1"/>
  <c r="E685" i="1" s="1"/>
  <c r="E678" i="1"/>
  <c r="E679" i="1" s="1"/>
  <c r="E680" i="1" s="1"/>
  <c r="C457" i="1"/>
  <c r="T224" i="1" l="1"/>
  <c r="T229" i="1" s="1"/>
  <c r="T225" i="1"/>
  <c r="Y161" i="1"/>
  <c r="T226" i="1"/>
  <c r="Y162" i="1"/>
  <c r="X165" i="1"/>
  <c r="Y163" i="1"/>
  <c r="D382" i="1"/>
  <c r="D318" i="1"/>
  <c r="D346" i="1"/>
  <c r="D348" i="1" s="1"/>
  <c r="D323" i="1"/>
  <c r="D354" i="1" s="1"/>
  <c r="D355" i="1" s="1"/>
  <c r="D356" i="1" s="1"/>
  <c r="D361" i="1"/>
  <c r="D364" i="1" s="1"/>
  <c r="D372" i="1" s="1"/>
  <c r="D351" i="1"/>
  <c r="D352" i="1" s="1"/>
  <c r="D365" i="1"/>
  <c r="D331" i="1"/>
  <c r="D336" i="1" s="1"/>
  <c r="D387" i="1"/>
  <c r="E696" i="1"/>
  <c r="E703" i="1"/>
  <c r="U224" i="1" l="1"/>
  <c r="U229" i="1" s="1"/>
  <c r="Y165" i="1"/>
  <c r="Z163" i="1"/>
  <c r="Z162" i="1"/>
  <c r="U226" i="1"/>
  <c r="U225" i="1"/>
  <c r="V224" i="1" s="1"/>
  <c r="V229" i="1" s="1"/>
  <c r="Z161" i="1"/>
  <c r="AA161" i="1" s="1"/>
  <c r="D389" i="1"/>
  <c r="D391" i="1" s="1"/>
  <c r="D353" i="1"/>
  <c r="D421" i="1"/>
  <c r="D423" i="1"/>
  <c r="D448" i="1" s="1"/>
  <c r="D450" i="1" s="1"/>
  <c r="V225" i="1" l="1"/>
  <c r="V226" i="1"/>
  <c r="AA162" i="1"/>
  <c r="Z165" i="1"/>
  <c r="AA163" i="1"/>
  <c r="D426" i="1"/>
  <c r="D444" i="1" s="1"/>
  <c r="D451" i="1"/>
  <c r="C451" i="1"/>
  <c r="C453" i="1" s="1"/>
  <c r="C454" i="1" s="1"/>
  <c r="D422" i="1"/>
  <c r="E667" i="1"/>
  <c r="E669" i="1" s="1"/>
  <c r="E665" i="1"/>
  <c r="E660" i="1"/>
  <c r="H674" i="1" s="1"/>
  <c r="I674" i="1" s="1"/>
  <c r="J674" i="1" s="1"/>
  <c r="W224" i="1" l="1"/>
  <c r="W229" i="1" s="1"/>
  <c r="AB161" i="1"/>
  <c r="AA165" i="1"/>
  <c r="AB163" i="1"/>
  <c r="AB162" i="1"/>
  <c r="W226" i="1"/>
  <c r="W225" i="1"/>
  <c r="X224" i="1" s="1"/>
  <c r="X229" i="1" s="1"/>
  <c r="E451" i="1"/>
  <c r="D453" i="1"/>
  <c r="D454" i="1" s="1"/>
  <c r="D431" i="1"/>
  <c r="D432" i="1" s="1"/>
  <c r="D442" i="1" s="1"/>
  <c r="D439" i="1"/>
  <c r="E666" i="1"/>
  <c r="E671" i="1"/>
  <c r="E672" i="1" s="1"/>
  <c r="H667" i="1"/>
  <c r="I667" i="1" s="1"/>
  <c r="J667" i="1" s="1"/>
  <c r="H668" i="1"/>
  <c r="I668" i="1" s="1"/>
  <c r="J668" i="1" s="1"/>
  <c r="H669" i="1"/>
  <c r="I669" i="1" s="1"/>
  <c r="J669" i="1" s="1"/>
  <c r="H675" i="1"/>
  <c r="I675" i="1" s="1"/>
  <c r="J675" i="1" s="1"/>
  <c r="H676" i="1"/>
  <c r="I676" i="1" s="1"/>
  <c r="J676" i="1" s="1"/>
  <c r="H677" i="1"/>
  <c r="I677" i="1" s="1"/>
  <c r="J677" i="1" s="1"/>
  <c r="H678" i="1"/>
  <c r="I678" i="1" s="1"/>
  <c r="J678" i="1" s="1"/>
  <c r="H679" i="1"/>
  <c r="I679" i="1" s="1"/>
  <c r="J679" i="1" s="1"/>
  <c r="H681" i="1"/>
  <c r="I681" i="1" s="1"/>
  <c r="J681" i="1" s="1"/>
  <c r="H672" i="1"/>
  <c r="I672" i="1" s="1"/>
  <c r="J672" i="1" s="1"/>
  <c r="H670" i="1"/>
  <c r="I670" i="1" s="1"/>
  <c r="J670" i="1" s="1"/>
  <c r="E662" i="1"/>
  <c r="H671" i="1"/>
  <c r="I671" i="1" s="1"/>
  <c r="J671" i="1" s="1"/>
  <c r="H673" i="1"/>
  <c r="I673" i="1" s="1"/>
  <c r="J673" i="1" s="1"/>
  <c r="AC162" i="1" l="1"/>
  <c r="X225" i="1"/>
  <c r="X226" i="1"/>
  <c r="AB165" i="1"/>
  <c r="AC163" i="1"/>
  <c r="AC161" i="1"/>
  <c r="D435" i="1"/>
  <c r="C455" i="1"/>
  <c r="D455" i="1"/>
  <c r="F451" i="1"/>
  <c r="E453" i="1"/>
  <c r="E454" i="1" s="1"/>
  <c r="E455" i="1" s="1"/>
  <c r="Y224" i="1" l="1"/>
  <c r="Y229" i="1" s="1"/>
  <c r="Y225" i="1"/>
  <c r="AD161" i="1"/>
  <c r="AD162" i="1"/>
  <c r="AC165" i="1"/>
  <c r="AD163" i="1"/>
  <c r="Y226" i="1"/>
  <c r="G451" i="1"/>
  <c r="F453" i="1"/>
  <c r="F454" i="1" s="1"/>
  <c r="F455" i="1" s="1"/>
  <c r="E633" i="1"/>
  <c r="E638" i="1" s="1"/>
  <c r="E639" i="1" s="1"/>
  <c r="E650" i="1"/>
  <c r="E651" i="1"/>
  <c r="E652" i="1" s="1"/>
  <c r="Z224" i="1" l="1"/>
  <c r="Z229" i="1" s="1"/>
  <c r="Z226" i="1"/>
  <c r="Z225" i="1"/>
  <c r="AA224" i="1" s="1"/>
  <c r="AA229" i="1" s="1"/>
  <c r="AE163" i="1"/>
  <c r="AD165" i="1"/>
  <c r="AE162" i="1"/>
  <c r="AE161" i="1"/>
  <c r="AF161" i="1" s="1"/>
  <c r="H451" i="1"/>
  <c r="G453" i="1"/>
  <c r="G454" i="1" s="1"/>
  <c r="G455" i="1" s="1"/>
  <c r="E654" i="1"/>
  <c r="E655" i="1" s="1"/>
  <c r="D540" i="1"/>
  <c r="D539" i="1"/>
  <c r="D533" i="1"/>
  <c r="D538" i="1" s="1"/>
  <c r="AA225" i="1" l="1"/>
  <c r="AE165" i="1"/>
  <c r="AF163" i="1"/>
  <c r="AF162" i="1"/>
  <c r="AA226" i="1"/>
  <c r="H453" i="1"/>
  <c r="H454" i="1" s="1"/>
  <c r="H455" i="1" s="1"/>
  <c r="I451" i="1"/>
  <c r="D543" i="1"/>
  <c r="D542" i="1"/>
  <c r="D612" i="1"/>
  <c r="D613" i="1" s="1"/>
  <c r="D614" i="1" s="1"/>
  <c r="D576" i="1"/>
  <c r="D580" i="1" s="1"/>
  <c r="D581" i="1" s="1"/>
  <c r="D410" i="1"/>
  <c r="D409" i="1"/>
  <c r="AB224" i="1" l="1"/>
  <c r="AB229" i="1" s="1"/>
  <c r="AG162" i="1"/>
  <c r="AB226" i="1"/>
  <c r="AB225" i="1"/>
  <c r="AC224" i="1" s="1"/>
  <c r="AC229" i="1" s="1"/>
  <c r="AF165" i="1"/>
  <c r="AG163" i="1"/>
  <c r="AG161" i="1"/>
  <c r="I453" i="1"/>
  <c r="I454" i="1" s="1"/>
  <c r="I455" i="1" s="1"/>
  <c r="J451" i="1"/>
  <c r="D578" i="1"/>
  <c r="D579" i="1" s="1"/>
  <c r="D585" i="1" s="1"/>
  <c r="D412" i="1"/>
  <c r="AC225" i="1" l="1"/>
  <c r="AH161" i="1"/>
  <c r="AH162" i="1"/>
  <c r="AG165" i="1"/>
  <c r="AH163" i="1"/>
  <c r="AC226" i="1"/>
  <c r="D584" i="1"/>
  <c r="D583" i="1"/>
  <c r="K451" i="1"/>
  <c r="J453" i="1"/>
  <c r="J454" i="1" s="1"/>
  <c r="J455" i="1" s="1"/>
  <c r="F553" i="1"/>
  <c r="G553" i="1"/>
  <c r="H553" i="1"/>
  <c r="F554" i="1"/>
  <c r="G554" i="1"/>
  <c r="H554" i="1"/>
  <c r="E556" i="1"/>
  <c r="F556" i="1"/>
  <c r="F558" i="1" s="1"/>
  <c r="G556" i="1"/>
  <c r="G558" i="1" s="1"/>
  <c r="H556" i="1"/>
  <c r="H557" i="1" s="1"/>
  <c r="D556" i="1"/>
  <c r="E547" i="1"/>
  <c r="E550" i="1" s="1"/>
  <c r="J550" i="1"/>
  <c r="F551" i="1"/>
  <c r="G551" i="1"/>
  <c r="H551" i="1"/>
  <c r="I551" i="1"/>
  <c r="H550" i="1"/>
  <c r="I550" i="1"/>
  <c r="F550" i="1"/>
  <c r="G550" i="1"/>
  <c r="AD224" i="1" l="1"/>
  <c r="AD229" i="1" s="1"/>
  <c r="AI162" i="1"/>
  <c r="AD226" i="1"/>
  <c r="AI163" i="1"/>
  <c r="AH165" i="1"/>
  <c r="AI161" i="1"/>
  <c r="AJ161" i="1" s="1"/>
  <c r="AD225" i="1"/>
  <c r="AE225" i="1" s="1"/>
  <c r="F557" i="1"/>
  <c r="L451" i="1"/>
  <c r="K453" i="1"/>
  <c r="K454" i="1" s="1"/>
  <c r="K455" i="1" s="1"/>
  <c r="G557" i="1"/>
  <c r="E554" i="1"/>
  <c r="E557" i="1"/>
  <c r="E551" i="1"/>
  <c r="H558" i="1"/>
  <c r="E553" i="1"/>
  <c r="E558" i="1"/>
  <c r="AE224" i="1" l="1"/>
  <c r="AE229" i="1" s="1"/>
  <c r="AI165" i="1"/>
  <c r="AJ163" i="1"/>
  <c r="AJ162" i="1"/>
  <c r="AK162" i="1" s="1"/>
  <c r="AE226" i="1"/>
  <c r="M451" i="1"/>
  <c r="L453" i="1"/>
  <c r="L454" i="1" s="1"/>
  <c r="L455" i="1" s="1"/>
  <c r="AF224" i="1" l="1"/>
  <c r="AF229" i="1" s="1"/>
  <c r="AF226" i="1"/>
  <c r="AJ165" i="1"/>
  <c r="AK163" i="1"/>
  <c r="AK161" i="1"/>
  <c r="AL161" i="1" s="1"/>
  <c r="AF225" i="1"/>
  <c r="N451" i="1"/>
  <c r="M453" i="1"/>
  <c r="M454" i="1" s="1"/>
  <c r="M455" i="1" s="1"/>
  <c r="AG224" i="1" l="1"/>
  <c r="AG229" i="1" s="1"/>
  <c r="AG225" i="1"/>
  <c r="AK165" i="1"/>
  <c r="AL163" i="1"/>
  <c r="AG226" i="1"/>
  <c r="AL162" i="1"/>
  <c r="AM162" i="1" s="1"/>
  <c r="O451" i="1"/>
  <c r="N453" i="1"/>
  <c r="N454" i="1" s="1"/>
  <c r="N455" i="1" s="1"/>
  <c r="AH224" i="1" l="1"/>
  <c r="AH226" i="1"/>
  <c r="AM161" i="1"/>
  <c r="AL165" i="1"/>
  <c r="AM163" i="1"/>
  <c r="AH225" i="1"/>
  <c r="P451" i="1"/>
  <c r="O453" i="1"/>
  <c r="O454" i="1" s="1"/>
  <c r="O455" i="1" s="1"/>
  <c r="AI224" i="1" l="1"/>
  <c r="AI229" i="1" s="1"/>
  <c r="AH229" i="1"/>
  <c r="AI225" i="1"/>
  <c r="AM165" i="1"/>
  <c r="AN163" i="1"/>
  <c r="AN161" i="1"/>
  <c r="AI226" i="1"/>
  <c r="AJ224" i="1" s="1"/>
  <c r="AJ229" i="1" s="1"/>
  <c r="AN162" i="1"/>
  <c r="Q451" i="1"/>
  <c r="P453" i="1"/>
  <c r="P454" i="1" s="1"/>
  <c r="P455" i="1" s="1"/>
  <c r="AO162" i="1" l="1"/>
  <c r="AJ226" i="1"/>
  <c r="AO161" i="1"/>
  <c r="AN165" i="1"/>
  <c r="AO163" i="1"/>
  <c r="AJ225" i="1"/>
  <c r="AK225" i="1" s="1"/>
  <c r="Q453" i="1"/>
  <c r="Q454" i="1" s="1"/>
  <c r="Q455" i="1" s="1"/>
  <c r="R451" i="1"/>
  <c r="T11" i="6"/>
  <c r="U18" i="6" s="1"/>
  <c r="T10" i="6"/>
  <c r="T8" i="6"/>
  <c r="T16" i="6"/>
  <c r="AK224" i="1" l="1"/>
  <c r="AK229" i="1" s="1"/>
  <c r="AP161" i="1"/>
  <c r="AO165" i="1"/>
  <c r="AP163" i="1"/>
  <c r="AK226" i="1"/>
  <c r="AP162" i="1"/>
  <c r="AQ162" i="1" s="1"/>
  <c r="S451" i="1"/>
  <c r="R453" i="1"/>
  <c r="R454" i="1" s="1"/>
  <c r="R455" i="1" s="1"/>
  <c r="T18" i="6"/>
  <c r="D519" i="1"/>
  <c r="D518" i="1"/>
  <c r="D513" i="1"/>
  <c r="D512" i="1"/>
  <c r="D507" i="1"/>
  <c r="D6" i="1"/>
  <c r="E659" i="1" s="1"/>
  <c r="E664" i="1" s="1"/>
  <c r="D5" i="1"/>
  <c r="D511" i="1"/>
  <c r="D508" i="1"/>
  <c r="AL224" i="1" l="1"/>
  <c r="AL229" i="1" s="1"/>
  <c r="AL226" i="1"/>
  <c r="AP165" i="1"/>
  <c r="AQ163" i="1"/>
  <c r="AL225" i="1"/>
  <c r="AM225" i="1" s="1"/>
  <c r="AQ161" i="1"/>
  <c r="D114" i="1"/>
  <c r="D259" i="1"/>
  <c r="T451" i="1"/>
  <c r="S453" i="1"/>
  <c r="S454" i="1" s="1"/>
  <c r="S455" i="1" s="1"/>
  <c r="D547" i="1"/>
  <c r="D551" i="1" s="1"/>
  <c r="E658" i="1"/>
  <c r="D520" i="1"/>
  <c r="D526" i="1" s="1"/>
  <c r="D530" i="1"/>
  <c r="D529" i="1"/>
  <c r="D528" i="1" s="1"/>
  <c r="D485" i="1"/>
  <c r="D486" i="1" s="1"/>
  <c r="D522" i="1"/>
  <c r="D525" i="1" s="1"/>
  <c r="D521" i="1"/>
  <c r="D527" i="1" s="1"/>
  <c r="D514" i="1"/>
  <c r="D515" i="1"/>
  <c r="AM224" i="1" l="1"/>
  <c r="AM229" i="1" s="1"/>
  <c r="AR161" i="1"/>
  <c r="AR162" i="1"/>
  <c r="AQ165" i="1"/>
  <c r="AR163" i="1"/>
  <c r="AM226" i="1"/>
  <c r="D557" i="1"/>
  <c r="D553" i="1"/>
  <c r="D554" i="1"/>
  <c r="D550" i="1"/>
  <c r="D558" i="1"/>
  <c r="D125" i="1"/>
  <c r="D126" i="1" s="1"/>
  <c r="D147" i="1" s="1"/>
  <c r="D136" i="1"/>
  <c r="U451" i="1"/>
  <c r="T453" i="1"/>
  <c r="T454" i="1" s="1"/>
  <c r="T455" i="1" s="1"/>
  <c r="L681" i="1"/>
  <c r="M681" i="1" s="1"/>
  <c r="K678" i="1"/>
  <c r="L678" i="1"/>
  <c r="M678" i="1" s="1"/>
  <c r="E663" i="1"/>
  <c r="L677" i="1"/>
  <c r="M677" i="1" s="1"/>
  <c r="K675" i="1"/>
  <c r="L676" i="1"/>
  <c r="M676" i="1" s="1"/>
  <c r="K674" i="1"/>
  <c r="K673" i="1"/>
  <c r="L674" i="1"/>
  <c r="M674" i="1" s="1"/>
  <c r="K672" i="1"/>
  <c r="K669" i="1"/>
  <c r="L669" i="1"/>
  <c r="M669" i="1" s="1"/>
  <c r="L668" i="1"/>
  <c r="M668" i="1" s="1"/>
  <c r="L667" i="1"/>
  <c r="M667" i="1" s="1"/>
  <c r="K681" i="1"/>
  <c r="K679" i="1"/>
  <c r="L679" i="1"/>
  <c r="M679" i="1" s="1"/>
  <c r="K677" i="1"/>
  <c r="K676" i="1"/>
  <c r="L675" i="1"/>
  <c r="M675" i="1" s="1"/>
  <c r="L673" i="1"/>
  <c r="M673" i="1" s="1"/>
  <c r="K671" i="1"/>
  <c r="L672" i="1"/>
  <c r="M672" i="1" s="1"/>
  <c r="K670" i="1"/>
  <c r="L671" i="1"/>
  <c r="M671" i="1" s="1"/>
  <c r="L670" i="1"/>
  <c r="M670" i="1" s="1"/>
  <c r="K667" i="1"/>
  <c r="K668" i="1"/>
  <c r="D523" i="1"/>
  <c r="D473" i="1"/>
  <c r="D475" i="1"/>
  <c r="D474" i="1"/>
  <c r="D500" i="1"/>
  <c r="AN224" i="1" l="1"/>
  <c r="AN229" i="1" s="1"/>
  <c r="AN226" i="1"/>
  <c r="AR165" i="1"/>
  <c r="AS163" i="1"/>
  <c r="AN225" i="1"/>
  <c r="AS162" i="1"/>
  <c r="AS161" i="1"/>
  <c r="D131" i="1"/>
  <c r="D186" i="1" s="1"/>
  <c r="D191" i="1" s="1"/>
  <c r="D127" i="1"/>
  <c r="D128" i="1" s="1"/>
  <c r="D129" i="1" s="1"/>
  <c r="D299" i="1"/>
  <c r="V451" i="1"/>
  <c r="U453" i="1"/>
  <c r="U454" i="1" s="1"/>
  <c r="U455" i="1" s="1"/>
  <c r="D532" i="1"/>
  <c r="D536" i="1" s="1"/>
  <c r="D544" i="1" s="1"/>
  <c r="D545" i="1" s="1"/>
  <c r="D531" i="1"/>
  <c r="D476" i="1"/>
  <c r="D499" i="1"/>
  <c r="D503" i="1" s="1"/>
  <c r="D501" i="1"/>
  <c r="D494" i="1"/>
  <c r="D493" i="1"/>
  <c r="D491" i="1"/>
  <c r="D469" i="1" s="1"/>
  <c r="D489" i="1"/>
  <c r="D487" i="1"/>
  <c r="D463" i="1"/>
  <c r="AO224" i="1" l="1"/>
  <c r="AO229" i="1" s="1"/>
  <c r="AT161" i="1"/>
  <c r="AO225" i="1"/>
  <c r="AT162" i="1"/>
  <c r="AS165" i="1"/>
  <c r="AT163" i="1"/>
  <c r="AO226" i="1"/>
  <c r="D419" i="1"/>
  <c r="D425" i="1" s="1"/>
  <c r="D298" i="1"/>
  <c r="D132" i="1"/>
  <c r="D133" i="1" s="1"/>
  <c r="W451" i="1"/>
  <c r="V453" i="1"/>
  <c r="V454" i="1" s="1"/>
  <c r="V455" i="1" s="1"/>
  <c r="D428" i="1"/>
  <c r="D436" i="1" s="1"/>
  <c r="D488" i="1"/>
  <c r="D502" i="1"/>
  <c r="D504" i="1"/>
  <c r="D495" i="1"/>
  <c r="D496" i="1" s="1"/>
  <c r="D497" i="1" s="1"/>
  <c r="D498" i="1" s="1"/>
  <c r="D258" i="1"/>
  <c r="D261" i="1" s="1"/>
  <c r="D262" i="1" s="1"/>
  <c r="D266" i="1" s="1"/>
  <c r="D165" i="1"/>
  <c r="D178" i="1" s="1"/>
  <c r="AP224" i="1" l="1"/>
  <c r="AP229" i="1" s="1"/>
  <c r="AP226" i="1"/>
  <c r="AT165" i="1"/>
  <c r="AU163" i="1"/>
  <c r="AP225" i="1"/>
  <c r="AU161" i="1"/>
  <c r="AU162" i="1"/>
  <c r="D443" i="1"/>
  <c r="D437" i="1"/>
  <c r="D420" i="1"/>
  <c r="D427" i="1" s="1"/>
  <c r="D438" i="1" s="1"/>
  <c r="D440" i="1"/>
  <c r="D268" i="1"/>
  <c r="D267" i="1"/>
  <c r="X451" i="1"/>
  <c r="W453" i="1"/>
  <c r="W454" i="1" s="1"/>
  <c r="W455" i="1" s="1"/>
  <c r="D190" i="1"/>
  <c r="D195" i="1"/>
  <c r="D192" i="1"/>
  <c r="D174" i="1"/>
  <c r="D166" i="1"/>
  <c r="D167" i="1" s="1"/>
  <c r="C36" i="5"/>
  <c r="C37" i="5" s="1"/>
  <c r="C35" i="5"/>
  <c r="C31" i="5"/>
  <c r="C30" i="5"/>
  <c r="C29" i="5"/>
  <c r="C25" i="5"/>
  <c r="C27" i="5" s="1"/>
  <c r="C23" i="5"/>
  <c r="C21" i="5"/>
  <c r="C34" i="5" s="1"/>
  <c r="C19" i="5"/>
  <c r="AQ224" i="1" l="1"/>
  <c r="AQ229" i="1" s="1"/>
  <c r="AV162" i="1"/>
  <c r="AV161" i="1"/>
  <c r="AQ225" i="1"/>
  <c r="AU165" i="1"/>
  <c r="AV163" i="1"/>
  <c r="AQ226" i="1"/>
  <c r="D269" i="1"/>
  <c r="D279" i="1"/>
  <c r="D276" i="1"/>
  <c r="D278" i="1"/>
  <c r="D275" i="1"/>
  <c r="Y451" i="1"/>
  <c r="X453" i="1"/>
  <c r="X454" i="1" s="1"/>
  <c r="X455" i="1" s="1"/>
  <c r="D433" i="1"/>
  <c r="D197" i="1"/>
  <c r="D162" i="1"/>
  <c r="D163" i="1" s="1"/>
  <c r="D169" i="1" s="1"/>
  <c r="D196" i="1"/>
  <c r="C26" i="5"/>
  <c r="AR224" i="1" l="1"/>
  <c r="AR229" i="1" s="1"/>
  <c r="AR226" i="1"/>
  <c r="AV165" i="1"/>
  <c r="AW163" i="1"/>
  <c r="AR225" i="1"/>
  <c r="AW162" i="1"/>
  <c r="AW161" i="1"/>
  <c r="D277" i="1"/>
  <c r="D280" i="1"/>
  <c r="D281" i="1" s="1"/>
  <c r="Z451" i="1"/>
  <c r="Y453" i="1"/>
  <c r="Y454" i="1" s="1"/>
  <c r="Y455" i="1" s="1"/>
  <c r="D198" i="1"/>
  <c r="D203" i="1" s="1"/>
  <c r="D206" i="1" s="1"/>
  <c r="C37" i="4"/>
  <c r="C36" i="4"/>
  <c r="C25" i="4"/>
  <c r="C19" i="4"/>
  <c r="C23" i="4"/>
  <c r="C21" i="4"/>
  <c r="C34" i="4" s="1"/>
  <c r="C35" i="4"/>
  <c r="C31" i="4"/>
  <c r="C30" i="4"/>
  <c r="C29" i="4"/>
  <c r="C27" i="4"/>
  <c r="C26" i="4"/>
  <c r="D33" i="3"/>
  <c r="D32" i="3"/>
  <c r="D20" i="3"/>
  <c r="D25" i="3"/>
  <c r="D24" i="3"/>
  <c r="D29" i="3"/>
  <c r="D28" i="3"/>
  <c r="D27" i="3"/>
  <c r="C19" i="2"/>
  <c r="C18" i="2"/>
  <c r="C17" i="2"/>
  <c r="C9" i="2"/>
  <c r="C10" i="2" s="1"/>
  <c r="C7" i="2"/>
  <c r="C14" i="2" s="1"/>
  <c r="C5" i="2"/>
  <c r="C6" i="2" s="1"/>
  <c r="C13" i="2" s="1"/>
  <c r="D11" i="1"/>
  <c r="D32" i="1" s="1"/>
  <c r="R67" i="1"/>
  <c r="R66" i="1"/>
  <c r="R65" i="1"/>
  <c r="D10" i="1"/>
  <c r="D33" i="1" s="1"/>
  <c r="AS224" i="1" l="1"/>
  <c r="AS229" i="1" s="1"/>
  <c r="AX161" i="1"/>
  <c r="AX162" i="1"/>
  <c r="AS225" i="1"/>
  <c r="AW165" i="1"/>
  <c r="AX163" i="1"/>
  <c r="AS226" i="1"/>
  <c r="D282" i="1"/>
  <c r="D292" i="1"/>
  <c r="AA451" i="1"/>
  <c r="Z453" i="1"/>
  <c r="Z454" i="1" s="1"/>
  <c r="Z455" i="1" s="1"/>
  <c r="C8" i="2"/>
  <c r="C15" i="2" s="1"/>
  <c r="R68" i="1"/>
  <c r="R70" i="1" s="1"/>
  <c r="R69" i="1"/>
  <c r="R71" i="1" s="1"/>
  <c r="AT224" i="1" l="1"/>
  <c r="AT229" i="1" s="1"/>
  <c r="AT226" i="1"/>
  <c r="AX165" i="1"/>
  <c r="AY163" i="1"/>
  <c r="AT225" i="1"/>
  <c r="AY162" i="1"/>
  <c r="AY161" i="1"/>
  <c r="AZ161" i="1" s="1"/>
  <c r="AB451" i="1"/>
  <c r="AA453" i="1"/>
  <c r="AA454" i="1" s="1"/>
  <c r="AA455" i="1" s="1"/>
  <c r="D89" i="1"/>
  <c r="AU224" i="1" l="1"/>
  <c r="AU229" i="1" s="1"/>
  <c r="AZ162" i="1"/>
  <c r="AU225" i="1"/>
  <c r="AZ163" i="1"/>
  <c r="AY165" i="1"/>
  <c r="AU226" i="1"/>
  <c r="D90" i="1"/>
  <c r="D102" i="1" s="1"/>
  <c r="D106" i="1" s="1"/>
  <c r="AC451" i="1"/>
  <c r="AB453" i="1"/>
  <c r="AB454" i="1" s="1"/>
  <c r="AB455" i="1" s="1"/>
  <c r="AV224" i="1" l="1"/>
  <c r="AV229" i="1" s="1"/>
  <c r="AV226" i="1"/>
  <c r="AZ165" i="1"/>
  <c r="BA163" i="1"/>
  <c r="AV225" i="1"/>
  <c r="BA162" i="1"/>
  <c r="BA161" i="1"/>
  <c r="BB161" i="1" s="1"/>
  <c r="D101" i="1"/>
  <c r="D105" i="1" s="1"/>
  <c r="D100" i="1"/>
  <c r="D104" i="1" s="1"/>
  <c r="D99" i="1"/>
  <c r="D103" i="1" s="1"/>
  <c r="AD451" i="1"/>
  <c r="AC453" i="1"/>
  <c r="AC454" i="1" s="1"/>
  <c r="AC455" i="1" s="1"/>
  <c r="D113" i="1"/>
  <c r="D13" i="1"/>
  <c r="AW224" i="1" l="1"/>
  <c r="AW229" i="1" s="1"/>
  <c r="BB162" i="1"/>
  <c r="AW225" i="1"/>
  <c r="BB163" i="1"/>
  <c r="BA165" i="1"/>
  <c r="AW226" i="1"/>
  <c r="AE451" i="1"/>
  <c r="AD453" i="1"/>
  <c r="AD454" i="1" s="1"/>
  <c r="AD455" i="1" s="1"/>
  <c r="D39" i="1"/>
  <c r="D42" i="1" s="1"/>
  <c r="D462" i="1"/>
  <c r="AX224" i="1" l="1"/>
  <c r="AX229" i="1" s="1"/>
  <c r="BB165" i="1"/>
  <c r="BC163" i="1"/>
  <c r="AX226" i="1"/>
  <c r="AX225" i="1"/>
  <c r="BC162" i="1"/>
  <c r="BC161" i="1"/>
  <c r="D43" i="1"/>
  <c r="D134" i="1"/>
  <c r="D137" i="1" s="1"/>
  <c r="AF451" i="1"/>
  <c r="AE453" i="1"/>
  <c r="AE454" i="1" s="1"/>
  <c r="AE455" i="1" s="1"/>
  <c r="D41" i="1"/>
  <c r="D200" i="1"/>
  <c r="D464" i="1"/>
  <c r="D478" i="1" s="1"/>
  <c r="D477" i="1"/>
  <c r="D480" i="1" s="1"/>
  <c r="D481" i="1" s="1"/>
  <c r="D46" i="1"/>
  <c r="AY224" i="1" l="1"/>
  <c r="AY229" i="1" s="1"/>
  <c r="BD161" i="1"/>
  <c r="BD162" i="1"/>
  <c r="AY225" i="1"/>
  <c r="AY226" i="1"/>
  <c r="BC165" i="1"/>
  <c r="BD163" i="1"/>
  <c r="D141" i="1"/>
  <c r="D139" i="1"/>
  <c r="D140" i="1"/>
  <c r="D44" i="1"/>
  <c r="D45" i="1" s="1"/>
  <c r="D50" i="1" s="1"/>
  <c r="D47" i="1"/>
  <c r="D138" i="1"/>
  <c r="D144" i="1"/>
  <c r="D156" i="1" s="1"/>
  <c r="D168" i="1" s="1"/>
  <c r="D170" i="1" s="1"/>
  <c r="D171" i="1" s="1"/>
  <c r="D172" i="1" s="1"/>
  <c r="D173" i="1" s="1"/>
  <c r="D180" i="1" s="1"/>
  <c r="D130" i="1"/>
  <c r="D155" i="1" s="1"/>
  <c r="D375" i="1"/>
  <c r="D376" i="1" s="1"/>
  <c r="D303" i="1"/>
  <c r="D305" i="1" s="1"/>
  <c r="D302" i="1"/>
  <c r="D383" i="1"/>
  <c r="AG451" i="1"/>
  <c r="AF453" i="1"/>
  <c r="AF454" i="1" s="1"/>
  <c r="AF455" i="1" s="1"/>
  <c r="D193" i="1"/>
  <c r="D201" i="1"/>
  <c r="D202" i="1"/>
  <c r="D466" i="1"/>
  <c r="D468" i="1" s="1"/>
  <c r="D483" i="1" s="1"/>
  <c r="D479" i="1"/>
  <c r="G10" i="1"/>
  <c r="D21" i="1"/>
  <c r="D26" i="1"/>
  <c r="AZ224" i="1" l="1"/>
  <c r="AZ229" i="1" s="1"/>
  <c r="BD165" i="1"/>
  <c r="BE163" i="1"/>
  <c r="AZ226" i="1"/>
  <c r="AZ225" i="1"/>
  <c r="BE162" i="1"/>
  <c r="BE161" i="1"/>
  <c r="D142" i="1"/>
  <c r="D143" i="1" s="1"/>
  <c r="D181" i="1"/>
  <c r="D204" i="1"/>
  <c r="D205" i="1"/>
  <c r="E626" i="1" s="1"/>
  <c r="D386" i="1"/>
  <c r="D385" i="1"/>
  <c r="D377" i="1"/>
  <c r="D378" i="1" s="1"/>
  <c r="AH451" i="1"/>
  <c r="AG453" i="1"/>
  <c r="AG454" i="1" s="1"/>
  <c r="AG455" i="1" s="1"/>
  <c r="D405" i="1"/>
  <c r="D413" i="1" s="1"/>
  <c r="D415" i="1" s="1"/>
  <c r="D417" i="1" s="1"/>
  <c r="D158" i="1"/>
  <c r="D175" i="1"/>
  <c r="D177" i="1" s="1"/>
  <c r="D15" i="1"/>
  <c r="D31" i="1"/>
  <c r="D48" i="1" s="1"/>
  <c r="E624" i="1"/>
  <c r="D27" i="1"/>
  <c r="E625" i="1" s="1"/>
  <c r="BA224" i="1" l="1"/>
  <c r="BA229" i="1" s="1"/>
  <c r="BF161" i="1"/>
  <c r="BF162" i="1"/>
  <c r="BA225" i="1"/>
  <c r="BA226" i="1"/>
  <c r="BE165" i="1"/>
  <c r="BF163" i="1"/>
  <c r="D108" i="1"/>
  <c r="D207" i="1"/>
  <c r="AI451" i="1"/>
  <c r="AH453" i="1"/>
  <c r="AH454" i="1" s="1"/>
  <c r="AH455" i="1" s="1"/>
  <c r="D208" i="1"/>
  <c r="E627" i="1"/>
  <c r="E634" i="1" s="1"/>
  <c r="E640" i="1" s="1"/>
  <c r="E641" i="1" s="1"/>
  <c r="E642" i="1" s="1"/>
  <c r="E643" i="1" s="1"/>
  <c r="D73" i="1"/>
  <c r="BB224" i="1" l="1"/>
  <c r="BB229" i="1" s="1"/>
  <c r="BF165" i="1"/>
  <c r="BG163" i="1"/>
  <c r="BB226" i="1"/>
  <c r="BB225" i="1"/>
  <c r="BG162" i="1"/>
  <c r="BG161" i="1"/>
  <c r="BH161" i="1" s="1"/>
  <c r="AJ451" i="1"/>
  <c r="AI453" i="1"/>
  <c r="AI454" i="1" s="1"/>
  <c r="AI455" i="1" s="1"/>
  <c r="E645" i="1"/>
  <c r="E646" i="1" s="1"/>
  <c r="E647" i="1" s="1"/>
  <c r="E648" i="1" s="1"/>
  <c r="BC224" i="1" l="1"/>
  <c r="BC229" i="1" s="1"/>
  <c r="BC225" i="1"/>
  <c r="BG165" i="1"/>
  <c r="BH163" i="1"/>
  <c r="BH162" i="1"/>
  <c r="BI162" i="1" s="1"/>
  <c r="BC226" i="1"/>
  <c r="AK451" i="1"/>
  <c r="AJ453" i="1"/>
  <c r="AJ454" i="1" s="1"/>
  <c r="AJ455" i="1" s="1"/>
  <c r="BD224" i="1" l="1"/>
  <c r="BD229" i="1" s="1"/>
  <c r="BD226" i="1"/>
  <c r="BH165" i="1"/>
  <c r="BI163" i="1"/>
  <c r="BD225" i="1"/>
  <c r="BI161" i="1"/>
  <c r="AL451" i="1"/>
  <c r="AK453" i="1"/>
  <c r="AK454" i="1" s="1"/>
  <c r="AK455" i="1" s="1"/>
  <c r="T17" i="6"/>
  <c r="BE224" i="1" l="1"/>
  <c r="BE225" i="1"/>
  <c r="BJ161" i="1"/>
  <c r="BJ162" i="1"/>
  <c r="BE226" i="1"/>
  <c r="BF225" i="1" s="1"/>
  <c r="BI165" i="1"/>
  <c r="BJ163" i="1"/>
  <c r="AM451" i="1"/>
  <c r="AL453" i="1"/>
  <c r="AL454" i="1" s="1"/>
  <c r="AL455" i="1" s="1"/>
  <c r="T13" i="6"/>
  <c r="BF224" i="1" l="1"/>
  <c r="BF229" i="1" s="1"/>
  <c r="BE229" i="1"/>
  <c r="BJ165" i="1"/>
  <c r="BK163" i="1"/>
  <c r="BF226" i="1"/>
  <c r="BG224" i="1" s="1"/>
  <c r="BG229" i="1" s="1"/>
  <c r="BK162" i="1"/>
  <c r="BK161" i="1"/>
  <c r="AN451" i="1"/>
  <c r="AM453" i="1"/>
  <c r="AM454" i="1" s="1"/>
  <c r="AM455" i="1" s="1"/>
  <c r="T14" i="6"/>
  <c r="T15" i="6" s="1"/>
  <c r="BL161" i="1" l="1"/>
  <c r="BL162" i="1"/>
  <c r="BG226" i="1"/>
  <c r="BG225" i="1"/>
  <c r="BK165" i="1"/>
  <c r="BL163" i="1"/>
  <c r="AO451" i="1"/>
  <c r="AN453" i="1"/>
  <c r="AN454" i="1" s="1"/>
  <c r="AN455" i="1" s="1"/>
  <c r="BH225" i="1" l="1"/>
  <c r="BH224" i="1"/>
  <c r="BH229" i="1" s="1"/>
  <c r="BL165" i="1"/>
  <c r="BM163" i="1"/>
  <c r="BH226" i="1"/>
  <c r="BM162" i="1"/>
  <c r="BM161" i="1"/>
  <c r="AP451" i="1"/>
  <c r="AO453" i="1"/>
  <c r="AO454" i="1" s="1"/>
  <c r="AO455" i="1" s="1"/>
  <c r="BI224" i="1" l="1"/>
  <c r="BI229" i="1" s="1"/>
  <c r="BN161" i="1"/>
  <c r="BN162" i="1"/>
  <c r="BI226" i="1"/>
  <c r="BI225" i="1"/>
  <c r="BM165" i="1"/>
  <c r="BN163" i="1"/>
  <c r="AQ451" i="1"/>
  <c r="AP453" i="1"/>
  <c r="AP454" i="1" s="1"/>
  <c r="AP455" i="1" s="1"/>
  <c r="BJ224" i="1" l="1"/>
  <c r="BJ229" i="1" s="1"/>
  <c r="BN165" i="1"/>
  <c r="BO163" i="1"/>
  <c r="BJ225" i="1"/>
  <c r="BJ226" i="1"/>
  <c r="BO162" i="1"/>
  <c r="BO161" i="1"/>
  <c r="BP161" i="1" s="1"/>
  <c r="AR451" i="1"/>
  <c r="AQ453" i="1"/>
  <c r="AQ454" i="1" s="1"/>
  <c r="AQ455" i="1" s="1"/>
  <c r="BK224" i="1" l="1"/>
  <c r="BK229" i="1" s="1"/>
  <c r="BK226" i="1"/>
  <c r="BP162" i="1"/>
  <c r="BK225" i="1"/>
  <c r="BO165" i="1"/>
  <c r="BP163" i="1"/>
  <c r="AS451" i="1"/>
  <c r="AR453" i="1"/>
  <c r="AR454" i="1" s="1"/>
  <c r="AR455" i="1" s="1"/>
  <c r="BL224" i="1" l="1"/>
  <c r="BL229" i="1" s="1"/>
  <c r="BQ163" i="1"/>
  <c r="BP165" i="1"/>
  <c r="BL225" i="1"/>
  <c r="BQ162" i="1"/>
  <c r="BL226" i="1"/>
  <c r="BQ161" i="1"/>
  <c r="AT451" i="1"/>
  <c r="AS453" i="1"/>
  <c r="AS454" i="1" s="1"/>
  <c r="AS455" i="1" s="1"/>
  <c r="BM224" i="1" l="1"/>
  <c r="BM229" i="1" s="1"/>
  <c r="BR161" i="1"/>
  <c r="BM226" i="1"/>
  <c r="BR162" i="1"/>
  <c r="BM225" i="1"/>
  <c r="BQ165" i="1"/>
  <c r="BR163" i="1"/>
  <c r="AU451" i="1"/>
  <c r="AT453" i="1"/>
  <c r="AT454" i="1" s="1"/>
  <c r="AT455" i="1" s="1"/>
  <c r="BN224" i="1" l="1"/>
  <c r="BN229" i="1" s="1"/>
  <c r="BR165" i="1"/>
  <c r="BS163" i="1"/>
  <c r="BN225" i="1"/>
  <c r="BS162" i="1"/>
  <c r="BN226" i="1"/>
  <c r="BS161" i="1"/>
  <c r="BT161" i="1" s="1"/>
  <c r="AV451" i="1"/>
  <c r="AU453" i="1"/>
  <c r="AU454" i="1" s="1"/>
  <c r="AU455" i="1" s="1"/>
  <c r="BO224" i="1" l="1"/>
  <c r="BO229" i="1" s="1"/>
  <c r="BO226" i="1"/>
  <c r="BO225" i="1"/>
  <c r="BT162" i="1"/>
  <c r="BS165" i="1"/>
  <c r="BT163" i="1"/>
  <c r="AW451" i="1"/>
  <c r="AV453" i="1"/>
  <c r="AV454" i="1" s="1"/>
  <c r="AV455" i="1" s="1"/>
  <c r="BP224" i="1" l="1"/>
  <c r="BP229" i="1" s="1"/>
  <c r="BU162" i="1"/>
  <c r="BP226" i="1"/>
  <c r="BU163" i="1"/>
  <c r="BT165" i="1"/>
  <c r="BP225" i="1"/>
  <c r="BU161" i="1"/>
  <c r="BV161" i="1" s="1"/>
  <c r="AX451" i="1"/>
  <c r="AW453" i="1"/>
  <c r="AW454" i="1" s="1"/>
  <c r="AW455" i="1" s="1"/>
  <c r="BQ224" i="1" l="1"/>
  <c r="BQ229" i="1" s="1"/>
  <c r="BQ225" i="1"/>
  <c r="BU165" i="1"/>
  <c r="BV163" i="1"/>
  <c r="BQ226" i="1"/>
  <c r="BV162" i="1"/>
  <c r="BW162" i="1" s="1"/>
  <c r="AY451" i="1"/>
  <c r="AX453" i="1"/>
  <c r="AX454" i="1" s="1"/>
  <c r="AX455" i="1" s="1"/>
  <c r="BR224" i="1" l="1"/>
  <c r="BR229" i="1" s="1"/>
  <c r="BR226" i="1"/>
  <c r="BV165" i="1"/>
  <c r="BW163" i="1"/>
  <c r="BR225" i="1"/>
  <c r="BS225" i="1" s="1"/>
  <c r="BW161" i="1"/>
  <c r="BX161" i="1" s="1"/>
  <c r="AZ451" i="1"/>
  <c r="AY453" i="1"/>
  <c r="AY454" i="1" s="1"/>
  <c r="AY455" i="1" s="1"/>
  <c r="BS224" i="1" l="1"/>
  <c r="BS229" i="1" s="1"/>
  <c r="BS226" i="1"/>
  <c r="BW165" i="1"/>
  <c r="BX163" i="1"/>
  <c r="BX162" i="1"/>
  <c r="BY162" i="1" s="1"/>
  <c r="BA451" i="1"/>
  <c r="AZ453" i="1"/>
  <c r="AZ454" i="1" s="1"/>
  <c r="AZ455" i="1" s="1"/>
  <c r="BT224" i="1" l="1"/>
  <c r="BT229" i="1" s="1"/>
  <c r="BX165" i="1"/>
  <c r="BY163" i="1"/>
  <c r="BT226" i="1"/>
  <c r="BT225" i="1"/>
  <c r="BY161" i="1"/>
  <c r="BB451" i="1"/>
  <c r="BA453" i="1"/>
  <c r="BA454" i="1" s="1"/>
  <c r="BA455" i="1" s="1"/>
  <c r="BU224" i="1" l="1"/>
  <c r="BU229" i="1" s="1"/>
  <c r="BU225" i="1"/>
  <c r="BZ163" i="1"/>
  <c r="BY165" i="1"/>
  <c r="BZ162" i="1"/>
  <c r="BZ161" i="1"/>
  <c r="CA161" i="1" s="1"/>
  <c r="BU226" i="1"/>
  <c r="BC451" i="1"/>
  <c r="BB453" i="1"/>
  <c r="BB454" i="1" s="1"/>
  <c r="BB455" i="1" s="1"/>
  <c r="BV224" i="1" l="1"/>
  <c r="BV229" i="1" s="1"/>
  <c r="BV226" i="1"/>
  <c r="CA162" i="1"/>
  <c r="BZ165" i="1"/>
  <c r="CA163" i="1"/>
  <c r="BV225" i="1"/>
  <c r="BW225" i="1" s="1"/>
  <c r="BD451" i="1"/>
  <c r="BC453" i="1"/>
  <c r="BC454" i="1" s="1"/>
  <c r="BC455" i="1" s="1"/>
  <c r="BW224" i="1" l="1"/>
  <c r="BW229" i="1" s="1"/>
  <c r="CA165" i="1"/>
  <c r="CB163" i="1"/>
  <c r="CB162" i="1"/>
  <c r="CB161" i="1"/>
  <c r="CC161" i="1" s="1"/>
  <c r="BW226" i="1"/>
  <c r="BE451" i="1"/>
  <c r="BD453" i="1"/>
  <c r="BD454" i="1" s="1"/>
  <c r="BD455" i="1" s="1"/>
  <c r="BX224" i="1" l="1"/>
  <c r="BX229" i="1" s="1"/>
  <c r="BX226" i="1"/>
  <c r="CC162" i="1"/>
  <c r="CB165" i="1"/>
  <c r="CC163" i="1"/>
  <c r="BX225" i="1"/>
  <c r="BF451" i="1"/>
  <c r="BE453" i="1"/>
  <c r="BE454" i="1" s="1"/>
  <c r="BE455" i="1" s="1"/>
  <c r="BY224" i="1" l="1"/>
  <c r="BY229" i="1" s="1"/>
  <c r="CC165" i="1"/>
  <c r="CD163" i="1"/>
  <c r="CD162" i="1"/>
  <c r="CD161" i="1"/>
  <c r="BY225" i="1"/>
  <c r="BY226" i="1"/>
  <c r="BG451" i="1"/>
  <c r="BF453" i="1"/>
  <c r="BF454" i="1" s="1"/>
  <c r="BF455" i="1" s="1"/>
  <c r="BZ224" i="1" l="1"/>
  <c r="BZ229" i="1" s="1"/>
  <c r="CE161" i="1"/>
  <c r="BZ226" i="1"/>
  <c r="BZ225" i="1"/>
  <c r="CE162" i="1"/>
  <c r="CE163" i="1"/>
  <c r="CD165" i="1"/>
  <c r="BH451" i="1"/>
  <c r="BG453" i="1"/>
  <c r="BG454" i="1" s="1"/>
  <c r="BG455" i="1" s="1"/>
  <c r="CA224" i="1" l="1"/>
  <c r="CA229" i="1" s="1"/>
  <c r="CE165" i="1"/>
  <c r="CF163" i="1"/>
  <c r="CF162" i="1"/>
  <c r="CF161" i="1"/>
  <c r="CG161" i="1" s="1"/>
  <c r="CA225" i="1"/>
  <c r="CA226" i="1"/>
  <c r="BI451" i="1"/>
  <c r="BH453" i="1"/>
  <c r="BH454" i="1" s="1"/>
  <c r="BH455" i="1" s="1"/>
  <c r="CB224" i="1" l="1"/>
  <c r="CB229" i="1" s="1"/>
  <c r="CB226" i="1"/>
  <c r="CB225" i="1"/>
  <c r="CG162" i="1"/>
  <c r="CG163" i="1"/>
  <c r="CF165" i="1"/>
  <c r="BJ451" i="1"/>
  <c r="BI453" i="1"/>
  <c r="BI454" i="1" s="1"/>
  <c r="BI455" i="1" s="1"/>
  <c r="CC224" i="1" l="1"/>
  <c r="CC229" i="1" s="1"/>
  <c r="CG165" i="1"/>
  <c r="CH163" i="1"/>
  <c r="CH162" i="1"/>
  <c r="CH161" i="1"/>
  <c r="CC225" i="1"/>
  <c r="CC226" i="1"/>
  <c r="BK451" i="1"/>
  <c r="BJ453" i="1"/>
  <c r="BJ454" i="1" s="1"/>
  <c r="BJ455" i="1" s="1"/>
  <c r="CD224" i="1" l="1"/>
  <c r="CD229" i="1" s="1"/>
  <c r="CI161" i="1"/>
  <c r="CD226" i="1"/>
  <c r="CD225" i="1"/>
  <c r="CI162" i="1"/>
  <c r="CI163" i="1"/>
  <c r="CH165" i="1"/>
  <c r="BL451" i="1"/>
  <c r="BK453" i="1"/>
  <c r="BK454" i="1" s="1"/>
  <c r="BK455" i="1" s="1"/>
  <c r="CE224" i="1" l="1"/>
  <c r="CE229" i="1" s="1"/>
  <c r="CI165" i="1"/>
  <c r="CJ163" i="1"/>
  <c r="CJ162" i="1"/>
  <c r="CJ161" i="1"/>
  <c r="CK161" i="1" s="1"/>
  <c r="CE225" i="1"/>
  <c r="CE226" i="1"/>
  <c r="BM451" i="1"/>
  <c r="BL453" i="1"/>
  <c r="BL454" i="1" s="1"/>
  <c r="BL455" i="1" s="1"/>
  <c r="CF224" i="1" l="1"/>
  <c r="CF229" i="1" s="1"/>
  <c r="CF226" i="1"/>
  <c r="CF225" i="1"/>
  <c r="CK162" i="1"/>
  <c r="CK163" i="1"/>
  <c r="CJ165" i="1"/>
  <c r="BN451" i="1"/>
  <c r="BM453" i="1"/>
  <c r="BM454" i="1" s="1"/>
  <c r="BM455" i="1" s="1"/>
  <c r="CG224" i="1" l="1"/>
  <c r="CG229" i="1" s="1"/>
  <c r="CK165" i="1"/>
  <c r="CL163" i="1"/>
  <c r="CL162" i="1"/>
  <c r="CL161" i="1"/>
  <c r="CG225" i="1"/>
  <c r="CG226" i="1"/>
  <c r="BO451" i="1"/>
  <c r="BN453" i="1"/>
  <c r="BN454" i="1" s="1"/>
  <c r="BN455" i="1" s="1"/>
  <c r="CH224" i="1" l="1"/>
  <c r="CH229" i="1" s="1"/>
  <c r="CM161" i="1"/>
  <c r="CH226" i="1"/>
  <c r="CH225" i="1"/>
  <c r="CM162" i="1"/>
  <c r="CM163" i="1"/>
  <c r="CL165" i="1"/>
  <c r="BP451" i="1"/>
  <c r="BO453" i="1"/>
  <c r="BO454" i="1" s="1"/>
  <c r="BO455" i="1" s="1"/>
  <c r="CI224" i="1" l="1"/>
  <c r="CI229" i="1" s="1"/>
  <c r="CM165" i="1"/>
  <c r="CN163" i="1"/>
  <c r="CN162" i="1"/>
  <c r="CN161" i="1"/>
  <c r="CI225" i="1"/>
  <c r="CI226" i="1"/>
  <c r="BQ451" i="1"/>
  <c r="BP453" i="1"/>
  <c r="BP454" i="1" s="1"/>
  <c r="BP455" i="1" s="1"/>
  <c r="CJ224" i="1" l="1"/>
  <c r="CJ229" i="1" s="1"/>
  <c r="CO161" i="1"/>
  <c r="CJ226" i="1"/>
  <c r="CJ225" i="1"/>
  <c r="CK224" i="1" s="1"/>
  <c r="CK229" i="1" s="1"/>
  <c r="CO162" i="1"/>
  <c r="CN165" i="1"/>
  <c r="CO163" i="1"/>
  <c r="BR451" i="1"/>
  <c r="BQ453" i="1"/>
  <c r="BQ454" i="1" s="1"/>
  <c r="BQ455" i="1" s="1"/>
  <c r="CO165" i="1" l="1"/>
  <c r="CP163" i="1"/>
  <c r="CP162" i="1"/>
  <c r="CP161" i="1"/>
  <c r="CK225" i="1"/>
  <c r="CK226" i="1"/>
  <c r="BS451" i="1"/>
  <c r="BR453" i="1"/>
  <c r="BR454" i="1" s="1"/>
  <c r="BR455" i="1" s="1"/>
  <c r="CL224" i="1" l="1"/>
  <c r="CL229" i="1" s="1"/>
  <c r="CQ161" i="1"/>
  <c r="CL226" i="1"/>
  <c r="CL225" i="1"/>
  <c r="CQ162" i="1"/>
  <c r="CP165" i="1"/>
  <c r="CQ163" i="1"/>
  <c r="BT451" i="1"/>
  <c r="BS453" i="1"/>
  <c r="BS454" i="1" s="1"/>
  <c r="BS455" i="1" s="1"/>
  <c r="CM224" i="1" l="1"/>
  <c r="CM229" i="1" s="1"/>
  <c r="CR163" i="1"/>
  <c r="CQ165" i="1"/>
  <c r="CR161" i="1"/>
  <c r="CR162" i="1"/>
  <c r="CM225" i="1"/>
  <c r="CM226" i="1"/>
  <c r="BU451" i="1"/>
  <c r="BT453" i="1"/>
  <c r="BT454" i="1" s="1"/>
  <c r="BT455" i="1" s="1"/>
  <c r="CN224" i="1" l="1"/>
  <c r="CN229" i="1" s="1"/>
  <c r="CS162" i="1"/>
  <c r="CN225" i="1"/>
  <c r="CN226" i="1"/>
  <c r="CS161" i="1"/>
  <c r="CR165" i="1"/>
  <c r="CS163" i="1"/>
  <c r="BV451" i="1"/>
  <c r="BU453" i="1"/>
  <c r="BU454" i="1" s="1"/>
  <c r="BU455" i="1" s="1"/>
  <c r="CO224" i="1" l="1"/>
  <c r="CO229" i="1" s="1"/>
  <c r="CS165" i="1"/>
  <c r="CT163" i="1"/>
  <c r="CT161" i="1"/>
  <c r="CT162" i="1"/>
  <c r="CU162" i="1" s="1"/>
  <c r="CO226" i="1"/>
  <c r="CO225" i="1"/>
  <c r="BW451" i="1"/>
  <c r="BV453" i="1"/>
  <c r="BV454" i="1" s="1"/>
  <c r="BV455" i="1" s="1"/>
  <c r="CP225" i="1" l="1"/>
  <c r="CP224" i="1"/>
  <c r="CP229" i="1" s="1"/>
  <c r="CP226" i="1"/>
  <c r="CU161" i="1"/>
  <c r="CT165" i="1"/>
  <c r="CU163" i="1"/>
  <c r="BX451" i="1"/>
  <c r="BW453" i="1"/>
  <c r="BW454" i="1" s="1"/>
  <c r="BW455" i="1" s="1"/>
  <c r="CQ224" i="1" l="1"/>
  <c r="CQ229" i="1" s="1"/>
  <c r="CU165" i="1"/>
  <c r="CV163" i="1"/>
  <c r="CV161" i="1"/>
  <c r="CV162" i="1"/>
  <c r="CQ226" i="1"/>
  <c r="CQ225" i="1"/>
  <c r="CR225" i="1" s="1"/>
  <c r="BY451" i="1"/>
  <c r="BX453" i="1"/>
  <c r="BX454" i="1" s="1"/>
  <c r="BX455" i="1" s="1"/>
  <c r="CR224" i="1" l="1"/>
  <c r="CR229" i="1" s="1"/>
  <c r="CW162" i="1"/>
  <c r="CR226" i="1"/>
  <c r="CW161" i="1"/>
  <c r="CW163" i="1"/>
  <c r="CV165" i="1"/>
  <c r="BZ451" i="1"/>
  <c r="BY453" i="1"/>
  <c r="BY454" i="1" s="1"/>
  <c r="BY455" i="1" s="1"/>
  <c r="CS224" i="1" l="1"/>
  <c r="CS229" i="1" s="1"/>
  <c r="CW165" i="1"/>
  <c r="CX163" i="1"/>
  <c r="CX161" i="1"/>
  <c r="CX162" i="1"/>
  <c r="CS226" i="1"/>
  <c r="CS225" i="1"/>
  <c r="CT225" i="1" s="1"/>
  <c r="CA451" i="1"/>
  <c r="BZ453" i="1"/>
  <c r="BZ454" i="1" s="1"/>
  <c r="BZ455" i="1" s="1"/>
  <c r="CT224" i="1" l="1"/>
  <c r="CT229" i="1" s="1"/>
  <c r="CY162" i="1"/>
  <c r="CT226" i="1"/>
  <c r="CY161" i="1"/>
  <c r="CY163" i="1"/>
  <c r="CX165" i="1"/>
  <c r="CB451" i="1"/>
  <c r="CA453" i="1"/>
  <c r="CA454" i="1" s="1"/>
  <c r="CA455" i="1" s="1"/>
  <c r="CU224" i="1" l="1"/>
  <c r="CU229" i="1" s="1"/>
  <c r="CY165" i="1"/>
  <c r="CZ163" i="1"/>
  <c r="CZ161" i="1"/>
  <c r="CZ162" i="1"/>
  <c r="CU226" i="1"/>
  <c r="CU225" i="1"/>
  <c r="CC451" i="1"/>
  <c r="CB453" i="1"/>
  <c r="CB454" i="1" s="1"/>
  <c r="CB455" i="1" s="1"/>
  <c r="CV224" i="1" l="1"/>
  <c r="CV229" i="1" s="1"/>
  <c r="DA162" i="1"/>
  <c r="CV225" i="1"/>
  <c r="CV226" i="1"/>
  <c r="DA161" i="1"/>
  <c r="CZ165" i="1"/>
  <c r="DA163" i="1"/>
  <c r="CD451" i="1"/>
  <c r="CC453" i="1"/>
  <c r="CC454" i="1" s="1"/>
  <c r="CC455" i="1" s="1"/>
  <c r="CW224" i="1" l="1"/>
  <c r="CW229" i="1" s="1"/>
  <c r="DA165" i="1"/>
  <c r="DB163" i="1"/>
  <c r="DB161" i="1"/>
  <c r="DB162" i="1"/>
  <c r="CW226" i="1"/>
  <c r="CW225" i="1"/>
  <c r="CE451" i="1"/>
  <c r="CD453" i="1"/>
  <c r="CD454" i="1" s="1"/>
  <c r="CD455" i="1" s="1"/>
  <c r="CX225" i="1" l="1"/>
  <c r="CX224" i="1"/>
  <c r="CX229" i="1" s="1"/>
  <c r="DC162" i="1"/>
  <c r="CX226" i="1"/>
  <c r="DC161" i="1"/>
  <c r="DB165" i="1"/>
  <c r="DC163" i="1"/>
  <c r="CF451" i="1"/>
  <c r="CE453" i="1"/>
  <c r="CE454" i="1" s="1"/>
  <c r="CE455" i="1" s="1"/>
  <c r="CY224" i="1" l="1"/>
  <c r="CY229" i="1" s="1"/>
  <c r="DC165" i="1"/>
  <c r="DD163" i="1"/>
  <c r="CY226" i="1"/>
  <c r="DD161" i="1"/>
  <c r="DD162" i="1"/>
  <c r="CY225" i="1"/>
  <c r="CZ225" i="1" s="1"/>
  <c r="CG451" i="1"/>
  <c r="CF453" i="1"/>
  <c r="CF454" i="1" s="1"/>
  <c r="CF455" i="1" s="1"/>
  <c r="CZ224" i="1" l="1"/>
  <c r="CZ229" i="1" s="1"/>
  <c r="DE162" i="1"/>
  <c r="DE161" i="1"/>
  <c r="CZ226" i="1"/>
  <c r="DD165" i="1"/>
  <c r="DE163" i="1"/>
  <c r="CH451" i="1"/>
  <c r="CG453" i="1"/>
  <c r="CG454" i="1" s="1"/>
  <c r="CG455" i="1" s="1"/>
  <c r="DA224" i="1" l="1"/>
  <c r="DA229" i="1" s="1"/>
  <c r="DA226" i="1"/>
  <c r="DE165" i="1"/>
  <c r="DF163" i="1"/>
  <c r="DF161" i="1"/>
  <c r="DF162" i="1"/>
  <c r="DA225" i="1"/>
  <c r="DB225" i="1" s="1"/>
  <c r="CI451" i="1"/>
  <c r="CH453" i="1"/>
  <c r="CH454" i="1" s="1"/>
  <c r="CH455" i="1" s="1"/>
  <c r="DB224" i="1" l="1"/>
  <c r="DB229" i="1" s="1"/>
  <c r="DG162" i="1"/>
  <c r="DG161" i="1"/>
  <c r="DF165" i="1"/>
  <c r="DG163" i="1"/>
  <c r="DB226" i="1"/>
  <c r="CJ451" i="1"/>
  <c r="CI453" i="1"/>
  <c r="CI454" i="1" s="1"/>
  <c r="CI455" i="1" s="1"/>
  <c r="DG165" i="1" l="1"/>
  <c r="DH163" i="1"/>
  <c r="DH161" i="1"/>
  <c r="DH162" i="1"/>
  <c r="DI162" i="1" s="1"/>
  <c r="CK451" i="1"/>
  <c r="CJ453" i="1"/>
  <c r="CJ454" i="1" s="1"/>
  <c r="CJ455" i="1" s="1"/>
  <c r="DI161" i="1" l="1"/>
  <c r="DH165" i="1"/>
  <c r="DI163" i="1"/>
  <c r="CL451" i="1"/>
  <c r="CK453" i="1"/>
  <c r="CK454" i="1" s="1"/>
  <c r="CK455" i="1" s="1"/>
  <c r="DI165" i="1" l="1"/>
  <c r="DJ163" i="1"/>
  <c r="DJ161" i="1"/>
  <c r="DJ162" i="1"/>
  <c r="CM451" i="1"/>
  <c r="CL453" i="1"/>
  <c r="CL454" i="1" s="1"/>
  <c r="CL455" i="1" s="1"/>
  <c r="DK162" i="1" l="1"/>
  <c r="DK161" i="1"/>
  <c r="DJ165" i="1"/>
  <c r="DK163" i="1"/>
  <c r="CN451" i="1"/>
  <c r="CM453" i="1"/>
  <c r="CM454" i="1" s="1"/>
  <c r="CM455" i="1" s="1"/>
  <c r="DK165" i="1" l="1"/>
  <c r="DL163" i="1"/>
  <c r="DL161" i="1"/>
  <c r="DL162" i="1"/>
  <c r="CO451" i="1"/>
  <c r="CN453" i="1"/>
  <c r="CN454" i="1" s="1"/>
  <c r="CN455" i="1" s="1"/>
  <c r="DM162" i="1" l="1"/>
  <c r="DM161" i="1"/>
  <c r="DL165" i="1"/>
  <c r="DM163" i="1"/>
  <c r="CP451" i="1"/>
  <c r="CO453" i="1"/>
  <c r="CO454" i="1" s="1"/>
  <c r="CO455" i="1" s="1"/>
  <c r="DM165" i="1" l="1"/>
  <c r="DN163" i="1"/>
  <c r="DN161" i="1"/>
  <c r="DN162" i="1"/>
  <c r="CQ451" i="1"/>
  <c r="CP453" i="1"/>
  <c r="CP454" i="1" s="1"/>
  <c r="CP455" i="1" s="1"/>
  <c r="DO162" i="1" l="1"/>
  <c r="DO161" i="1"/>
  <c r="DN165" i="1"/>
  <c r="DO163" i="1"/>
  <c r="CR451" i="1"/>
  <c r="CQ453" i="1"/>
  <c r="CQ454" i="1" s="1"/>
  <c r="CQ455" i="1" s="1"/>
  <c r="DO165" i="1" l="1"/>
  <c r="DP163" i="1"/>
  <c r="DP161" i="1"/>
  <c r="DP162" i="1"/>
  <c r="CS451" i="1"/>
  <c r="CR453" i="1"/>
  <c r="CR454" i="1" s="1"/>
  <c r="CR455" i="1" s="1"/>
  <c r="DQ162" i="1" l="1"/>
  <c r="DQ161" i="1"/>
  <c r="DP165" i="1"/>
  <c r="DQ163" i="1"/>
  <c r="CT451" i="1"/>
  <c r="CS453" i="1"/>
  <c r="CS454" i="1" s="1"/>
  <c r="CS455" i="1" s="1"/>
  <c r="DQ165" i="1" l="1"/>
  <c r="DR163" i="1"/>
  <c r="DR161" i="1"/>
  <c r="DR162" i="1"/>
  <c r="DS162" i="1" s="1"/>
  <c r="CU451" i="1"/>
  <c r="CT453" i="1"/>
  <c r="CT454" i="1" s="1"/>
  <c r="CT455" i="1" s="1"/>
  <c r="DS161" i="1" l="1"/>
  <c r="DR165" i="1"/>
  <c r="DS163" i="1"/>
  <c r="CV451" i="1"/>
  <c r="CU453" i="1"/>
  <c r="CU454" i="1" s="1"/>
  <c r="CU455" i="1" s="1"/>
  <c r="DS165" i="1" l="1"/>
  <c r="DT161" i="1"/>
  <c r="DT163" i="1"/>
  <c r="DT162" i="1"/>
  <c r="CW451" i="1"/>
  <c r="CV453" i="1"/>
  <c r="CV454" i="1" s="1"/>
  <c r="CV455" i="1" s="1"/>
  <c r="DU162" i="1" l="1"/>
  <c r="DT165" i="1"/>
  <c r="DU163" i="1"/>
  <c r="DU161" i="1"/>
  <c r="CX451" i="1"/>
  <c r="CX453" i="1" s="1"/>
  <c r="CX454" i="1" s="1"/>
  <c r="CX455" i="1" s="1"/>
  <c r="CW453" i="1"/>
  <c r="CW454" i="1" s="1"/>
  <c r="CW455" i="1" s="1"/>
  <c r="DV161" i="1" l="1"/>
  <c r="DV162" i="1"/>
  <c r="DU165" i="1"/>
  <c r="DV163" i="1"/>
  <c r="C456" i="1"/>
  <c r="D458" i="1" s="1"/>
  <c r="D369" i="1"/>
  <c r="D373" i="1" s="1"/>
  <c r="DV165" i="1" l="1"/>
  <c r="DW163" i="1"/>
  <c r="DW162" i="1"/>
  <c r="DW161" i="1"/>
  <c r="DX161" i="1" l="1"/>
  <c r="DX162" i="1"/>
  <c r="DW165" i="1"/>
  <c r="DX163" i="1"/>
  <c r="DX165" i="1" l="1"/>
  <c r="DY163" i="1"/>
  <c r="DY162" i="1"/>
  <c r="DY161" i="1"/>
  <c r="DZ161" i="1" l="1"/>
  <c r="DZ162" i="1"/>
  <c r="DY165" i="1"/>
  <c r="DZ163" i="1"/>
  <c r="DZ165" i="1" l="1"/>
  <c r="EA163" i="1"/>
  <c r="EA161" i="1"/>
  <c r="EA162" i="1"/>
  <c r="EB162" i="1" l="1"/>
  <c r="EB161" i="1"/>
  <c r="EB163" i="1"/>
  <c r="EA165" i="1"/>
  <c r="EC161" i="1" l="1"/>
  <c r="EB165" i="1"/>
  <c r="EC163" i="1"/>
  <c r="EC162" i="1"/>
  <c r="ED161" i="1" l="1"/>
  <c r="ED162" i="1"/>
  <c r="EC165" i="1"/>
  <c r="ED163" i="1"/>
  <c r="EE162" i="1" l="1"/>
  <c r="ED165" i="1"/>
  <c r="EE163" i="1"/>
  <c r="EE161" i="1"/>
  <c r="EF161" i="1" l="1"/>
  <c r="EF162" i="1"/>
  <c r="EE165" i="1"/>
  <c r="EF163" i="1"/>
  <c r="EF165" i="1" l="1"/>
  <c r="EG163" i="1"/>
  <c r="EG162" i="1"/>
  <c r="EG161" i="1"/>
  <c r="EH161" i="1" l="1"/>
  <c r="EH162" i="1"/>
  <c r="EG165" i="1"/>
  <c r="EH163" i="1"/>
  <c r="EH165" i="1" l="1"/>
  <c r="EI163" i="1"/>
  <c r="EI162" i="1"/>
  <c r="EI161" i="1"/>
  <c r="EJ161" i="1" s="1"/>
  <c r="EJ162" i="1" l="1"/>
  <c r="EI165" i="1"/>
  <c r="EJ163" i="1"/>
  <c r="EJ165" i="1" l="1"/>
  <c r="EK163" i="1"/>
  <c r="EK162" i="1"/>
  <c r="EK161" i="1"/>
  <c r="EL161" i="1" s="1"/>
  <c r="EL162" i="1" l="1"/>
  <c r="EK165" i="1"/>
  <c r="EL163" i="1"/>
  <c r="EL165" i="1" l="1"/>
  <c r="EM163" i="1"/>
  <c r="EM162" i="1"/>
  <c r="EM161" i="1"/>
  <c r="EN161" i="1" l="1"/>
  <c r="EN162" i="1"/>
  <c r="EM165" i="1"/>
  <c r="EN163" i="1"/>
  <c r="EN165" i="1" l="1"/>
  <c r="EO163" i="1"/>
  <c r="EO162" i="1"/>
  <c r="EO161" i="1"/>
  <c r="EP161" i="1" l="1"/>
  <c r="EP162" i="1"/>
  <c r="EO165" i="1"/>
  <c r="EP163" i="1"/>
  <c r="EP165" i="1" l="1"/>
  <c r="EQ163" i="1"/>
  <c r="EQ162" i="1"/>
  <c r="EQ161" i="1"/>
  <c r="ER161" i="1" s="1"/>
  <c r="ER162" i="1" l="1"/>
  <c r="EQ165" i="1"/>
  <c r="ER163" i="1"/>
  <c r="ER165" i="1" l="1"/>
  <c r="ES163" i="1"/>
  <c r="ES162" i="1"/>
  <c r="ES161" i="1"/>
  <c r="ET161" i="1" s="1"/>
  <c r="ET162" i="1" l="1"/>
  <c r="ES165" i="1"/>
  <c r="ET163" i="1"/>
  <c r="ET165" i="1" l="1"/>
  <c r="EU163" i="1"/>
  <c r="EU162" i="1"/>
  <c r="EU161" i="1"/>
  <c r="EV161" i="1" l="1"/>
  <c r="EV162" i="1"/>
  <c r="EU165" i="1"/>
  <c r="EV163" i="1"/>
  <c r="EV165" i="1" l="1"/>
  <c r="EW163" i="1"/>
  <c r="EW161" i="1"/>
  <c r="EW162" i="1"/>
  <c r="EX162" i="1" s="1"/>
  <c r="EX161" i="1" l="1"/>
  <c r="EX163" i="1"/>
  <c r="EW165" i="1"/>
  <c r="EX165" i="1" l="1"/>
  <c r="EY163" i="1"/>
  <c r="EY161" i="1"/>
  <c r="EY162" i="1"/>
  <c r="EZ162" i="1" l="1"/>
  <c r="EZ161" i="1"/>
  <c r="EY165" i="1"/>
  <c r="EZ163" i="1"/>
  <c r="EZ165" i="1" l="1"/>
  <c r="FA163" i="1"/>
  <c r="FA161" i="1"/>
  <c r="FA162" i="1"/>
  <c r="FB162" i="1" l="1"/>
  <c r="FB161" i="1"/>
  <c r="FA165" i="1"/>
  <c r="FB163" i="1"/>
  <c r="FC163" i="1" l="1"/>
  <c r="FB165" i="1"/>
  <c r="FC161" i="1"/>
  <c r="FC162" i="1"/>
  <c r="FD162" i="1" s="1"/>
  <c r="FD161" i="1" l="1"/>
  <c r="FC165" i="1"/>
  <c r="FD163" i="1"/>
  <c r="FE163" i="1" l="1"/>
  <c r="FD165" i="1"/>
  <c r="FE161" i="1"/>
  <c r="FE162" i="1"/>
  <c r="FF162" i="1" l="1"/>
  <c r="FF161" i="1"/>
  <c r="FE165" i="1"/>
  <c r="FF163" i="1"/>
  <c r="FF165" i="1" l="1"/>
  <c r="FG163" i="1"/>
  <c r="FG161" i="1"/>
  <c r="FG162" i="1"/>
  <c r="FH162" i="1" l="1"/>
  <c r="FH161" i="1"/>
  <c r="FG165" i="1"/>
  <c r="FH163" i="1"/>
  <c r="FI163" i="1" l="1"/>
  <c r="FH165" i="1"/>
  <c r="FI161" i="1"/>
  <c r="FI162" i="1"/>
  <c r="FJ162" i="1" l="1"/>
  <c r="FJ161" i="1"/>
  <c r="FI165" i="1"/>
  <c r="FJ163" i="1"/>
  <c r="FK163" i="1" l="1"/>
  <c r="FJ165" i="1"/>
  <c r="FK161" i="1"/>
  <c r="FK162" i="1"/>
  <c r="FL162" i="1" l="1"/>
  <c r="FL161" i="1"/>
  <c r="FK165" i="1"/>
  <c r="FL163" i="1"/>
  <c r="FM163" i="1" l="1"/>
  <c r="FL165" i="1"/>
  <c r="FM161" i="1"/>
  <c r="FM162" i="1"/>
  <c r="FN162" i="1" l="1"/>
  <c r="FN161" i="1"/>
  <c r="FM165" i="1"/>
  <c r="FN163" i="1"/>
  <c r="FO163" i="1" l="1"/>
  <c r="FN165" i="1"/>
  <c r="FO161" i="1"/>
  <c r="FO162" i="1"/>
  <c r="FP162" i="1" s="1"/>
  <c r="FP161" i="1" l="1"/>
  <c r="FO165" i="1"/>
  <c r="FP163" i="1"/>
  <c r="FQ163" i="1" l="1"/>
  <c r="FP165" i="1"/>
  <c r="FQ161" i="1"/>
  <c r="FQ162" i="1"/>
  <c r="FR162" i="1" l="1"/>
  <c r="FR161" i="1"/>
  <c r="FQ165" i="1"/>
  <c r="FR163" i="1"/>
  <c r="FR165" i="1" l="1"/>
  <c r="FS163" i="1"/>
  <c r="FS161" i="1"/>
  <c r="FS162" i="1"/>
  <c r="FT162" i="1" s="1"/>
  <c r="FT161" i="1" l="1"/>
  <c r="FS165" i="1"/>
  <c r="FT163" i="1"/>
  <c r="FU163" i="1" l="1"/>
  <c r="FT165" i="1"/>
  <c r="FU161" i="1"/>
  <c r="FU162" i="1"/>
  <c r="FV162" i="1" l="1"/>
  <c r="FV161" i="1"/>
  <c r="FU165" i="1"/>
  <c r="FV163" i="1"/>
  <c r="FW163" i="1" l="1"/>
  <c r="FV165" i="1"/>
  <c r="FW161" i="1"/>
  <c r="FW162" i="1"/>
  <c r="FX162" i="1" l="1"/>
  <c r="FX161" i="1"/>
  <c r="FW165" i="1"/>
  <c r="FX163" i="1"/>
  <c r="FY163" i="1" l="1"/>
  <c r="FX165" i="1"/>
  <c r="FY161" i="1"/>
  <c r="FY162" i="1"/>
  <c r="FZ162" i="1" l="1"/>
  <c r="FZ161" i="1"/>
  <c r="FY165" i="1"/>
  <c r="FZ163" i="1"/>
  <c r="GA163" i="1" l="1"/>
  <c r="FZ165" i="1"/>
  <c r="GA161" i="1"/>
  <c r="GA162" i="1"/>
  <c r="GB162" i="1" l="1"/>
  <c r="GB161" i="1"/>
  <c r="GA165" i="1"/>
  <c r="GB163" i="1"/>
  <c r="GC163" i="1" l="1"/>
  <c r="GB165" i="1"/>
  <c r="GC161" i="1"/>
  <c r="GC162" i="1"/>
  <c r="GD162" i="1" l="1"/>
  <c r="GD161" i="1"/>
  <c r="GC165" i="1"/>
  <c r="GD163" i="1"/>
  <c r="GD165" i="1" l="1"/>
  <c r="GE163" i="1"/>
  <c r="GE161" i="1"/>
  <c r="GE162" i="1"/>
  <c r="GF162" i="1" l="1"/>
  <c r="GF161" i="1"/>
  <c r="GE165" i="1"/>
  <c r="GF163" i="1"/>
  <c r="GG163" i="1" l="1"/>
  <c r="GF165" i="1"/>
  <c r="GG161" i="1"/>
  <c r="GG162" i="1"/>
  <c r="GH162" i="1" l="1"/>
  <c r="GH161" i="1"/>
  <c r="GG165" i="1"/>
  <c r="GH163" i="1"/>
  <c r="GH165" i="1" l="1"/>
  <c r="GI163" i="1"/>
  <c r="GI161" i="1"/>
  <c r="GI162" i="1"/>
  <c r="GJ162" i="1" s="1"/>
  <c r="GJ161" i="1" l="1"/>
  <c r="GI165" i="1"/>
  <c r="GJ163" i="1"/>
  <c r="GK163" i="1" l="1"/>
  <c r="GJ165" i="1"/>
  <c r="GK161" i="1"/>
  <c r="GK162" i="1"/>
  <c r="GL162" i="1" l="1"/>
  <c r="GL161" i="1"/>
  <c r="GK165" i="1"/>
  <c r="GL163" i="1"/>
  <c r="GM163" i="1" l="1"/>
  <c r="GL165" i="1"/>
  <c r="GM161" i="1"/>
  <c r="GM162" i="1"/>
  <c r="GN162" i="1" l="1"/>
  <c r="GN161" i="1"/>
  <c r="GM165" i="1"/>
  <c r="GN163" i="1"/>
  <c r="GO163" i="1" l="1"/>
  <c r="GN165" i="1"/>
  <c r="GO161" i="1"/>
  <c r="GO162" i="1"/>
  <c r="GP162" i="1" l="1"/>
  <c r="GP161" i="1"/>
  <c r="GO165" i="1"/>
  <c r="GP163" i="1"/>
  <c r="GQ163" i="1" l="1"/>
  <c r="GQ165" i="1" s="1"/>
  <c r="GP165" i="1"/>
  <c r="GQ161" i="1"/>
  <c r="GQ162" i="1"/>
</calcChain>
</file>

<file path=xl/sharedStrings.xml><?xml version="1.0" encoding="utf-8"?>
<sst xmlns="http://schemas.openxmlformats.org/spreadsheetml/2006/main" count="1463" uniqueCount="915">
  <si>
    <t>N stages required</t>
  </si>
  <si>
    <t>Maximum steady state output current</t>
  </si>
  <si>
    <t>Maximum diode current pulse</t>
  </si>
  <si>
    <t>Maximum diode current pulse with safety factor</t>
  </si>
  <si>
    <t>Safety factor</t>
  </si>
  <si>
    <t>Capacitance per stage</t>
  </si>
  <si>
    <t>Energy stored in single fully charged capacitor</t>
  </si>
  <si>
    <t>Diode steady state forward voltage</t>
  </si>
  <si>
    <t>Maximum total diode steady state power loss</t>
  </si>
  <si>
    <t>Maximum diode steady state power loss (assuming conducting all the time)</t>
  </si>
  <si>
    <t>Maximum discharged capacitor voltage</t>
  </si>
  <si>
    <t>Maximum resistance required for desired discharge time or less</t>
  </si>
  <si>
    <t>Total power loss through discharge resistors</t>
  </si>
  <si>
    <t>Actual distcharge resistance</t>
  </si>
  <si>
    <t>Maximum voltage per stage</t>
  </si>
  <si>
    <t>Total steady state power losses</t>
  </si>
  <si>
    <t>Units</t>
  </si>
  <si>
    <t>A</t>
  </si>
  <si>
    <t>V</t>
  </si>
  <si>
    <t>W</t>
  </si>
  <si>
    <t>F</t>
  </si>
  <si>
    <t>Ω</t>
  </si>
  <si>
    <t>J</t>
  </si>
  <si>
    <t>Maximum full mltiplier voltage after discharge</t>
  </si>
  <si>
    <t>Maximum energy into each resistor from sudden short circuit (ignoring diode voltage drop)</t>
  </si>
  <si>
    <t>Diode power losses</t>
  </si>
  <si>
    <t>Maximum allowed capacitor discharge time</t>
  </si>
  <si>
    <t>Capacitor discharge resistor</t>
  </si>
  <si>
    <t>Possible component</t>
  </si>
  <si>
    <t>Actual discharge time</t>
  </si>
  <si>
    <t>https://www.mouser.co.uk/datasheet/2/281/MHR0422SA_series_data_sheet-1594297.pdf</t>
  </si>
  <si>
    <t>This certainly seems to be the best part. Use two in series</t>
  </si>
  <si>
    <t>Peak current DCM</t>
  </si>
  <si>
    <t>Efficiency</t>
  </si>
  <si>
    <t>V_in_min</t>
  </si>
  <si>
    <t>V_in_max</t>
  </si>
  <si>
    <t>D_max</t>
  </si>
  <si>
    <t>I_p_peak</t>
  </si>
  <si>
    <t>Maximum voltage to drive primary of transformer</t>
  </si>
  <si>
    <t>Minimum voltage to drive primary of transformer</t>
  </si>
  <si>
    <t>Switching frequency</t>
  </si>
  <si>
    <t>f_sw</t>
  </si>
  <si>
    <t>A_l</t>
  </si>
  <si>
    <t>nano henries per turn squared</t>
  </si>
  <si>
    <t>N_p</t>
  </si>
  <si>
    <t>Number of primary turns required</t>
  </si>
  <si>
    <t>B_max</t>
  </si>
  <si>
    <t>Maximum flux density</t>
  </si>
  <si>
    <t>A_e</t>
  </si>
  <si>
    <t>B_sat</t>
  </si>
  <si>
    <t>Saturation flux density</t>
  </si>
  <si>
    <t>Will saturate</t>
  </si>
  <si>
    <t>V_out_min</t>
  </si>
  <si>
    <t>V_out_d_max</t>
  </si>
  <si>
    <t>Output voltage desired at maximum duty cycle</t>
  </si>
  <si>
    <t>I_s_peak</t>
  </si>
  <si>
    <t>I_o</t>
  </si>
  <si>
    <t>Value</t>
  </si>
  <si>
    <t>Enough stages</t>
  </si>
  <si>
    <t>Hz</t>
  </si>
  <si>
    <t>Minimum desired output voltage at full power</t>
  </si>
  <si>
    <t>Maximum desired output voltage at full power</t>
  </si>
  <si>
    <t>V_out_max</t>
  </si>
  <si>
    <t>Maximum power output desired</t>
  </si>
  <si>
    <t>Iopmax</t>
  </si>
  <si>
    <t>maximum output current</t>
  </si>
  <si>
    <t>Rout</t>
  </si>
  <si>
    <t xml:space="preserve">output resistance required </t>
  </si>
  <si>
    <t>I_vomaxpmax</t>
  </si>
  <si>
    <t>continuous output current for desired output power at maximum voltage</t>
  </si>
  <si>
    <t>I_vominpmax</t>
  </si>
  <si>
    <t>continuous output current for desired output power at minimum voltage</t>
  </si>
  <si>
    <t>voltage drop at max output voltage</t>
  </si>
  <si>
    <t>voltage drop at minimum output voltage</t>
  </si>
  <si>
    <t>resistor power at max output voltage</t>
  </si>
  <si>
    <t>resistor power at minimum output voltage</t>
  </si>
  <si>
    <t>Voltage ripple</t>
  </si>
  <si>
    <t>Y5T tanδ best case</t>
  </si>
  <si>
    <t>Y5T tanδ worst case</t>
  </si>
  <si>
    <t>N4700 best case</t>
  </si>
  <si>
    <t>N4700 worst case</t>
  </si>
  <si>
    <t>Y6P best case</t>
  </si>
  <si>
    <t>Y6P worst case</t>
  </si>
  <si>
    <t>Y5P best case</t>
  </si>
  <si>
    <t>I_FSM</t>
  </si>
  <si>
    <t>Diode Average output current</t>
  </si>
  <si>
    <t>Villard Diode</t>
  </si>
  <si>
    <t>N Stages Actual</t>
  </si>
  <si>
    <t>N_v</t>
  </si>
  <si>
    <t>N_v_r</t>
  </si>
  <si>
    <t>Power wasted per stage while running from discharge resistor</t>
  </si>
  <si>
    <t>Discharges quickly enough</t>
  </si>
  <si>
    <t>Villard capacitor</t>
  </si>
  <si>
    <t>Y5T worst case power loss per capacitor</t>
  </si>
  <si>
    <t>N4700 worst case loss per capacitor</t>
  </si>
  <si>
    <t>Y6P worst case power loss per capacitor</t>
  </si>
  <si>
    <t>Y5P worst case</t>
  </si>
  <si>
    <t>Y5P worst case power loss per capacitor</t>
  </si>
  <si>
    <t>Y5T worst case power loss total</t>
  </si>
  <si>
    <t>N4700 worst case loss total</t>
  </si>
  <si>
    <t>Y6P worst case power loss total</t>
  </si>
  <si>
    <t>Y5P worst case power loss total</t>
  </si>
  <si>
    <t>V_c_rms</t>
  </si>
  <si>
    <t>Capacitor RMS voltage ripple</t>
  </si>
  <si>
    <t>Capacitor reactive power</t>
  </si>
  <si>
    <t xml:space="preserve">P_c_rms </t>
  </si>
  <si>
    <t>dV_c</t>
  </si>
  <si>
    <t>E_c_max</t>
  </si>
  <si>
    <t>Minimum total series resistance required</t>
  </si>
  <si>
    <t>Actual individual series resistor value</t>
  </si>
  <si>
    <t>N series resistors</t>
  </si>
  <si>
    <t>Description</t>
  </si>
  <si>
    <t>Variable</t>
  </si>
  <si>
    <t>Subsystem/Component</t>
  </si>
  <si>
    <t>Output current limiting composite series resistor</t>
  </si>
  <si>
    <t>Actual series resistance</t>
  </si>
  <si>
    <t>Minimum steady state output current at maximum voltage</t>
  </si>
  <si>
    <t>Total energy stored in all fully charged capacitors at maximum voltage</t>
  </si>
  <si>
    <t>Tolerance</t>
  </si>
  <si>
    <t>Inches to mm</t>
  </si>
  <si>
    <t>L</t>
  </si>
  <si>
    <t>mm</t>
  </si>
  <si>
    <t>L_max</t>
  </si>
  <si>
    <t>d</t>
  </si>
  <si>
    <t>d_max</t>
  </si>
  <si>
    <t>D</t>
  </si>
  <si>
    <t>Space between case and pcb</t>
  </si>
  <si>
    <t>Bend radius</t>
  </si>
  <si>
    <t>Pad spacing distance</t>
  </si>
  <si>
    <t>Minimum hole size</t>
  </si>
  <si>
    <t>Maximum hole size</t>
  </si>
  <si>
    <t>Pad Size Smallest Pad (Standard)</t>
  </si>
  <si>
    <t>More Reliable Pad (Recommended)</t>
  </si>
  <si>
    <t>Extra Strong (Power Applications)</t>
  </si>
  <si>
    <t>Actual hole size using</t>
  </si>
  <si>
    <t>Actual pad size using</t>
  </si>
  <si>
    <t>T_max</t>
  </si>
  <si>
    <t>AXCT81D20KV102K</t>
  </si>
  <si>
    <t>F_max</t>
  </si>
  <si>
    <t>Silkscreen clearance</t>
  </si>
  <si>
    <t>Silkscreen ractangle Width</t>
  </si>
  <si>
    <t>Siklscreen rectangle Height</t>
  </si>
  <si>
    <t>H</t>
  </si>
  <si>
    <t>H_max</t>
  </si>
  <si>
    <t>P</t>
  </si>
  <si>
    <t>P_max</t>
  </si>
  <si>
    <t>Pad spacing</t>
  </si>
  <si>
    <t>Space between pads</t>
  </si>
  <si>
    <t>HVR82MZ1005</t>
  </si>
  <si>
    <t>PCB Footprint Calculations</t>
  </si>
  <si>
    <t>%</t>
  </si>
  <si>
    <t>Maximum series resistance</t>
  </si>
  <si>
    <t>Minimum series resistance</t>
  </si>
  <si>
    <t>Maximum possible power loss with maximum flyback secondary current (limited to protect diodes)</t>
  </si>
  <si>
    <t>HVR82MY5010</t>
  </si>
  <si>
    <t>N_s</t>
  </si>
  <si>
    <t>Number of secondary turns required</t>
  </si>
  <si>
    <t>N bobbin segments</t>
  </si>
  <si>
    <t>Turns per bobbin segment</t>
  </si>
  <si>
    <t>Actual length for windings</t>
  </si>
  <si>
    <t>Segment length</t>
  </si>
  <si>
    <t>Wire thickness</t>
  </si>
  <si>
    <t>Winding space tolerance</t>
  </si>
  <si>
    <t>Winding thickness with tolerance</t>
  </si>
  <si>
    <t>N turns along segment length</t>
  </si>
  <si>
    <t>N 2mm dividers required not counting air gap one</t>
  </si>
  <si>
    <t>Bobin length for windings not counting air gap</t>
  </si>
  <si>
    <t>Average turn radius</t>
  </si>
  <si>
    <t>inner bobbin diameter</t>
  </si>
  <si>
    <t>Wire length meters</t>
  </si>
  <si>
    <t>Wire radius meters</t>
  </si>
  <si>
    <t>Wire volume</t>
  </si>
  <si>
    <t>Density of wire</t>
  </si>
  <si>
    <t>kg/m^3</t>
  </si>
  <si>
    <t>Mass of wire required</t>
  </si>
  <si>
    <t>Winding height</t>
  </si>
  <si>
    <t>N windings high</t>
  </si>
  <si>
    <t>132.2 longest dimension both cores</t>
  </si>
  <si>
    <t>~ 84.1 internal both sides together longest dimension for bobin lengths</t>
  </si>
  <si>
    <t>Average turn radius primary</t>
  </si>
  <si>
    <t>Wire conductive core thickness</t>
  </si>
  <si>
    <t>Resistance</t>
  </si>
  <si>
    <t>Resistivity</t>
  </si>
  <si>
    <t>Power loss</t>
  </si>
  <si>
    <t>Primary wire connections total length</t>
  </si>
  <si>
    <t>Primary winding wire length meters</t>
  </si>
  <si>
    <t>mm (included skin effect from 2mm, take this out put in proper equations)</t>
  </si>
  <si>
    <t>skin depth</t>
  </si>
  <si>
    <t>skin depth mm</t>
  </si>
  <si>
    <t>wire cross sectional area</t>
  </si>
  <si>
    <t>Wire conductive radius</t>
  </si>
  <si>
    <t>non conducting area due to skin effect</t>
  </si>
  <si>
    <t>conducting cross sectional area</t>
  </si>
  <si>
    <t>m</t>
  </si>
  <si>
    <t>m^2</t>
  </si>
  <si>
    <t>Total length</t>
  </si>
  <si>
    <t>Total surface area windng excluding ends</t>
  </si>
  <si>
    <t>Resistance winding</t>
  </si>
  <si>
    <t>Resistance connection wire length</t>
  </si>
  <si>
    <t>Total resistance</t>
  </si>
  <si>
    <t>Power loss connecton wire</t>
  </si>
  <si>
    <t>Total Power loss</t>
  </si>
  <si>
    <t>Heat flux winding</t>
  </si>
  <si>
    <t>Wire cross sectonal area</t>
  </si>
  <si>
    <t>watts</t>
  </si>
  <si>
    <t xml:space="preserve">Turns per segment. </t>
  </si>
  <si>
    <t>I_peak</t>
  </si>
  <si>
    <t>Multiple V_in_max should tollerate</t>
  </si>
  <si>
    <t>Maximum input voltage for range</t>
  </si>
  <si>
    <t>P_on</t>
  </si>
  <si>
    <t>R_DS(on)</t>
  </si>
  <si>
    <t>I_d_required</t>
  </si>
  <si>
    <t>V_ds_required</t>
  </si>
  <si>
    <t>Q_gs</t>
  </si>
  <si>
    <t>Q_gd</t>
  </si>
  <si>
    <t>Q_g</t>
  </si>
  <si>
    <t>Total gate charge</t>
  </si>
  <si>
    <t>I_g</t>
  </si>
  <si>
    <t>R_drive</t>
  </si>
  <si>
    <t>Maximum drive current rating of gate driver</t>
  </si>
  <si>
    <t>Maximum drive current can safely use</t>
  </si>
  <si>
    <t>V_ds_actual</t>
  </si>
  <si>
    <t>R_pulldown</t>
  </si>
  <si>
    <t>t_off_pulldown</t>
  </si>
  <si>
    <t>Passive off time without gate driver from pulldown resistor. For example on loss of power</t>
  </si>
  <si>
    <t>V_gs(th)</t>
  </si>
  <si>
    <t>I_DM</t>
  </si>
  <si>
    <t>I_D25</t>
  </si>
  <si>
    <t>Pulldown great (less or equal to I_D25)</t>
  </si>
  <si>
    <t>Pulldown acceptible (less or equal to I_DM)</t>
  </si>
  <si>
    <t>P_Rpd</t>
  </si>
  <si>
    <t>Pulldown resistor power</t>
  </si>
  <si>
    <t>P_TOTAL</t>
  </si>
  <si>
    <t>s</t>
  </si>
  <si>
    <t>C</t>
  </si>
  <si>
    <t>V_ds high enough</t>
  </si>
  <si>
    <t>Max current reached in passive gate-off scenario (at peak current)</t>
  </si>
  <si>
    <t>Power for switching (power required to drive gate on and off)</t>
  </si>
  <si>
    <t>Q_c</t>
  </si>
  <si>
    <t>Charge per cycle</t>
  </si>
  <si>
    <t>Peak primary current at end of t_on</t>
  </si>
  <si>
    <t>Duty cycle at peak primary current</t>
  </si>
  <si>
    <t>ΔV_max</t>
  </si>
  <si>
    <t>Scaling factor for burst handling and ripple smoothing</t>
  </si>
  <si>
    <t>f_c</t>
  </si>
  <si>
    <t>cutoff frequency for good attenuation</t>
  </si>
  <si>
    <t>L_lp</t>
  </si>
  <si>
    <t>C_lp_tank_desired</t>
  </si>
  <si>
    <t>C_lp_tank_min</t>
  </si>
  <si>
    <t>L_lp_min</t>
  </si>
  <si>
    <t>Minimum desired low-pass filter inductance</t>
  </si>
  <si>
    <t>f_c_desired</t>
  </si>
  <si>
    <t>Actual cutoff frequency</t>
  </si>
  <si>
    <t>C_lp</t>
  </si>
  <si>
    <t>Actual tank capacitance</t>
  </si>
  <si>
    <t>Attenuation(dB)</t>
  </si>
  <si>
    <t>E_C_lp_max</t>
  </si>
  <si>
    <t>Power Conditioning</t>
  </si>
  <si>
    <t>R_ir</t>
  </si>
  <si>
    <t>Inrush current limiting resistance</t>
  </si>
  <si>
    <t>Minimum power rating for inrush current limiting resistor</t>
  </si>
  <si>
    <t>s1</t>
  </si>
  <si>
    <t>s2</t>
  </si>
  <si>
    <t>t_peak</t>
  </si>
  <si>
    <t>P_R_ir_max</t>
  </si>
  <si>
    <t>Circuit is underdamped</t>
  </si>
  <si>
    <t>Underdamped</t>
  </si>
  <si>
    <t>α</t>
  </si>
  <si>
    <t>ω0</t>
  </si>
  <si>
    <t>ωd​</t>
  </si>
  <si>
    <t>Percent overshoot</t>
  </si>
  <si>
    <t>t_99%</t>
  </si>
  <si>
    <t>V_c_rating_min</t>
  </si>
  <si>
    <t>Minimum voltage rating of capacitor(s)</t>
  </si>
  <si>
    <t>C_lp_individual</t>
  </si>
  <si>
    <t>N_C_lp</t>
  </si>
  <si>
    <t>C_lp tolerance</t>
  </si>
  <si>
    <t>C_lp_min</t>
  </si>
  <si>
    <t>ESR_C_lp_individual</t>
  </si>
  <si>
    <t>ESR of individual capacitor</t>
  </si>
  <si>
    <t>ESR_C_lp_total</t>
  </si>
  <si>
    <t>P_C_lp_loss</t>
  </si>
  <si>
    <t>P_C_lp_loss_individual</t>
  </si>
  <si>
    <t>Actual low-pass filter  inductance</t>
  </si>
  <si>
    <t>I_avg_max</t>
  </si>
  <si>
    <t>I_L_lp_min</t>
  </si>
  <si>
    <t>Relay coil resistance</t>
  </si>
  <si>
    <t>Relay coil resistance tolerance</t>
  </si>
  <si>
    <t>R_re_coil_min</t>
  </si>
  <si>
    <t>R_re_coil</t>
  </si>
  <si>
    <t>R_re_coil_max</t>
  </si>
  <si>
    <t>V_re_nom</t>
  </si>
  <si>
    <t>I_re_nom</t>
  </si>
  <si>
    <t>Relay R,V and I nominal match up</t>
  </si>
  <si>
    <t>V_re_max</t>
  </si>
  <si>
    <t>Maximum relay voltage</t>
  </si>
  <si>
    <t>V_re_min</t>
  </si>
  <si>
    <t>Minimum relay voltage</t>
  </si>
  <si>
    <t>I_re_min_required</t>
  </si>
  <si>
    <t>I_re_max_required</t>
  </si>
  <si>
    <t>V_in_nom</t>
  </si>
  <si>
    <t>Nominal input voltage</t>
  </si>
  <si>
    <t>Typical current using suggested resistor value with nominal input voltage</t>
  </si>
  <si>
    <t>Minimum current (with minimum input voltage and  R_re_coil_max)</t>
  </si>
  <si>
    <t>Maximum current (with maximum input voltage and  R_re_coil_min)</t>
  </si>
  <si>
    <t>R_re_ext</t>
  </si>
  <si>
    <t>Suitable R_ext value</t>
  </si>
  <si>
    <t>P_R_re_ext_max</t>
  </si>
  <si>
    <t>P_R_re_ext_min</t>
  </si>
  <si>
    <t>R_re_ext tolerance</t>
  </si>
  <si>
    <t>R_re_ext_min</t>
  </si>
  <si>
    <t>R_re_ext_max</t>
  </si>
  <si>
    <t>P_R_re_EXT_nom</t>
  </si>
  <si>
    <t>ΔV_ESR</t>
  </si>
  <si>
    <t>ΔV_C</t>
  </si>
  <si>
    <t>ΔV_total</t>
  </si>
  <si>
    <t xml:space="preserve"> </t>
  </si>
  <si>
    <t>k</t>
  </si>
  <si>
    <t>n_s</t>
  </si>
  <si>
    <t>n_r</t>
  </si>
  <si>
    <t>I_max</t>
  </si>
  <si>
    <t>I_min</t>
  </si>
  <si>
    <t>V_g</t>
  </si>
  <si>
    <t>C_2</t>
  </si>
  <si>
    <t>V_max</t>
  </si>
  <si>
    <t>Z_os</t>
  </si>
  <si>
    <t>V_o</t>
  </si>
  <si>
    <t>I_lk_min</t>
  </si>
  <si>
    <t>I_c2_pkR</t>
  </si>
  <si>
    <t>Ids_pk</t>
  </si>
  <si>
    <t>I_c2_pkS</t>
  </si>
  <si>
    <t>L_lk</t>
  </si>
  <si>
    <t>Change Vmax</t>
  </si>
  <si>
    <t>v_ max/V_g</t>
  </si>
  <si>
    <t>E_pulse_max_desired</t>
  </si>
  <si>
    <t>Desired energy into flyback on each cycle with D=D_max</t>
  </si>
  <si>
    <t>n_p/n_s</t>
  </si>
  <si>
    <t>Power Supply Voltage Feedback</t>
  </si>
  <si>
    <t>So only way to get more power out is to increase input voltage or increase peak current, but this is limited by the villard diodes.</t>
  </si>
  <si>
    <t>So what this means is the natural frequency the system operates at with limited peak primary current and discharging to 0 before next cycle. Is that the frequency increases in proportion to the drive voltage being placed across the flyback transformer.</t>
  </si>
  <si>
    <t>Inductor energy</t>
  </si>
  <si>
    <t>I_in_typical</t>
  </si>
  <si>
    <t>V_in_typical</t>
  </si>
  <si>
    <t>Capacitor voltage change from nominal for inductor energy</t>
  </si>
  <si>
    <t>PCB Track Thickness  IPC-2221</t>
  </si>
  <si>
    <t>Current (I)</t>
  </si>
  <si>
    <t>Thickness oz/ft</t>
  </si>
  <si>
    <t>T_rise</t>
  </si>
  <si>
    <t>Track</t>
  </si>
  <si>
    <t>Inputs from batteries</t>
  </si>
  <si>
    <t>Connection to both external 3A max PSU's</t>
  </si>
  <si>
    <t>To fiber optics</t>
  </si>
  <si>
    <t>22 amp peak circuit</t>
  </si>
  <si>
    <t>Length of track</t>
  </si>
  <si>
    <t>Actual Width Chosen</t>
  </si>
  <si>
    <t>External Layer Width Required (mm)</t>
  </si>
  <si>
    <t>Internal Layer Width Required (mm)</t>
  </si>
  <si>
    <t>Power</t>
  </si>
  <si>
    <t>Actual Expected Trise Internal</t>
  </si>
  <si>
    <t>Actual Expected Trise External</t>
  </si>
  <si>
    <t>Voltage Drop</t>
  </si>
  <si>
    <t>Mineral oil volume</t>
  </si>
  <si>
    <t>m^3</t>
  </si>
  <si>
    <t>Vessel ID</t>
  </si>
  <si>
    <t>Height</t>
  </si>
  <si>
    <t>Maximum heat power</t>
  </si>
  <si>
    <t>kJ/kg·K</t>
  </si>
  <si>
    <t>Allowed temperture rise above ambient</t>
  </si>
  <si>
    <t>K</t>
  </si>
  <si>
    <t>Mineral oil density</t>
  </si>
  <si>
    <t>Mineral oil Specific heat capacity oil</t>
  </si>
  <si>
    <t>kg/m³</t>
  </si>
  <si>
    <t>m³</t>
  </si>
  <si>
    <t>Total mass of mineral oil in vessel</t>
  </si>
  <si>
    <t>kg</t>
  </si>
  <si>
    <t>Total energy capacity for specified temperture rise</t>
  </si>
  <si>
    <t>KJ</t>
  </si>
  <si>
    <t>Maximum time for single turnover</t>
  </si>
  <si>
    <t>Desired maximum time for single turnover including safety factor</t>
  </si>
  <si>
    <t>Flow rate required</t>
  </si>
  <si>
    <t>m³/s</t>
  </si>
  <si>
    <t>ml/s</t>
  </si>
  <si>
    <t>Safe flow speed portal</t>
  </si>
  <si>
    <t>m/s</t>
  </si>
  <si>
    <t>Portal area required</t>
  </si>
  <si>
    <t>Portal sizing (diameter)</t>
  </si>
  <si>
    <t>Portal diameter minimum (mm)</t>
  </si>
  <si>
    <t>Minimum portal diameter</t>
  </si>
  <si>
    <t>Desired reynalds number</t>
  </si>
  <si>
    <t>Kinemetic viscosity</t>
  </si>
  <si>
    <t>Dyanmic viscosity</t>
  </si>
  <si>
    <t>Actual reynolds number</t>
  </si>
  <si>
    <t>Actual Portal diameter</t>
  </si>
  <si>
    <t>Actual portal diameter (m)</t>
  </si>
  <si>
    <t>Reynolds number acceptible</t>
  </si>
  <si>
    <t>M4</t>
  </si>
  <si>
    <t>Length</t>
  </si>
  <si>
    <t>Diameter</t>
  </si>
  <si>
    <t>Number</t>
  </si>
  <si>
    <t>M3</t>
  </si>
  <si>
    <t>30mm</t>
  </si>
  <si>
    <t>M2.5</t>
  </si>
  <si>
    <t>M8</t>
  </si>
  <si>
    <t>20mm</t>
  </si>
  <si>
    <t>30mm 40 more desirable</t>
  </si>
  <si>
    <t>https://www.aliexpress.com/item/1005005480826442.html?spm=a2g0o.cart.0.0.10e238dawUu18S&amp;mp=1&amp;pdp_npi=5%40dis%21GBP%21GBP%201.52%21GBP%201.26%21%21GBP%201.26%21%21%21%4021038da617489300338885085ef51d%2112000033254538100%21ct%21UK%214911257576%21%211%210</t>
  </si>
  <si>
    <t>https://www.aliexpress.com/item/1005005489704779.html?spm=a2g0o.cart.0.0.3af938daqF893N&amp;mp=1&amp;pdp_npi=5%40dis%21GBP%21GBP%202.11%21GBP%201.84%21%21GBP%201.84%21%21%21%4021038da617489300680525622ef51d%2112000033284825011%21ct%21UK%214911257576%21%211%210</t>
  </si>
  <si>
    <t>https://www.aliexpress.com/item/1005005480826442.html?spm=a2g0o.cart.0.0.560938daHEcyqE&amp;mp=1&amp;pdp_npi=5%40dis%21GBP%21GBP%200.82%21GBP%200.68%21%21GBP%200.68%21%21%21%4021038da617489300775685831ef51d%2112000033254379950%21ct%21UK%214911257576%21%211%210</t>
  </si>
  <si>
    <t>https://www.aliexpress.com/item/32979035684.html?spm=a2g0o.productlist.main.1.43315cf9lFXo4v&amp;algo_pvid=1ae9e8c1-7a0f-4aec-b376-9270d2db3078&amp;algo_exp_id=1ae9e8c1-7a0f-4aec-b376-9270d2db3078-0&amp;pdp_ext_f=%7B%22order%22%3A%2249%22%2C%22eval%22%3A%221%22%7D&amp;pdp_npi=4%40dis%21GBP%211.02%210.96%21%21%211.34%211.26%21%402103956b17489301282611606e8cf3%2112000037695417645%21sea%21UK%214911257576%21X&amp;curPageLogUid=ecdD7wgyjiJL&amp;utparam-url=scene%3Asearch%7Cquery_from%3A</t>
  </si>
  <si>
    <t>https://www.aliexpress.com/item/1005005489704779.html?spm=a2g0o.cart.0.0.184338dahPk8Kk&amp;mp=1&amp;pdp_npi=5%40dis%21GBP%21GBP%202.11%21GBP%201.84%21%21GBP%201.84%21%21%21%40211b807017489305761224505eeaf6%2112000033284825011%21ct%21UK%214911257576%21%211%210</t>
  </si>
  <si>
    <t>25mm (20mm just enough I think)</t>
  </si>
  <si>
    <t>https://www.aliexpress.com/item/1005005747262698.html?spm=a2g0o.cart.0.0.4cc038daQAAcCh&amp;mp=1&amp;pdp_npi=5%40dis%21GBP%21GBP%205.88%21GBP%202.94%21%21GBP%202.94%21%21%21%40211b807017489305983274816eeaf6%2112000034202358244%21ct%21UK%214911257576%21%211%210</t>
  </si>
  <si>
    <t xml:space="preserve">Washer kit varying sizes m2.5 + </t>
  </si>
  <si>
    <t xml:space="preserve">25mm </t>
  </si>
  <si>
    <t>Driver MOSFET Heat sinking</t>
  </si>
  <si>
    <t>Thermal conductivity of insulator layer</t>
  </si>
  <si>
    <t>W/m-K</t>
  </si>
  <si>
    <t>Thickness of insulator layer (mm)</t>
  </si>
  <si>
    <t>Contact Area</t>
  </si>
  <si>
    <t>Total thermal resistance</t>
  </si>
  <si>
    <t>RθCS</t>
  </si>
  <si>
    <t>Case-to-Sink Thermal resistance of insulator layer</t>
  </si>
  <si>
    <t>RθJC</t>
  </si>
  <si>
    <t>Junction-to-Case</t>
  </si>
  <si>
    <t>RθSA​</t>
  </si>
  <si>
    <t>Sink-to-Ambient Thermal resistance of heatsink max</t>
  </si>
  <si>
    <t>Delta T</t>
  </si>
  <si>
    <t>ΔT</t>
  </si>
  <si>
    <t>Maximum ambient temperature</t>
  </si>
  <si>
    <t>Maximum junction temperature</t>
  </si>
  <si>
    <t>Maximum allowed junction temperature</t>
  </si>
  <si>
    <t>Acceptible</t>
  </si>
  <si>
    <t>High Voltage Output Feedback</t>
  </si>
  <si>
    <t>N individual resistors in composite high voltage resistor</t>
  </si>
  <si>
    <t>Ratio required</t>
  </si>
  <si>
    <t>Low leg resistance required</t>
  </si>
  <si>
    <t>Current at maximum output voltage</t>
  </si>
  <si>
    <t>Power per individual composite resistor</t>
  </si>
  <si>
    <t>Total power</t>
  </si>
  <si>
    <t>Power in lower leg resistor</t>
  </si>
  <si>
    <t>Cooling fan</t>
  </si>
  <si>
    <t>Number of heatsinks (identicle in this case)</t>
  </si>
  <si>
    <t>Desired flow rate for each heatsink</t>
  </si>
  <si>
    <t>cross sectional area</t>
  </si>
  <si>
    <t>LFM</t>
  </si>
  <si>
    <t>Cubic meters per minute per heatsink</t>
  </si>
  <si>
    <t>Cubic meters per hour</t>
  </si>
  <si>
    <t>Inrush resistor temperature change</t>
  </si>
  <si>
    <t>Total energy into inrush current limiting resistor</t>
  </si>
  <si>
    <t>E_R_ir</t>
  </si>
  <si>
    <t>V_R_ir</t>
  </si>
  <si>
    <t>Volume of inrush resistor metal</t>
  </si>
  <si>
    <t>c_p</t>
  </si>
  <si>
    <t>Inrush resistor metal specific heat capacity (probably aluminium alloy)</t>
  </si>
  <si>
    <t>ρ</t>
  </si>
  <si>
    <t>Inrush resistor metal density</t>
  </si>
  <si>
    <t>kPETG</t>
  </si>
  <si>
    <t>heff​</t>
  </si>
  <si>
    <t>Effective thermal dissipation rate</t>
  </si>
  <si>
    <t>Thermal time constant</t>
  </si>
  <si>
    <t>Thermal capacitance</t>
  </si>
  <si>
    <t>Cth​</t>
  </si>
  <si>
    <t>t99%​</t>
  </si>
  <si>
    <t>Thermal conductivity petg</t>
  </si>
  <si>
    <t>RPETG​</t>
  </si>
  <si>
    <t>Thermal resistance PETG</t>
  </si>
  <si>
    <t>Area PETG insulator</t>
  </si>
  <si>
    <t>A_insulator</t>
  </si>
  <si>
    <t>L_insulator</t>
  </si>
  <si>
    <t>Length insulator</t>
  </si>
  <si>
    <t>Q(t)</t>
  </si>
  <si>
    <t>ΔTfar side</t>
  </si>
  <si>
    <t>Actual low leg resistance</t>
  </si>
  <si>
    <t>Active cooling by oil circulation</t>
  </si>
  <si>
    <t>Power loss discharge resistors</t>
  </si>
  <si>
    <t>Steady state power loss diodes</t>
  </si>
  <si>
    <t>Flyback power loss</t>
  </si>
  <si>
    <t>Total power loss into mineral oil</t>
  </si>
  <si>
    <t>Individual current limiting resistor power rating</t>
  </si>
  <si>
    <t>Minimum output voltage acceptible (doesn’t cause too high loss)</t>
  </si>
  <si>
    <t>Maximum steady state power loss at highest rated output voltage</t>
  </si>
  <si>
    <t>Dummy Loads For Testing Primary</t>
  </si>
  <si>
    <t>Minimum current required to test above lower bound of ADC</t>
  </si>
  <si>
    <t>Max resistance required</t>
  </si>
  <si>
    <t>Min resistance required</t>
  </si>
  <si>
    <t>Nominal resistance required</t>
  </si>
  <si>
    <t>Actual resistance for minimum current test</t>
  </si>
  <si>
    <t>Maximum output power</t>
  </si>
  <si>
    <t>Actual individual resistor value</t>
  </si>
  <si>
    <t>N in series</t>
  </si>
  <si>
    <t>Series resistance</t>
  </si>
  <si>
    <t>Minimum resistance for 200w test required</t>
  </si>
  <si>
    <t>Maximum current reached</t>
  </si>
  <si>
    <t>Maximum peak current</t>
  </si>
  <si>
    <t>Minimum peak current</t>
  </si>
  <si>
    <t>Maximum average power</t>
  </si>
  <si>
    <t>Maximum Peak power</t>
  </si>
  <si>
    <t>Minimum Peak Power</t>
  </si>
  <si>
    <t>Minimum average power</t>
  </si>
  <si>
    <t>1, 1, 1, 1, 1</t>
  </si>
  <si>
    <t>Resistor combination for maximum supply voltage</t>
  </si>
  <si>
    <t>1, 1, 1, 1, 1, 1</t>
  </si>
  <si>
    <t>1, 1, 1, 2, 2</t>
  </si>
  <si>
    <t>1, 1, 1, 1, 2, 2</t>
  </si>
  <si>
    <t>1, 1, 1, 1, 1, 2, 2</t>
  </si>
  <si>
    <t>1, 1, 1, 1, 1, 1, 2, 2</t>
  </si>
  <si>
    <t>1, 1, 1, 2, 2, 4</t>
  </si>
  <si>
    <t>1, 2, 2, 4, 4</t>
  </si>
  <si>
    <t>1, 1, 1, 1, 2, 2, 4 OR 2, 4, 4</t>
  </si>
  <si>
    <t>1, 1, 2, 2, 4, 4</t>
  </si>
  <si>
    <t>f</t>
  </si>
  <si>
    <t>drive frequency (Hz) (16 kHz nominal)</t>
  </si>
  <si>
    <t>N</t>
  </si>
  <si>
    <t>CT turns ratio (e.g. 1000:1 ⇒ N=1000)</t>
  </si>
  <si>
    <t>Vadc_fs</t>
  </si>
  <si>
    <t>Vf</t>
  </si>
  <si>
    <t>forward drop of one rectifier diode at your CT secondary current (V)</t>
  </si>
  <si>
    <t>Burden resistor resistance = Vtarget_pk / Isec_pk</t>
  </si>
  <si>
    <t>Rb_suggested</t>
  </si>
  <si>
    <t>Rb_actual</t>
  </si>
  <si>
    <t>Actual value chosen</t>
  </si>
  <si>
    <t>Primary peak current (A) under typical operating conditions</t>
  </si>
  <si>
    <t>Maximum peak current to ever be potentially seen</t>
  </si>
  <si>
    <t>I_pri_pk_max</t>
  </si>
  <si>
    <t>Expected RMS at the maximum operating point</t>
  </si>
  <si>
    <t>I_pri_rms_max</t>
  </si>
  <si>
    <t>I_sec_pk_max</t>
  </si>
  <si>
    <t>I_sec_rms_max</t>
  </si>
  <si>
    <t>ADC full-scale you want to use at the maximum primary peak current</t>
  </si>
  <si>
    <t>Peak power in Rb at maximum primary current</t>
  </si>
  <si>
    <t>Peak power seen in a bridge rectifier diode at maximum primary current</t>
  </si>
  <si>
    <t>Actual peak voltage seen by ADC at maximum primary current</t>
  </si>
  <si>
    <t>Vadc_actual_pk_max</t>
  </si>
  <si>
    <t>P_D_peak_max</t>
  </si>
  <si>
    <t>P_Rb_peak_max</t>
  </si>
  <si>
    <t>Peak power in Rb at typical peak primary current</t>
  </si>
  <si>
    <t>P_Rb_peak_typ</t>
  </si>
  <si>
    <t>I_sec_pk_typ</t>
  </si>
  <si>
    <t>P_D_peak_typ</t>
  </si>
  <si>
    <t>Peak power seen in a bridge rectifier diode at typical peak primary current</t>
  </si>
  <si>
    <t>V_adc_peak_typ</t>
  </si>
  <si>
    <t>Typical Peak voltage seen by ADC</t>
  </si>
  <si>
    <t>P_Rb_average_max</t>
  </si>
  <si>
    <t>P_Rb_average_typ</t>
  </si>
  <si>
    <t>Average power in Rb at typical primary current</t>
  </si>
  <si>
    <t>Average power in Rb at maximum primary current</t>
  </si>
  <si>
    <t>I_sec_rms_typ</t>
  </si>
  <si>
    <t>I_pri_rms_typ</t>
  </si>
  <si>
    <t>I_pri_pk_typ</t>
  </si>
  <si>
    <t>Rb_peak_max</t>
  </si>
  <si>
    <t>Maximum peak burden seen by current transformer</t>
  </si>
  <si>
    <t>Id_pk</t>
  </si>
  <si>
    <t>Minimum diode current rating (comfortably rated for repetitive peak current)</t>
  </si>
  <si>
    <t>Id_actual</t>
  </si>
  <si>
    <t>Actual diode repetitive peak current rating</t>
  </si>
  <si>
    <t>V_zener_min_actual</t>
  </si>
  <si>
    <t>Minimum ADC input protection zener diode voltage</t>
  </si>
  <si>
    <t>R_series_min</t>
  </si>
  <si>
    <t>Minimum resistor value between Rb node and ADC input node</t>
  </si>
  <si>
    <t>t_half_cycle</t>
  </si>
  <si>
    <t>N_ts</t>
  </si>
  <si>
    <t>N time steps for integrating volt-time-product</t>
  </si>
  <si>
    <t>Time step</t>
  </si>
  <si>
    <t>Interval</t>
  </si>
  <si>
    <t>I_primary</t>
  </si>
  <si>
    <t>I_primary_pk</t>
  </si>
  <si>
    <t>I_secondary</t>
  </si>
  <si>
    <t>Vs_step</t>
  </si>
  <si>
    <t>Vs</t>
  </si>
  <si>
    <t>Vs_max_actual</t>
  </si>
  <si>
    <t>Vs acceptible</t>
  </si>
  <si>
    <t>Desired output voltage</t>
  </si>
  <si>
    <t>Vout</t>
  </si>
  <si>
    <t>R2</t>
  </si>
  <si>
    <t>R1</t>
  </si>
  <si>
    <t>Do not change</t>
  </si>
  <si>
    <t>Required R2 value</t>
  </si>
  <si>
    <t>Minimum desired output voltage</t>
  </si>
  <si>
    <t>Vout_min</t>
  </si>
  <si>
    <t>Vout_max</t>
  </si>
  <si>
    <t>Maximum desired output voltage</t>
  </si>
  <si>
    <t>Required R2 value for minimum output voltage</t>
  </si>
  <si>
    <t>Requried R2 value for maximum output voltage</t>
  </si>
  <si>
    <t>R2_max</t>
  </si>
  <si>
    <t>R2_min</t>
  </si>
  <si>
    <t>Cff</t>
  </si>
  <si>
    <t>LM2956HV-adj for 3.3v</t>
  </si>
  <si>
    <t>LM2956HV-adj for 5v</t>
  </si>
  <si>
    <t>LM2956HV-adj for 2-30v</t>
  </si>
  <si>
    <t>LM2956HV-adj for 9-15v</t>
  </si>
  <si>
    <t>LM2956HV-adj for 10v</t>
  </si>
  <si>
    <t>Feedforward capacitor given by equations on https://e2e.ti.com/support/power-management-group/power-management/f/power-management-forum/898296/lm2596-feedforward-capacitor-selection#:~:text=Andy%20Chen%20over%206%20years,performance%20in%20the%20actual%20application.</t>
  </si>
  <si>
    <t>V_supply_max</t>
  </si>
  <si>
    <t>Maximum supply voltage</t>
  </si>
  <si>
    <t>I_DS_pk</t>
  </si>
  <si>
    <t>V_DS_max</t>
  </si>
  <si>
    <t>Time to switch on lower MOSFET's</t>
  </si>
  <si>
    <t>Time to switch off lower MOSFET's</t>
  </si>
  <si>
    <t>V_drive_lower</t>
  </si>
  <si>
    <t>Voltage gate being driven to for upper MOSFET'S</t>
  </si>
  <si>
    <t>Voltage gate being driven to for lower MOSFETSS</t>
  </si>
  <si>
    <t>t_s_lower</t>
  </si>
  <si>
    <t>t_s_on_lower</t>
  </si>
  <si>
    <t>t_s_off_lower</t>
  </si>
  <si>
    <t>t_s_upper</t>
  </si>
  <si>
    <t>t_s_on_upper</t>
  </si>
  <si>
    <t>t_s_off_upper</t>
  </si>
  <si>
    <t>Switching time upper MOSFET's</t>
  </si>
  <si>
    <t>Switching time lower MOSFET's</t>
  </si>
  <si>
    <t>Time to switch on upper MOSFET's</t>
  </si>
  <si>
    <t>Time to switch off upper MOSFET's</t>
  </si>
  <si>
    <t>P_sw_max_single_mosfet</t>
  </si>
  <si>
    <t>P_gate_single_mosfet</t>
  </si>
  <si>
    <t>P_total_max_single_mosfet</t>
  </si>
  <si>
    <t>Maximum total power that can be dissipated as heat in a single MOSFET</t>
  </si>
  <si>
    <t>P_total_max_bridge</t>
  </si>
  <si>
    <t>Maximum total power that can be dissipated as heat in all four H Bridge MOSFET's combined</t>
  </si>
  <si>
    <t>Maximum pulsed drain current rating of MOSFET</t>
  </si>
  <si>
    <t>L_load</t>
  </si>
  <si>
    <t>Inductance of load</t>
  </si>
  <si>
    <t>Maximum desired voltage ripple on high side boot capacitance</t>
  </si>
  <si>
    <t>ΔV_desired_max</t>
  </si>
  <si>
    <t>C_boot_actual</t>
  </si>
  <si>
    <t>C_boot_required</t>
  </si>
  <si>
    <t>ΔV_actual_max</t>
  </si>
  <si>
    <t>Minimum high side boot capacitance required for high side</t>
  </si>
  <si>
    <t>Actual high side boot capacitance</t>
  </si>
  <si>
    <t>Actual voltage ripple on high side boot capacitance</t>
  </si>
  <si>
    <t>VBSUV</t>
  </si>
  <si>
    <t>I use VBSUV+, max because I am not someone who flirts with failure</t>
  </si>
  <si>
    <t xml:space="preserve"> =(VB−VS)min,actual​ − ("VBSUV−​" but I choose to use VBSUV+,max here)</t>
  </si>
  <si>
    <t>V_F_max_diode</t>
  </si>
  <si>
    <t>Maximum forward voltage drop of diode to high side from Vcc</t>
  </si>
  <si>
    <t>V_drive_upper_min</t>
  </si>
  <si>
    <t>V_cc</t>
  </si>
  <si>
    <t>V_cc to gate driver</t>
  </si>
  <si>
    <t>C_boot large enough</t>
  </si>
  <si>
    <t>UVLO_margin_desired</t>
  </si>
  <si>
    <t>Acceptable margin. DO NOT CHANGE</t>
  </si>
  <si>
    <t>VLS​</t>
  </si>
  <si>
    <t xml:space="preserve"> =VCC−COM</t>
  </si>
  <si>
    <t>VCCUV+,max</t>
  </si>
  <si>
    <t>UVLO_u_margin_actual</t>
  </si>
  <si>
    <t>UVLO_l_margin_actual</t>
  </si>
  <si>
    <t>Actual low side under voltage lock out margin</t>
  </si>
  <si>
    <t>UVLO_u_margin_actual big enough</t>
  </si>
  <si>
    <t>UVLO_l_margin_actual big enough</t>
  </si>
  <si>
    <t xml:space="preserve">Q_refill </t>
  </si>
  <si>
    <t>charge to refill boot capacitor on each cycle</t>
  </si>
  <si>
    <t>I_d_boot_avg</t>
  </si>
  <si>
    <t>Average current through boot diode</t>
  </si>
  <si>
    <t>Effective resistance for refilling boot capacitor</t>
  </si>
  <si>
    <t>R_eff_boot</t>
  </si>
  <si>
    <t>R_diode_boot</t>
  </si>
  <si>
    <t>Peak current through boot diode on refill C_boot</t>
  </si>
  <si>
    <t>V_boot_initial</t>
  </si>
  <si>
    <t>The lowest voltage drive can happen theoretically =  VBSUV+,min</t>
  </si>
  <si>
    <t>Diode suitable to handle maximum peak current on boostrap</t>
  </si>
  <si>
    <t>I_boot_diode_peak_max</t>
  </si>
  <si>
    <t>I_boot_diode_peak_from_ΔV</t>
  </si>
  <si>
    <t>V_boot_diode_RRM</t>
  </si>
  <si>
    <t>I_FSM_boot_diode</t>
  </si>
  <si>
    <t>ESR_c_boot</t>
  </si>
  <si>
    <t>Boot diode V_RRM big enough</t>
  </si>
  <si>
    <t>Estimated current step for bootstrap diode</t>
  </si>
  <si>
    <t>Δi_boot_diode</t>
  </si>
  <si>
    <t>L_boot_loop</t>
  </si>
  <si>
    <t>Δt</t>
  </si>
  <si>
    <t xml:space="preserve">Estimated: Δt is the time over which the current in that specific loop changes, not the total MOSFET gate charge time </t>
  </si>
  <si>
    <t>Estimated loop inductance. Being over conservative and using a bad design value</t>
  </si>
  <si>
    <t>Estimated Inductive spike caused by the forward current step when the bootstrap diode turns ON</t>
  </si>
  <si>
    <t>Irr</t>
  </si>
  <si>
    <t>trr​</t>
  </si>
  <si>
    <t>Reverse recovery time</t>
  </si>
  <si>
    <t>Voltage spike when the gate driver turns off the MOSFET. Qrr matters when the diode turns OFF, not when it turns on.</t>
  </si>
  <si>
    <t>V_spike_Qrr_desired</t>
  </si>
  <si>
    <t>V_spike_Qrr_acceptable</t>
  </si>
  <si>
    <t>V_spike_Qrr</t>
  </si>
  <si>
    <t>Maximum voltage spike desired when boostrap diode turns on</t>
  </si>
  <si>
    <t>Maximum voltage spike due to Qrr of boostrap diode when it turns off</t>
  </si>
  <si>
    <t>V_spike_boot_on</t>
  </si>
  <si>
    <t>V_spike_boot_on_desired</t>
  </si>
  <si>
    <t>V_spike_boot_on_acceptable</t>
  </si>
  <si>
    <t>I_d_actual</t>
  </si>
  <si>
    <t>I_d high enough</t>
  </si>
  <si>
    <t>For Part</t>
  </si>
  <si>
    <t>Driver MOSFET H-Bridge</t>
  </si>
  <si>
    <t>0.5 xIrrxtrr is a good approximation. The reverse current because the diode stores charge</t>
  </si>
  <si>
    <t>MUR420</t>
  </si>
  <si>
    <t>Kee boot loop tight</t>
  </si>
  <si>
    <t>Had to approximate this. Over estimated</t>
  </si>
  <si>
    <t>FG26X7R2A105KNT06</t>
  </si>
  <si>
    <t>Had to approximate this but can update later</t>
  </si>
  <si>
    <t>Worst case from data sheet graph.</t>
  </si>
  <si>
    <t>Actual continuous drain current of MOSFET</t>
  </si>
  <si>
    <t>Continuous Drain Current required for MOSFET</t>
  </si>
  <si>
    <t>T</t>
  </si>
  <si>
    <t>nH/turn</t>
  </si>
  <si>
    <t>I_s_peak_max</t>
  </si>
  <si>
    <t>Max peak secondary current safe for diodes</t>
  </si>
  <si>
    <t>V_stage_max</t>
  </si>
  <si>
    <t>P_out_max_desired</t>
  </si>
  <si>
    <t>Ω⋅m</t>
  </si>
  <si>
    <t>W/m^2</t>
  </si>
  <si>
    <t>N turns</t>
  </si>
  <si>
    <t>N_p_actual</t>
  </si>
  <si>
    <t>Power loss winding (triangle wave)</t>
  </si>
  <si>
    <t>N_bob_seg</t>
  </si>
  <si>
    <t>N_per_seg</t>
  </si>
  <si>
    <t>P_secondary</t>
  </si>
  <si>
    <t>Transformer primary design (thick turns no bobin)</t>
  </si>
  <si>
    <t>Transformer secondary design (fine wire many turns on bobin)</t>
  </si>
  <si>
    <t>Primary Current Feedback V2 (Current transformer with rectifier bridge and burden resistor and ADC)</t>
  </si>
  <si>
    <t>N Turns</t>
  </si>
  <si>
    <t>Air gap length</t>
  </si>
  <si>
    <t>Inductance</t>
  </si>
  <si>
    <t>A_L</t>
  </si>
  <si>
    <t>UY30 PC40</t>
  </si>
  <si>
    <t>Good starting point</t>
  </si>
  <si>
    <t>n_s_over_p_required_min</t>
  </si>
  <si>
    <t>Minimum n_s/n_p required to keep peak secondary current safe for diode</t>
  </si>
  <si>
    <t>n_s_over_p_for_voltage_ratio</t>
  </si>
  <si>
    <t>ns_over_np_v_in_max</t>
  </si>
  <si>
    <t>n_s/n_ For voltage ratio at maximum input voltage</t>
  </si>
  <si>
    <t>n_s/n_ For voltage ratio at minimum input voltage</t>
  </si>
  <si>
    <t>n_s_over_p_actual</t>
  </si>
  <si>
    <t>Actual chosen ns/np</t>
  </si>
  <si>
    <t>L_p_for_desired_power</t>
  </si>
  <si>
    <t>L_p_actual</t>
  </si>
  <si>
    <t>n_s/n_p high enough to give safe secondary peak current for diodes</t>
  </si>
  <si>
    <t>Chosen inductor energy at peak primary current</t>
  </si>
  <si>
    <t>Chosen inductor energy at peak primary current large enough to deliver desired power</t>
  </si>
  <si>
    <t>Flyback Mismatch Ratio at minimum input voltage</t>
  </si>
  <si>
    <t>Flyback Mismatch Ratio at maximum input voltage</t>
  </si>
  <si>
    <t>Flyback Mismatch Ratio too low</t>
  </si>
  <si>
    <t>n_p_over_s_actual</t>
  </si>
  <si>
    <t>I_zener_leak_max</t>
  </si>
  <si>
    <t>Divider multiple desired</t>
  </si>
  <si>
    <t>R_L</t>
  </si>
  <si>
    <t>R_H_required</t>
  </si>
  <si>
    <t>R_H_actual</t>
  </si>
  <si>
    <t>R_eq</t>
  </si>
  <si>
    <t>V_tap at maximum input voltage with zener</t>
  </si>
  <si>
    <t>V_tap at maximum input voltage without zener</t>
  </si>
  <si>
    <t>V_tap at minimum input voltage with zener</t>
  </si>
  <si>
    <t>V_tap votlage error at maximum input voltage</t>
  </si>
  <si>
    <t>Error</t>
  </si>
  <si>
    <t>P_H</t>
  </si>
  <si>
    <t>P_L</t>
  </si>
  <si>
    <t>Tolerance on resistors</t>
  </si>
  <si>
    <t>Maximum voltage error reflected to input due to zener</t>
  </si>
  <si>
    <t>Maximum divider ratio possible with tolerances</t>
  </si>
  <si>
    <t>Nominal divider ratio</t>
  </si>
  <si>
    <t>Minimum divider ratio possible with tolerances</t>
  </si>
  <si>
    <t>Positive error</t>
  </si>
  <si>
    <t>Negative error</t>
  </si>
  <si>
    <t>Positive error percent</t>
  </si>
  <si>
    <t>Negative error percent</t>
  </si>
  <si>
    <t>Maximum percent error</t>
  </si>
  <si>
    <t>Maximum Total Error</t>
  </si>
  <si>
    <t>τ</t>
  </si>
  <si>
    <t>Time constant for charging capacitor</t>
  </si>
  <si>
    <t>τ_99</t>
  </si>
  <si>
    <t>Resistors tolerance as proportion</t>
  </si>
  <si>
    <t>ΔV_tap at minimum input voltage without zener</t>
  </si>
  <si>
    <t>ΔV_tap</t>
  </si>
  <si>
    <t>ΔV_tap voltage error at minimum input voltage</t>
  </si>
  <si>
    <t>Maximum ADC voltage</t>
  </si>
  <si>
    <t>Maximum voltage corresponding to ADC voltage</t>
  </si>
  <si>
    <t>Individual composite resistor resistance</t>
  </si>
  <si>
    <t>Individual composite resistor voltage rating</t>
  </si>
  <si>
    <t>Minimum number of resistors required for safe voltage on each</t>
  </si>
  <si>
    <t>Individual composite resistor power rating</t>
  </si>
  <si>
    <t>Individual composite resistor safe power</t>
  </si>
  <si>
    <t>Individual composite resistor safe voltage</t>
  </si>
  <si>
    <t>Individual composite resistor power safe</t>
  </si>
  <si>
    <t>Individual composite resistor voltage safe</t>
  </si>
  <si>
    <t>Individual composite resistor voltage</t>
  </si>
  <si>
    <t>R_boot</t>
  </si>
  <si>
    <t>Boot resistor value or trace value</t>
  </si>
  <si>
    <t>τ_boot</t>
  </si>
  <si>
    <t>t_boot_99</t>
  </si>
  <si>
    <t>t_boot_99 short enough</t>
  </si>
  <si>
    <t>Induced Voltages PCB</t>
  </si>
  <si>
    <t>μ0</t>
  </si>
  <si>
    <t>𝑙</t>
  </si>
  <si>
    <t>w</t>
  </si>
  <si>
    <t>M</t>
  </si>
  <si>
    <t>Mutual inductance</t>
  </si>
  <si>
    <t>di/dt</t>
  </si>
  <si>
    <t>Approximate maximum di/dt</t>
  </si>
  <si>
    <t>Induced voltage</t>
  </si>
  <si>
    <t>V_induced​</t>
  </si>
  <si>
    <t>θ</t>
  </si>
  <si>
    <t>Angle between tracks</t>
  </si>
  <si>
    <t>Name</t>
  </si>
  <si>
    <t>Example</t>
  </si>
  <si>
    <t>Two 10cm 0.25mm traces</t>
  </si>
  <si>
    <t>ζ</t>
  </si>
  <si>
    <t>R_g</t>
  </si>
  <si>
    <t>Gate drive resistance</t>
  </si>
  <si>
    <t>C_iss</t>
  </si>
  <si>
    <t>This is the total capacitance seen at the gate pin relative to the source when the drain is AC grounded. It is primarily the gate-to-source capacitance (\(C_{GS}\)) in parallel with the gate-to-drain capacitance (\(C_{GD}\)). This is the value that dominates the charging/discharging time and is the correct value to use in your RLC circuit calculation.</t>
  </si>
  <si>
    <t>L_trace</t>
  </si>
  <si>
    <t>Worst estimate trace inductance</t>
  </si>
  <si>
    <t>Inductance of trace above ground plane</t>
  </si>
  <si>
    <t>l</t>
  </si>
  <si>
    <t>Trace Length</t>
  </si>
  <si>
    <t>Trace width</t>
  </si>
  <si>
    <t>t</t>
  </si>
  <si>
    <t>Trace thickness</t>
  </si>
  <si>
    <t>L_microstrip</t>
  </si>
  <si>
    <t>R_g_int</t>
  </si>
  <si>
    <t>Internal gate resistance of MOSFET</t>
  </si>
  <si>
    <t>R_g_ext</t>
  </si>
  <si>
    <t>External gate resistance provided</t>
  </si>
  <si>
    <t>R_driver</t>
  </si>
  <si>
    <t>Gate driver output impedance</t>
  </si>
  <si>
    <t>I_drive_max_all_impedances</t>
  </si>
  <si>
    <t>Maximum drive current to gate using all impedances</t>
  </si>
  <si>
    <t>I_drive_g_ext_only</t>
  </si>
  <si>
    <t>Maximum drive current to gate using only the external provided resistor (Safe if no other impedance known)</t>
  </si>
  <si>
    <t>^^Lower mosfet voltage was used as this is higher due to boostrap diode drop</t>
  </si>
  <si>
    <t>Tolerance R_g_ext</t>
  </si>
  <si>
    <t>R_g_ext_min</t>
  </si>
  <si>
    <t>Minimum value of R_g_ext due to tolerance</t>
  </si>
  <si>
    <t>Maximum drive current safe</t>
  </si>
  <si>
    <t>Gate resistor approximate inductance</t>
  </si>
  <si>
    <t>L_resistor</t>
  </si>
  <si>
    <t>L_total</t>
  </si>
  <si>
    <t>Trace Separation (m)</t>
  </si>
  <si>
    <t>Parallel Trace Length (m)</t>
  </si>
  <si>
    <t>2l/d</t>
  </si>
  <si>
    <t>d/(2l)</t>
  </si>
  <si>
    <t>(2l/d)^2</t>
  </si>
  <si>
    <t>(d/(2l))^2</t>
  </si>
  <si>
    <t>IPC-2221 Track Thickness Calculation</t>
  </si>
  <si>
    <t>Internal else External</t>
  </si>
  <si>
    <t>I</t>
  </si>
  <si>
    <t>Allowable rise in temperature</t>
  </si>
  <si>
    <t xml:space="preserve">Cross-Sectional Area </t>
  </si>
  <si>
    <t>mil^2</t>
  </si>
  <si>
    <t>Thickness</t>
  </si>
  <si>
    <t>RMS Current</t>
  </si>
  <si>
    <t>Width</t>
  </si>
  <si>
    <t>Actual ratio</t>
  </si>
  <si>
    <t>All capacitors total energy change per cycle required</t>
  </si>
  <si>
    <t>t_quart_cycle</t>
  </si>
  <si>
    <t>E_quarter</t>
  </si>
  <si>
    <t>Energy desired for each driving quarter cycle, since there are two its half the above</t>
  </si>
  <si>
    <t>Transformer (Bipolar DCM)</t>
  </si>
  <si>
    <t>Chosen primary inductance</t>
  </si>
  <si>
    <t>Maximum average diode current with safety factor</t>
  </si>
  <si>
    <t xml:space="preserve">Maximum sudden short circuit current </t>
  </si>
  <si>
    <t>Power per resistor at lowest rated output voltage (maximum steady state output current)</t>
  </si>
  <si>
    <t>Maximum steady state power loss at lowest rated output voltage (maximum steady state output current)</t>
  </si>
  <si>
    <t>Can handle maximum designed output power</t>
  </si>
  <si>
    <t>Designed maximum output power</t>
  </si>
  <si>
    <t>Maximum composite resistor average power</t>
  </si>
  <si>
    <t>Capacitor discharge to per cycle</t>
  </si>
  <si>
    <t>Lower voltage per cycle</t>
  </si>
  <si>
    <t>Maximum output power desired</t>
  </si>
  <si>
    <t>i</t>
  </si>
  <si>
    <t>Proportion leakage inductance</t>
  </si>
  <si>
    <t>Primary current ramping with time</t>
  </si>
  <si>
    <t>R_s'</t>
  </si>
  <si>
    <t>R_s</t>
  </si>
  <si>
    <t>Ns/Np</t>
  </si>
  <si>
    <t>C'</t>
  </si>
  <si>
    <t xml:space="preserve">C </t>
  </si>
  <si>
    <t>Time</t>
  </si>
  <si>
    <t>V_bus</t>
  </si>
  <si>
    <t>Source voltage</t>
  </si>
  <si>
    <t>Source current</t>
  </si>
  <si>
    <t>i_m</t>
  </si>
  <si>
    <t>magnetising current</t>
  </si>
  <si>
    <t>V'_C</t>
  </si>
  <si>
    <t>Reflected capacitor voltage</t>
  </si>
  <si>
    <t>L_leak</t>
  </si>
  <si>
    <t>R_P</t>
  </si>
  <si>
    <t>L_mag</t>
  </si>
  <si>
    <t>Magnetising inductance</t>
  </si>
  <si>
    <t>Iteration</t>
  </si>
  <si>
    <t>V_C</t>
  </si>
  <si>
    <t>L_mag_actual</t>
  </si>
  <si>
    <t>R_p_actual</t>
  </si>
  <si>
    <t>Primary resistance</t>
  </si>
  <si>
    <t>L_p_leak_actual</t>
  </si>
  <si>
    <t>R_s_actual</t>
  </si>
  <si>
    <t>Secondary resistance</t>
  </si>
  <si>
    <t>Actual number of primary turns</t>
  </si>
  <si>
    <t>N_s_actual</t>
  </si>
  <si>
    <t>Actual number of secondary turns</t>
  </si>
  <si>
    <t>n=N_s/N_p</t>
  </si>
  <si>
    <t>Actual turns ratio</t>
  </si>
  <si>
    <t>Actual transformer values</t>
  </si>
  <si>
    <t>Iteration number</t>
  </si>
  <si>
    <t>First capacitor voltage</t>
  </si>
  <si>
    <t>F_sw</t>
  </si>
  <si>
    <t>V_drive_max</t>
  </si>
  <si>
    <t>Column where primary current exceeds threshold</t>
  </si>
  <si>
    <t>Primary current threshold reached</t>
  </si>
  <si>
    <t>i_max</t>
  </si>
  <si>
    <t>I_p_max</t>
  </si>
  <si>
    <t>Maximum primary current allowed</t>
  </si>
  <si>
    <t>Peak current with no secondary load</t>
  </si>
  <si>
    <t>TODO things that reference this should instead reference max current at top.</t>
  </si>
  <si>
    <t>Maximum allowed primary current</t>
  </si>
  <si>
    <t>Voltage reached on capacitor referred</t>
  </si>
  <si>
    <t>Maximum energy transfer to capacitor during first quarter cycle drive. This is with a single capacitor and diode (ignored) and is a gross overestimate for a multi stage villard</t>
  </si>
  <si>
    <t>i_end_first_quarter_cycle_drive</t>
  </si>
  <si>
    <t>V_C_end_first_quarter_drive</t>
  </si>
  <si>
    <t>V'_C_end_first_quarter_drive</t>
  </si>
  <si>
    <t>i_m_end_first_quarter_cycle_drive</t>
  </si>
  <si>
    <t>t_end_first_quarter_cycle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</si>
</sst>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Arial"/>
      <family val="2"/>
    </font>
    <font>
      <u/>
      <sz val="11"/>
      <color theme="10"/>
      <name val="Calibri"/>
      <family val="2"/>
      <scheme val="minor"/>
    </font>
    <font>
      <sz val="11"/>
      <color theme="0" tint="-0.249977111117893"/>
      <name val="Calibri"/>
      <family val="2"/>
      <scheme val="minor"/>
    </font>
    <font>
      <sz val="10"/>
      <color rgb="FF333333"/>
      <name val="Arial"/>
      <family val="2"/>
    </font>
    <font>
      <sz val="11"/>
      <color rgb="FFFF0000"/>
      <name val="Calibri"/>
      <family val="2"/>
      <scheme val="minor"/>
    </font>
    <font>
      <sz val="9"/>
      <color rgb="FF333333"/>
      <name val="Arial"/>
      <family val="2"/>
    </font>
    <font>
      <sz val="11"/>
      <color rgb="FF333333"/>
      <name val="Arial"/>
      <family val="2"/>
    </font>
    <font>
      <sz val="10"/>
      <color theme="1"/>
      <name val="Arial Unicode MS"/>
      <family val="2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color theme="9" tint="-0.249977111117893"/>
      <name val="Calibri"/>
      <family val="2"/>
      <scheme val="minor"/>
    </font>
    <font>
      <sz val="12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3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75">
    <xf numFmtId="0" fontId="0" fillId="0" borderId="0" xfId="0"/>
    <xf numFmtId="11" fontId="0" fillId="0" borderId="0" xfId="0" applyNumberFormat="1"/>
    <xf numFmtId="0" fontId="0" fillId="2" borderId="0" xfId="0" applyFill="1"/>
    <xf numFmtId="11" fontId="0" fillId="2" borderId="0" xfId="0" applyNumberFormat="1" applyFill="1"/>
    <xf numFmtId="0" fontId="3" fillId="0" borderId="0" xfId="1"/>
    <xf numFmtId="0" fontId="0" fillId="3" borderId="0" xfId="0" applyFill="1"/>
    <xf numFmtId="0" fontId="0" fillId="0" borderId="0" xfId="0" applyFill="1"/>
    <xf numFmtId="0" fontId="2" fillId="0" borderId="0" xfId="0" applyFont="1" applyFill="1"/>
    <xf numFmtId="0" fontId="1" fillId="0" borderId="0" xfId="0" applyFont="1" applyFill="1"/>
    <xf numFmtId="0" fontId="0" fillId="4" borderId="0" xfId="0" applyFill="1"/>
    <xf numFmtId="0" fontId="0" fillId="4" borderId="0" xfId="0" applyFill="1" applyAlignment="1">
      <alignment vertical="center"/>
    </xf>
    <xf numFmtId="0" fontId="0" fillId="0" borderId="0" xfId="0" applyFill="1" applyAlignment="1">
      <alignment vertical="center"/>
    </xf>
    <xf numFmtId="0" fontId="0" fillId="0" borderId="1" xfId="0" applyBorder="1"/>
    <xf numFmtId="0" fontId="0" fillId="0" borderId="2" xfId="0" applyBorder="1"/>
    <xf numFmtId="0" fontId="0" fillId="4" borderId="1" xfId="0" applyFill="1" applyBorder="1" applyAlignment="1">
      <alignment vertical="center"/>
    </xf>
    <xf numFmtId="0" fontId="0" fillId="4" borderId="1" xfId="0" applyFill="1" applyBorder="1"/>
    <xf numFmtId="0" fontId="0" fillId="0" borderId="1" xfId="0" applyFill="1" applyBorder="1"/>
    <xf numFmtId="0" fontId="0" fillId="0" borderId="0" xfId="0" applyAlignment="1">
      <alignment horizontal="center" vertical="center" wrapText="1"/>
    </xf>
    <xf numFmtId="0" fontId="1" fillId="0" borderId="0" xfId="0" applyFont="1"/>
    <xf numFmtId="11" fontId="5" fillId="0" borderId="0" xfId="0" applyNumberFormat="1" applyFont="1"/>
    <xf numFmtId="0" fontId="0" fillId="0" borderId="0" xfId="0" applyAlignment="1">
      <alignment vertical="center" wrapText="1"/>
    </xf>
    <xf numFmtId="0" fontId="7" fillId="0" borderId="0" xfId="0" applyFont="1"/>
    <xf numFmtId="0" fontId="0" fillId="0" borderId="0" xfId="0" applyFont="1"/>
    <xf numFmtId="0" fontId="8" fillId="0" borderId="0" xfId="0" applyFont="1"/>
    <xf numFmtId="0" fontId="0" fillId="0" borderId="0" xfId="0" applyAlignment="1">
      <alignment vertical="center"/>
    </xf>
    <xf numFmtId="0" fontId="6" fillId="0" borderId="0" xfId="0" applyFont="1"/>
    <xf numFmtId="0" fontId="0" fillId="0" borderId="0" xfId="0" applyAlignment="1">
      <alignment textRotation="45"/>
    </xf>
    <xf numFmtId="0" fontId="0" fillId="0" borderId="1" xfId="0" applyBorder="1" applyAlignment="1">
      <alignment textRotation="45"/>
    </xf>
    <xf numFmtId="0" fontId="0" fillId="0" borderId="0" xfId="0" applyAlignment="1">
      <alignment horizontal="center" vertical="center"/>
    </xf>
    <xf numFmtId="0" fontId="9" fillId="0" borderId="0" xfId="0" applyFon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11" fontId="1" fillId="0" borderId="0" xfId="0" applyNumberFormat="1" applyFont="1"/>
    <xf numFmtId="0" fontId="10" fillId="0" borderId="0" xfId="0" applyFont="1"/>
    <xf numFmtId="11" fontId="0" fillId="0" borderId="0" xfId="0" applyNumberFormat="1" applyFont="1"/>
    <xf numFmtId="11" fontId="10" fillId="0" borderId="0" xfId="0" applyNumberFormat="1" applyFont="1"/>
    <xf numFmtId="0" fontId="1" fillId="0" borderId="0" xfId="0" applyNumberFormat="1" applyFont="1"/>
    <xf numFmtId="0" fontId="10" fillId="0" borderId="0" xfId="0" applyNumberFormat="1" applyFont="1"/>
    <xf numFmtId="0" fontId="0" fillId="0" borderId="0" xfId="0" applyFill="1" applyBorder="1"/>
    <xf numFmtId="0" fontId="10" fillId="0" borderId="0" xfId="0" applyFont="1" applyFill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0" fontId="11" fillId="0" borderId="0" xfId="0" applyFont="1"/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0" fontId="4" fillId="0" borderId="0" xfId="0" applyFont="1" applyFill="1"/>
    <xf numFmtId="11" fontId="4" fillId="0" borderId="0" xfId="0" applyNumberFormat="1" applyFont="1" applyFill="1"/>
    <xf numFmtId="11" fontId="12" fillId="0" borderId="0" xfId="0" applyNumberFormat="1" applyFont="1"/>
    <xf numFmtId="0" fontId="0" fillId="0" borderId="0" xfId="0" applyAlignment="1">
      <alignment horizontal="center" vertical="center" wrapText="1"/>
    </xf>
    <xf numFmtId="0" fontId="0" fillId="0" borderId="0" xfId="0" applyNumberFormat="1" applyFill="1"/>
    <xf numFmtId="0" fontId="0" fillId="0" borderId="0" xfId="0" applyFont="1" applyFill="1"/>
    <xf numFmtId="0" fontId="4" fillId="0" borderId="0" xfId="1" applyFont="1" applyFill="1"/>
    <xf numFmtId="0" fontId="6" fillId="0" borderId="0" xfId="0" applyFont="1" applyFill="1"/>
    <xf numFmtId="11" fontId="1" fillId="0" borderId="0" xfId="0" applyNumberFormat="1" applyFont="1" applyFill="1"/>
    <xf numFmtId="11" fontId="10" fillId="0" borderId="0" xfId="0" applyNumberFormat="1" applyFont="1" applyFill="1"/>
    <xf numFmtId="11" fontId="1" fillId="3" borderId="0" xfId="0" applyNumberFormat="1" applyFont="1" applyFill="1"/>
    <xf numFmtId="0" fontId="0" fillId="2" borderId="0" xfId="0" applyFont="1" applyFill="1"/>
    <xf numFmtId="0" fontId="0" fillId="2" borderId="0" xfId="0" applyNumberFormat="1" applyFill="1"/>
    <xf numFmtId="0" fontId="2" fillId="2" borderId="0" xfId="0" applyFont="1" applyFill="1"/>
    <xf numFmtId="0" fontId="0" fillId="2" borderId="0" xfId="0" applyFill="1" applyBorder="1"/>
    <xf numFmtId="0" fontId="13" fillId="0" borderId="0" xfId="0" applyFont="1"/>
    <xf numFmtId="11" fontId="0" fillId="2" borderId="0" xfId="0" applyNumberFormat="1" applyFont="1" applyFill="1"/>
    <xf numFmtId="0" fontId="0" fillId="0" borderId="0" xfId="0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6" fillId="0" borderId="0" xfId="0" applyFont="1" applyAlignment="1">
      <alignment horizontal="left" vertical="top" wrapText="1"/>
    </xf>
    <xf numFmtId="0" fontId="0" fillId="0" borderId="0" xfId="0" applyAlignment="1">
      <alignment horizontal="left" vertical="top" wrapText="1"/>
    </xf>
    <xf numFmtId="0" fontId="1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</cellXfs>
  <cellStyles count="2">
    <cellStyle name="Hyperlink" xfId="1" builtinId="8"/>
    <cellStyle name="Normal" xfId="0" builtinId="0"/>
  </cellStyles>
  <dxfs count="16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7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8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9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0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22.png"/><Relationship Id="rId1" Type="http://schemas.openxmlformats.org/officeDocument/2006/relationships/image" Target="../media/image21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5.png"/><Relationship Id="rId2" Type="http://schemas.openxmlformats.org/officeDocument/2006/relationships/image" Target="../media/image24.png"/><Relationship Id="rId1" Type="http://schemas.openxmlformats.org/officeDocument/2006/relationships/image" Target="../media/image2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478849</xdr:colOff>
      <xdr:row>107</xdr:row>
      <xdr:rowOff>116898</xdr:rowOff>
    </xdr:from>
    <xdr:to>
      <xdr:col>8</xdr:col>
      <xdr:colOff>1657352</xdr:colOff>
      <xdr:row>116</xdr:row>
      <xdr:rowOff>174295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987031" y="20500398"/>
          <a:ext cx="3620367" cy="1771897"/>
        </a:xfrm>
        <a:prstGeom prst="rect">
          <a:avLst/>
        </a:prstGeom>
      </xdr:spPr>
    </xdr:pic>
    <xdr:clientData/>
  </xdr:twoCellAnchor>
  <xdr:twoCellAnchor editAs="oneCell">
    <xdr:from>
      <xdr:col>6</xdr:col>
      <xdr:colOff>13609</xdr:colOff>
      <xdr:row>2</xdr:row>
      <xdr:rowOff>83786</xdr:rowOff>
    </xdr:from>
    <xdr:to>
      <xdr:col>10</xdr:col>
      <xdr:colOff>367530</xdr:colOff>
      <xdr:row>17</xdr:row>
      <xdr:rowOff>121227</xdr:rowOff>
    </xdr:to>
    <xdr:pic>
      <xdr:nvPicPr>
        <xdr:cNvPr id="13" name="Picture 12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478245" y="464786"/>
          <a:ext cx="5181846" cy="2894941"/>
        </a:xfrm>
        <a:prstGeom prst="rect">
          <a:avLst/>
        </a:prstGeom>
      </xdr:spPr>
    </xdr:pic>
    <xdr:clientData/>
  </xdr:twoCellAnchor>
  <xdr:twoCellAnchor editAs="oneCell">
    <xdr:from>
      <xdr:col>5</xdr:col>
      <xdr:colOff>883228</xdr:colOff>
      <xdr:row>21</xdr:row>
      <xdr:rowOff>69273</xdr:rowOff>
    </xdr:from>
    <xdr:to>
      <xdr:col>10</xdr:col>
      <xdr:colOff>476659</xdr:colOff>
      <xdr:row>27</xdr:row>
      <xdr:rowOff>177458</xdr:rowOff>
    </xdr:to>
    <xdr:pic>
      <xdr:nvPicPr>
        <xdr:cNvPr id="14" name="Picture 13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1412683" y="4069773"/>
          <a:ext cx="5334000" cy="125118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256</xdr:row>
      <xdr:rowOff>0</xdr:rowOff>
    </xdr:from>
    <xdr:to>
      <xdr:col>1</xdr:col>
      <xdr:colOff>304800</xdr:colOff>
      <xdr:row>257</xdr:row>
      <xdr:rowOff>114300</xdr:rowOff>
    </xdr:to>
    <xdr:sp macro="" textlink="">
      <xdr:nvSpPr>
        <xdr:cNvPr id="1066" name="AutoShape 42" descr="Topology of the Flyback converter with energy regenerative snubber. "/>
        <xdr:cNvSpPr>
          <a:spLocks noChangeAspect="1" noChangeArrowheads="1"/>
        </xdr:cNvSpPr>
      </xdr:nvSpPr>
      <xdr:spPr bwMode="auto">
        <a:xfrm>
          <a:off x="1781175" y="4515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256</xdr:row>
      <xdr:rowOff>0</xdr:rowOff>
    </xdr:from>
    <xdr:to>
      <xdr:col>4</xdr:col>
      <xdr:colOff>304800</xdr:colOff>
      <xdr:row>257</xdr:row>
      <xdr:rowOff>114300</xdr:rowOff>
    </xdr:to>
    <xdr:sp macro="" textlink="">
      <xdr:nvSpPr>
        <xdr:cNvPr id="1067" name="AutoShape 43" descr="Topology of the Flyback converter with energy regenerative snubber. "/>
        <xdr:cNvSpPr>
          <a:spLocks noChangeAspect="1" noChangeArrowheads="1"/>
        </xdr:cNvSpPr>
      </xdr:nvSpPr>
      <xdr:spPr bwMode="auto">
        <a:xfrm>
          <a:off x="8972550" y="44777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256</xdr:row>
      <xdr:rowOff>0</xdr:rowOff>
    </xdr:from>
    <xdr:to>
      <xdr:col>1</xdr:col>
      <xdr:colOff>304800</xdr:colOff>
      <xdr:row>257</xdr:row>
      <xdr:rowOff>114300</xdr:rowOff>
    </xdr:to>
    <xdr:sp macro="" textlink="">
      <xdr:nvSpPr>
        <xdr:cNvPr id="18" name="AutoShape 42" descr="Topology of the Flyback converter with energy regenerative snubber. "/>
        <xdr:cNvSpPr>
          <a:spLocks noChangeAspect="1" noChangeArrowheads="1"/>
        </xdr:cNvSpPr>
      </xdr:nvSpPr>
      <xdr:spPr bwMode="auto">
        <a:xfrm>
          <a:off x="1781175" y="457295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394607</xdr:colOff>
      <xdr:row>575</xdr:row>
      <xdr:rowOff>81643</xdr:rowOff>
    </xdr:from>
    <xdr:to>
      <xdr:col>7</xdr:col>
      <xdr:colOff>1288770</xdr:colOff>
      <xdr:row>597</xdr:row>
      <xdr:rowOff>101281</xdr:rowOff>
    </xdr:to>
    <xdr:pic>
      <xdr:nvPicPr>
        <xdr:cNvPr id="6" name="Picture 5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0858500" y="97821750"/>
          <a:ext cx="2915057" cy="4210638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294</xdr:row>
      <xdr:rowOff>0</xdr:rowOff>
    </xdr:from>
    <xdr:to>
      <xdr:col>1</xdr:col>
      <xdr:colOff>304800</xdr:colOff>
      <xdr:row>295</xdr:row>
      <xdr:rowOff>114300</xdr:rowOff>
    </xdr:to>
    <xdr:sp macro="" textlink="">
      <xdr:nvSpPr>
        <xdr:cNvPr id="12" name="AutoShape 42" descr="Topology of the Flyback converter with energy regenerative snubber. "/>
        <xdr:cNvSpPr>
          <a:spLocks noChangeAspect="1" noChangeArrowheads="1"/>
        </xdr:cNvSpPr>
      </xdr:nvSpPr>
      <xdr:spPr bwMode="auto">
        <a:xfrm>
          <a:off x="2027464" y="48400607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297</xdr:row>
      <xdr:rowOff>0</xdr:rowOff>
    </xdr:from>
    <xdr:to>
      <xdr:col>1</xdr:col>
      <xdr:colOff>304800</xdr:colOff>
      <xdr:row>298</xdr:row>
      <xdr:rowOff>114300</xdr:rowOff>
    </xdr:to>
    <xdr:sp macro="" textlink="">
      <xdr:nvSpPr>
        <xdr:cNvPr id="19" name="AutoShape 42" descr="Topology of the Flyback converter with energy regenerative snubber. "/>
        <xdr:cNvSpPr>
          <a:spLocks noChangeAspect="1" noChangeArrowheads="1"/>
        </xdr:cNvSpPr>
      </xdr:nvSpPr>
      <xdr:spPr bwMode="auto">
        <a:xfrm>
          <a:off x="2027464" y="62688107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108859</xdr:colOff>
      <xdr:row>387</xdr:row>
      <xdr:rowOff>27214</xdr:rowOff>
    </xdr:from>
    <xdr:to>
      <xdr:col>7</xdr:col>
      <xdr:colOff>316254</xdr:colOff>
      <xdr:row>388</xdr:row>
      <xdr:rowOff>112978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9593038" y="80241321"/>
          <a:ext cx="3762900" cy="276264"/>
        </a:xfrm>
        <a:prstGeom prst="rect">
          <a:avLst/>
        </a:prstGeom>
      </xdr:spPr>
    </xdr:pic>
    <xdr:clientData/>
  </xdr:twoCellAnchor>
  <xdr:twoCellAnchor editAs="oneCell">
    <xdr:from>
      <xdr:col>4</xdr:col>
      <xdr:colOff>108859</xdr:colOff>
      <xdr:row>388</xdr:row>
      <xdr:rowOff>176892</xdr:rowOff>
    </xdr:from>
    <xdr:to>
      <xdr:col>6</xdr:col>
      <xdr:colOff>261921</xdr:colOff>
      <xdr:row>392</xdr:row>
      <xdr:rowOff>72209</xdr:rowOff>
    </xdr:to>
    <xdr:pic>
      <xdr:nvPicPr>
        <xdr:cNvPr id="5" name="Picture 4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9593038" y="80581499"/>
          <a:ext cx="2610214" cy="657317"/>
        </a:xfrm>
        <a:prstGeom prst="rect">
          <a:avLst/>
        </a:prstGeom>
      </xdr:spPr>
    </xdr:pic>
    <xdr:clientData/>
  </xdr:twoCellAnchor>
  <xdr:twoCellAnchor editAs="oneCell">
    <xdr:from>
      <xdr:col>6</xdr:col>
      <xdr:colOff>122462</xdr:colOff>
      <xdr:row>356</xdr:row>
      <xdr:rowOff>176891</xdr:rowOff>
    </xdr:from>
    <xdr:to>
      <xdr:col>10</xdr:col>
      <xdr:colOff>331122</xdr:colOff>
      <xdr:row>363</xdr:row>
      <xdr:rowOff>53235</xdr:rowOff>
    </xdr:to>
    <xdr:pic>
      <xdr:nvPicPr>
        <xdr:cNvPr id="7" name="Picture 6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2287248" y="79628998"/>
          <a:ext cx="5048955" cy="1209844"/>
        </a:xfrm>
        <a:prstGeom prst="rect">
          <a:avLst/>
        </a:prstGeom>
      </xdr:spPr>
    </xdr:pic>
    <xdr:clientData/>
  </xdr:twoCellAnchor>
  <xdr:twoCellAnchor editAs="oneCell">
    <xdr:from>
      <xdr:col>6</xdr:col>
      <xdr:colOff>122463</xdr:colOff>
      <xdr:row>363</xdr:row>
      <xdr:rowOff>81643</xdr:rowOff>
    </xdr:from>
    <xdr:to>
      <xdr:col>8</xdr:col>
      <xdr:colOff>482120</xdr:colOff>
      <xdr:row>371</xdr:row>
      <xdr:rowOff>15171</xdr:rowOff>
    </xdr:to>
    <xdr:pic>
      <xdr:nvPicPr>
        <xdr:cNvPr id="9" name="Picture 8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2287249" y="80867250"/>
          <a:ext cx="2772162" cy="1457528"/>
        </a:xfrm>
        <a:prstGeom prst="rect">
          <a:avLst/>
        </a:prstGeom>
      </xdr:spPr>
    </xdr:pic>
    <xdr:clientData/>
  </xdr:twoCellAnchor>
  <xdr:twoCellAnchor editAs="oneCell">
    <xdr:from>
      <xdr:col>6</xdr:col>
      <xdr:colOff>108856</xdr:colOff>
      <xdr:row>373</xdr:row>
      <xdr:rowOff>27214</xdr:rowOff>
    </xdr:from>
    <xdr:to>
      <xdr:col>8</xdr:col>
      <xdr:colOff>1430672</xdr:colOff>
      <xdr:row>392</xdr:row>
      <xdr:rowOff>84877</xdr:rowOff>
    </xdr:to>
    <xdr:pic>
      <xdr:nvPicPr>
        <xdr:cNvPr id="10" name="Picture 9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2273642" y="82717821"/>
          <a:ext cx="3734321" cy="3677163"/>
        </a:xfrm>
        <a:prstGeom prst="rect">
          <a:avLst/>
        </a:prstGeom>
      </xdr:spPr>
    </xdr:pic>
    <xdr:clientData/>
  </xdr:twoCellAnchor>
  <xdr:twoCellAnchor editAs="oneCell">
    <xdr:from>
      <xdr:col>9</xdr:col>
      <xdr:colOff>653143</xdr:colOff>
      <xdr:row>373</xdr:row>
      <xdr:rowOff>27215</xdr:rowOff>
    </xdr:from>
    <xdr:to>
      <xdr:col>15</xdr:col>
      <xdr:colOff>185762</xdr:colOff>
      <xdr:row>392</xdr:row>
      <xdr:rowOff>65826</xdr:rowOff>
    </xdr:to>
    <xdr:pic>
      <xdr:nvPicPr>
        <xdr:cNvPr id="11" name="Picture 10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6015607" y="82717822"/>
          <a:ext cx="3972479" cy="3658111"/>
        </a:xfrm>
        <a:prstGeom prst="rect">
          <a:avLst/>
        </a:prstGeom>
      </xdr:spPr>
    </xdr:pic>
    <xdr:clientData/>
  </xdr:twoCellAnchor>
  <xdr:twoCellAnchor editAs="oneCell">
    <xdr:from>
      <xdr:col>7</xdr:col>
      <xdr:colOff>312964</xdr:colOff>
      <xdr:row>337</xdr:row>
      <xdr:rowOff>13608</xdr:rowOff>
    </xdr:from>
    <xdr:to>
      <xdr:col>8</xdr:col>
      <xdr:colOff>1008868</xdr:colOff>
      <xdr:row>340</xdr:row>
      <xdr:rowOff>147056</xdr:rowOff>
    </xdr:to>
    <xdr:pic>
      <xdr:nvPicPr>
        <xdr:cNvPr id="16" name="Picture 15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3566321" y="76417715"/>
          <a:ext cx="2010056" cy="704948"/>
        </a:xfrm>
        <a:prstGeom prst="rect">
          <a:avLst/>
        </a:prstGeom>
      </xdr:spPr>
    </xdr:pic>
    <xdr:clientData/>
  </xdr:twoCellAnchor>
  <xdr:twoCellAnchor editAs="oneCell">
    <xdr:from>
      <xdr:col>2</xdr:col>
      <xdr:colOff>2514600</xdr:colOff>
      <xdr:row>718</xdr:row>
      <xdr:rowOff>180975</xdr:rowOff>
    </xdr:from>
    <xdr:to>
      <xdr:col>3</xdr:col>
      <xdr:colOff>1375586</xdr:colOff>
      <xdr:row>722</xdr:row>
      <xdr:rowOff>57150</xdr:rowOff>
    </xdr:to>
    <xdr:pic>
      <xdr:nvPicPr>
        <xdr:cNvPr id="21" name="Picture 20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6096000" y="181403625"/>
          <a:ext cx="3686479" cy="638175"/>
        </a:xfrm>
        <a:prstGeom prst="rect">
          <a:avLst/>
        </a:prstGeom>
      </xdr:spPr>
    </xdr:pic>
    <xdr:clientData/>
  </xdr:twoCellAnchor>
  <xdr:twoCellAnchor editAs="oneCell">
    <xdr:from>
      <xdr:col>2</xdr:col>
      <xdr:colOff>3829050</xdr:colOff>
      <xdr:row>733</xdr:row>
      <xdr:rowOff>171450</xdr:rowOff>
    </xdr:from>
    <xdr:to>
      <xdr:col>3</xdr:col>
      <xdr:colOff>1202902</xdr:colOff>
      <xdr:row>739</xdr:row>
      <xdr:rowOff>136</xdr:rowOff>
    </xdr:to>
    <xdr:pic>
      <xdr:nvPicPr>
        <xdr:cNvPr id="17" name="Picture 16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7410450" y="184251600"/>
          <a:ext cx="2219635" cy="971686"/>
        </a:xfrm>
        <a:prstGeom prst="rect">
          <a:avLst/>
        </a:prstGeom>
      </xdr:spPr>
    </xdr:pic>
    <xdr:clientData/>
  </xdr:twoCellAnchor>
  <xdr:twoCellAnchor editAs="oneCell">
    <xdr:from>
      <xdr:col>2</xdr:col>
      <xdr:colOff>3800475</xdr:colOff>
      <xdr:row>739</xdr:row>
      <xdr:rowOff>47625</xdr:rowOff>
    </xdr:from>
    <xdr:to>
      <xdr:col>3</xdr:col>
      <xdr:colOff>374115</xdr:colOff>
      <xdr:row>743</xdr:row>
      <xdr:rowOff>95363</xdr:rowOff>
    </xdr:to>
    <xdr:pic>
      <xdr:nvPicPr>
        <xdr:cNvPr id="20" name="Picture 19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7381875" y="185270775"/>
          <a:ext cx="1419423" cy="809738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403</xdr:row>
      <xdr:rowOff>0</xdr:rowOff>
    </xdr:from>
    <xdr:to>
      <xdr:col>1</xdr:col>
      <xdr:colOff>304800</xdr:colOff>
      <xdr:row>404</xdr:row>
      <xdr:rowOff>114300</xdr:rowOff>
    </xdr:to>
    <xdr:sp macro="" textlink="">
      <xdr:nvSpPr>
        <xdr:cNvPr id="1025" name="AutoShape 1" descr="Preview of 1777208058323_image.png"/>
        <xdr:cNvSpPr>
          <a:spLocks noChangeAspect="1" noChangeArrowheads="1"/>
        </xdr:cNvSpPr>
      </xdr:nvSpPr>
      <xdr:spPr bwMode="auto">
        <a:xfrm>
          <a:off x="2028825" y="108413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403</xdr:row>
      <xdr:rowOff>0</xdr:rowOff>
    </xdr:from>
    <xdr:to>
      <xdr:col>2</xdr:col>
      <xdr:colOff>304800</xdr:colOff>
      <xdr:row>404</xdr:row>
      <xdr:rowOff>114300</xdr:rowOff>
    </xdr:to>
    <xdr:sp macro="" textlink="">
      <xdr:nvSpPr>
        <xdr:cNvPr id="1026" name="AutoShape 2" descr="Preview of 1777208058323_image.png"/>
        <xdr:cNvSpPr>
          <a:spLocks noChangeAspect="1" noChangeArrowheads="1"/>
        </xdr:cNvSpPr>
      </xdr:nvSpPr>
      <xdr:spPr bwMode="auto">
        <a:xfrm>
          <a:off x="3581400" y="108604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</xdr:col>
      <xdr:colOff>0</xdr:colOff>
      <xdr:row>403</xdr:row>
      <xdr:rowOff>0</xdr:rowOff>
    </xdr:from>
    <xdr:to>
      <xdr:col>3</xdr:col>
      <xdr:colOff>304800</xdr:colOff>
      <xdr:row>404</xdr:row>
      <xdr:rowOff>114300</xdr:rowOff>
    </xdr:to>
    <xdr:sp macro="" textlink="">
      <xdr:nvSpPr>
        <xdr:cNvPr id="1027" name="AutoShape 3" descr="Preview of 1777208058323_image.png"/>
        <xdr:cNvSpPr>
          <a:spLocks noChangeAspect="1" noChangeArrowheads="1"/>
        </xdr:cNvSpPr>
      </xdr:nvSpPr>
      <xdr:spPr bwMode="auto">
        <a:xfrm>
          <a:off x="8124825" y="108604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6</xdr:col>
      <xdr:colOff>1073729</xdr:colOff>
      <xdr:row>136</xdr:row>
      <xdr:rowOff>1</xdr:rowOff>
    </xdr:from>
    <xdr:to>
      <xdr:col>13</xdr:col>
      <xdr:colOff>90912</xdr:colOff>
      <xdr:row>146</xdr:row>
      <xdr:rowOff>181267</xdr:rowOff>
    </xdr:to>
    <xdr:pic>
      <xdr:nvPicPr>
        <xdr:cNvPr id="4" name="Picture 3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14581911" y="25908001"/>
          <a:ext cx="6134956" cy="2086266"/>
        </a:xfrm>
        <a:prstGeom prst="rect">
          <a:avLst/>
        </a:prstGeom>
      </xdr:spPr>
    </xdr:pic>
    <xdr:clientData/>
  </xdr:twoCellAnchor>
  <xdr:twoCellAnchor editAs="oneCell">
    <xdr:from>
      <xdr:col>4</xdr:col>
      <xdr:colOff>952500</xdr:colOff>
      <xdr:row>209</xdr:row>
      <xdr:rowOff>17316</xdr:rowOff>
    </xdr:from>
    <xdr:to>
      <xdr:col>7</xdr:col>
      <xdr:colOff>1216273</xdr:colOff>
      <xdr:row>219</xdr:row>
      <xdr:rowOff>112845</xdr:rowOff>
    </xdr:to>
    <xdr:pic>
      <xdr:nvPicPr>
        <xdr:cNvPr id="15" name="Picture 14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12105409" y="39849134"/>
          <a:ext cx="3848637" cy="200052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504825</xdr:colOff>
      <xdr:row>0</xdr:row>
      <xdr:rowOff>0</xdr:rowOff>
    </xdr:from>
    <xdr:to>
      <xdr:col>16</xdr:col>
      <xdr:colOff>96214</xdr:colOff>
      <xdr:row>19</xdr:row>
      <xdr:rowOff>67189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391025" y="0"/>
          <a:ext cx="6906589" cy="368668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314325</xdr:colOff>
      <xdr:row>1</xdr:row>
      <xdr:rowOff>9525</xdr:rowOff>
    </xdr:from>
    <xdr:to>
      <xdr:col>10</xdr:col>
      <xdr:colOff>267710</xdr:colOff>
      <xdr:row>15</xdr:row>
      <xdr:rowOff>67055</xdr:rowOff>
    </xdr:to>
    <xdr:pic>
      <xdr:nvPicPr>
        <xdr:cNvPr id="12" name="Picture 1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23925" y="200025"/>
          <a:ext cx="7240010" cy="272453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180975</xdr:rowOff>
    </xdr:from>
    <xdr:to>
      <xdr:col>8</xdr:col>
      <xdr:colOff>105611</xdr:colOff>
      <xdr:row>14</xdr:row>
      <xdr:rowOff>143215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600" y="371475"/>
          <a:ext cx="5992061" cy="243874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542925</xdr:colOff>
      <xdr:row>1</xdr:row>
      <xdr:rowOff>0</xdr:rowOff>
    </xdr:from>
    <xdr:to>
      <xdr:col>6</xdr:col>
      <xdr:colOff>324803</xdr:colOff>
      <xdr:row>15</xdr:row>
      <xdr:rowOff>155164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42925" y="190500"/>
          <a:ext cx="5058728" cy="2822164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22</xdr:col>
      <xdr:colOff>74543</xdr:colOff>
      <xdr:row>0</xdr:row>
      <xdr:rowOff>74543</xdr:rowOff>
    </xdr:from>
    <xdr:to>
      <xdr:col>25</xdr:col>
      <xdr:colOff>64859</xdr:colOff>
      <xdr:row>2</xdr:row>
      <xdr:rowOff>160333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139108" y="74543"/>
          <a:ext cx="1829055" cy="466790"/>
        </a:xfrm>
        <a:prstGeom prst="rect">
          <a:avLst/>
        </a:prstGeom>
      </xdr:spPr>
    </xdr:pic>
    <xdr:clientData/>
  </xdr:twoCellAnchor>
  <xdr:twoCellAnchor editAs="oneCell">
    <xdr:from>
      <xdr:col>22</xdr:col>
      <xdr:colOff>91109</xdr:colOff>
      <xdr:row>3</xdr:row>
      <xdr:rowOff>16565</xdr:rowOff>
    </xdr:from>
    <xdr:to>
      <xdr:col>23</xdr:col>
      <xdr:colOff>316513</xdr:colOff>
      <xdr:row>5</xdr:row>
      <xdr:rowOff>121408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155674" y="588065"/>
          <a:ext cx="838317" cy="485843"/>
        </a:xfrm>
        <a:prstGeom prst="rect">
          <a:avLst/>
        </a:prstGeom>
      </xdr:spPr>
    </xdr:pic>
    <xdr:clientData/>
  </xdr:twoCellAnchor>
  <xdr:twoCellAnchor>
    <xdr:from>
      <xdr:col>24</xdr:col>
      <xdr:colOff>165651</xdr:colOff>
      <xdr:row>5</xdr:row>
      <xdr:rowOff>140804</xdr:rowOff>
    </xdr:from>
    <xdr:to>
      <xdr:col>28</xdr:col>
      <xdr:colOff>331304</xdr:colOff>
      <xdr:row>16</xdr:row>
      <xdr:rowOff>190499</xdr:rowOff>
    </xdr:to>
    <xdr:sp macro="" textlink="">
      <xdr:nvSpPr>
        <xdr:cNvPr id="4" name="TextBox 3"/>
        <xdr:cNvSpPr txBox="1"/>
      </xdr:nvSpPr>
      <xdr:spPr>
        <a:xfrm>
          <a:off x="4456042" y="1093304"/>
          <a:ext cx="2617305" cy="214519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/>
            <a:t>Deriving equation for V_max so n_r = V_max/V_g </a:t>
          </a:r>
        </a:p>
        <a:p>
          <a:r>
            <a:rPr lang="en-GB" sz="1100"/>
            <a:t>ns = V_g/V_max for no vmin</a:t>
          </a:r>
        </a:p>
        <a:p>
          <a:r>
            <a:rPr lang="en-GB" sz="1100"/>
            <a:t>V_max  = (V_o*V_max/V_g)+(Zos*Imax)</a:t>
          </a:r>
        </a:p>
        <a:p>
          <a:r>
            <a:rPr lang="en-GB" sz="1100"/>
            <a:t>1 = (V_o/V_g)+(Z_ox*I_max/V_max)</a:t>
          </a:r>
        </a:p>
        <a:p>
          <a:endParaRPr lang="en-GB">
            <a:effectLst/>
          </a:endParaRPr>
        </a:p>
        <a:p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1 - (V_o/V_g)=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(Z_ox*I_max/V_max)</a:t>
          </a:r>
        </a:p>
        <a:p>
          <a:endParaRPr lang="en-GB">
            <a:effectLst/>
          </a:endParaRPr>
        </a:p>
        <a:p>
          <a:pPr marL="0" marR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V_max</a:t>
          </a:r>
          <a:endParaRPr lang="en-GB">
            <a:effectLst/>
          </a:endParaRPr>
        </a:p>
        <a:p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=(Z_ox*I_max)/(1 - (V_o/V_g))</a:t>
          </a:r>
          <a:endParaRPr lang="en-GB">
            <a:effectLst/>
          </a:endParaRPr>
        </a:p>
        <a:p>
          <a:endParaRPr lang="en-GB" sz="1100"/>
        </a:p>
        <a:p>
          <a:endParaRPr lang="en-GB" sz="1100"/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161925</xdr:colOff>
      <xdr:row>17</xdr:row>
      <xdr:rowOff>66675</xdr:rowOff>
    </xdr:from>
    <xdr:to>
      <xdr:col>5</xdr:col>
      <xdr:colOff>257273</xdr:colOff>
      <xdr:row>19</xdr:row>
      <xdr:rowOff>133412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305425" y="3305175"/>
          <a:ext cx="704948" cy="447737"/>
        </a:xfrm>
        <a:prstGeom prst="rect">
          <a:avLst/>
        </a:prstGeom>
      </xdr:spPr>
    </xdr:pic>
    <xdr:clientData/>
  </xdr:twoCellAnchor>
  <xdr:twoCellAnchor editAs="oneCell">
    <xdr:from>
      <xdr:col>4</xdr:col>
      <xdr:colOff>285750</xdr:colOff>
      <xdr:row>20</xdr:row>
      <xdr:rowOff>95250</xdr:rowOff>
    </xdr:from>
    <xdr:to>
      <xdr:col>10</xdr:col>
      <xdr:colOff>48102</xdr:colOff>
      <xdr:row>31</xdr:row>
      <xdr:rowOff>57437</xdr:rowOff>
    </xdr:to>
    <xdr:pic>
      <xdr:nvPicPr>
        <xdr:cNvPr id="4" name="Picture 3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429250" y="3905250"/>
          <a:ext cx="3419952" cy="2057687"/>
        </a:xfrm>
        <a:prstGeom prst="rect">
          <a:avLst/>
        </a:prstGeom>
      </xdr:spPr>
    </xdr:pic>
    <xdr:clientData/>
  </xdr:twoCellAnchor>
  <xdr:twoCellAnchor editAs="oneCell">
    <xdr:from>
      <xdr:col>4</xdr:col>
      <xdr:colOff>276225</xdr:colOff>
      <xdr:row>31</xdr:row>
      <xdr:rowOff>114300</xdr:rowOff>
    </xdr:from>
    <xdr:to>
      <xdr:col>10</xdr:col>
      <xdr:colOff>57630</xdr:colOff>
      <xdr:row>41</xdr:row>
      <xdr:rowOff>171724</xdr:rowOff>
    </xdr:to>
    <xdr:pic>
      <xdr:nvPicPr>
        <xdr:cNvPr id="5" name="Picture 4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5419725" y="6019800"/>
          <a:ext cx="3439005" cy="1962424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9525</xdr:colOff>
      <xdr:row>0</xdr:row>
      <xdr:rowOff>0</xdr:rowOff>
    </xdr:from>
    <xdr:to>
      <xdr:col>18</xdr:col>
      <xdr:colOff>591652</xdr:colOff>
      <xdr:row>24</xdr:row>
      <xdr:rowOff>86375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667125" y="0"/>
          <a:ext cx="7897327" cy="46583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mouser.co.uk/ProductDetail/TDK/FG26X7R2A105KNT06?qs=sGAEpiMZZMvsSlwiRhF8qjQUafaa8S5xA6BgDdbMmMhufnE%252BCCuluQ%3D%3D" TargetMode="External"/><Relationship Id="rId1" Type="http://schemas.openxmlformats.org/officeDocument/2006/relationships/hyperlink" Target="https://www.mouser.co.uk/datasheet/2/281/MHR0422SA_series_data_sheet-1594297.pdf" TargetMode="External"/><Relationship Id="rId4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Q741"/>
  <sheetViews>
    <sheetView tabSelected="1" topLeftCell="A206" zoomScale="55" zoomScaleNormal="55" workbookViewId="0">
      <selection activeCell="C247" sqref="C247"/>
    </sheetView>
  </sheetViews>
  <sheetFormatPr defaultRowHeight="15" x14ac:dyDescent="0.25"/>
  <cols>
    <col min="1" max="1" width="30.42578125" customWidth="1"/>
    <col min="2" max="2" width="23.28515625" customWidth="1"/>
    <col min="3" max="3" width="72.42578125" customWidth="1"/>
    <col min="4" max="4" width="41" customWidth="1"/>
    <col min="5" max="5" width="23.28515625" customWidth="1"/>
    <col min="6" max="6" width="14" customWidth="1"/>
    <col min="7" max="7" width="16.28515625" customWidth="1"/>
    <col min="8" max="8" width="20.140625" customWidth="1"/>
    <col min="9" max="9" width="25.85546875" customWidth="1"/>
    <col min="10" max="10" width="10.7109375" customWidth="1"/>
    <col min="11" max="11" width="11" customWidth="1"/>
    <col min="12" max="12" width="11.5703125" customWidth="1"/>
    <col min="13" max="13" width="11" customWidth="1"/>
    <col min="14" max="14" width="10.42578125" customWidth="1"/>
    <col min="15" max="16" width="10.7109375" customWidth="1"/>
    <col min="17" max="17" width="55.85546875" customWidth="1"/>
    <col min="18" max="18" width="27.28515625" customWidth="1"/>
    <col min="40" max="40" width="10.7109375" customWidth="1"/>
    <col min="100" max="100" width="11" customWidth="1"/>
    <col min="106" max="106" width="10.42578125" customWidth="1"/>
    <col min="111" max="111" width="13.7109375" customWidth="1"/>
    <col min="115" max="115" width="11" customWidth="1"/>
  </cols>
  <sheetData>
    <row r="1" spans="1:7" x14ac:dyDescent="0.25">
      <c r="A1" t="s">
        <v>113</v>
      </c>
      <c r="B1" t="s">
        <v>112</v>
      </c>
      <c r="C1" t="s">
        <v>111</v>
      </c>
      <c r="D1" t="s">
        <v>57</v>
      </c>
      <c r="E1" s="6" t="s">
        <v>16</v>
      </c>
      <c r="F1" t="s">
        <v>685</v>
      </c>
    </row>
    <row r="2" spans="1:7" x14ac:dyDescent="0.25">
      <c r="B2" s="6"/>
      <c r="C2" s="6" t="s">
        <v>63</v>
      </c>
      <c r="D2" s="40">
        <v>200</v>
      </c>
      <c r="E2" s="6" t="s">
        <v>19</v>
      </c>
    </row>
    <row r="3" spans="1:7" x14ac:dyDescent="0.25">
      <c r="B3" s="6" t="s">
        <v>41</v>
      </c>
      <c r="C3" s="6" t="s">
        <v>40</v>
      </c>
      <c r="D3" s="40">
        <v>16000</v>
      </c>
      <c r="E3" s="6" t="s">
        <v>59</v>
      </c>
    </row>
    <row r="4" spans="1:7" x14ac:dyDescent="0.25">
      <c r="B4" s="6"/>
      <c r="C4" s="6" t="s">
        <v>4</v>
      </c>
      <c r="D4" s="40">
        <v>1.2</v>
      </c>
      <c r="E4" s="6"/>
    </row>
    <row r="5" spans="1:7" x14ac:dyDescent="0.25">
      <c r="B5" s="6" t="s">
        <v>34</v>
      </c>
      <c r="C5" s="6" t="s">
        <v>39</v>
      </c>
      <c r="D5" s="6">
        <f>11.8*3</f>
        <v>35.400000000000006</v>
      </c>
      <c r="E5" s="6" t="s">
        <v>18</v>
      </c>
    </row>
    <row r="6" spans="1:7" x14ac:dyDescent="0.25">
      <c r="B6" s="6" t="s">
        <v>300</v>
      </c>
      <c r="C6" s="6" t="s">
        <v>301</v>
      </c>
      <c r="D6" s="6">
        <f>12.7*3</f>
        <v>38.099999999999994</v>
      </c>
      <c r="E6" s="6" t="s">
        <v>18</v>
      </c>
    </row>
    <row r="7" spans="1:7" x14ac:dyDescent="0.25">
      <c r="B7" s="6" t="s">
        <v>35</v>
      </c>
      <c r="C7" s="6" t="s">
        <v>38</v>
      </c>
      <c r="D7" s="6">
        <v>44.1</v>
      </c>
      <c r="E7" s="6" t="s">
        <v>18</v>
      </c>
    </row>
    <row r="8" spans="1:7" x14ac:dyDescent="0.25">
      <c r="B8" s="6" t="s">
        <v>62</v>
      </c>
      <c r="C8" s="6" t="s">
        <v>61</v>
      </c>
      <c r="D8" s="6">
        <v>4000</v>
      </c>
      <c r="E8" s="6" t="s">
        <v>18</v>
      </c>
    </row>
    <row r="9" spans="1:7" x14ac:dyDescent="0.25">
      <c r="B9" s="6" t="s">
        <v>52</v>
      </c>
      <c r="C9" s="6" t="s">
        <v>60</v>
      </c>
      <c r="D9" s="6">
        <v>2000</v>
      </c>
      <c r="E9" s="6" t="s">
        <v>18</v>
      </c>
    </row>
    <row r="10" spans="1:7" x14ac:dyDescent="0.25">
      <c r="B10" s="6"/>
      <c r="C10" s="6" t="s">
        <v>1</v>
      </c>
      <c r="D10" s="6">
        <f>D2/D9</f>
        <v>0.1</v>
      </c>
      <c r="E10" s="6" t="s">
        <v>17</v>
      </c>
      <c r="G10">
        <f>0.002*0.002*8000000</f>
        <v>32</v>
      </c>
    </row>
    <row r="11" spans="1:7" x14ac:dyDescent="0.25">
      <c r="B11" s="6"/>
      <c r="C11" s="6" t="s">
        <v>116</v>
      </c>
      <c r="D11" s="6">
        <f>D2/D8</f>
        <v>0.05</v>
      </c>
      <c r="E11" s="6" t="s">
        <v>17</v>
      </c>
    </row>
    <row r="12" spans="1:7" x14ac:dyDescent="0.25">
      <c r="B12" s="6"/>
      <c r="C12" s="6" t="s">
        <v>14</v>
      </c>
      <c r="D12" s="50">
        <v>400</v>
      </c>
      <c r="E12" s="6" t="s">
        <v>18</v>
      </c>
    </row>
    <row r="13" spans="1:7" x14ac:dyDescent="0.25">
      <c r="B13" s="6" t="s">
        <v>89</v>
      </c>
      <c r="C13" s="6" t="s">
        <v>0</v>
      </c>
      <c r="D13" s="6">
        <f>ROUND(D8/D12, 0)</f>
        <v>10</v>
      </c>
      <c r="E13" s="6"/>
    </row>
    <row r="14" spans="1:7" x14ac:dyDescent="0.25">
      <c r="B14" s="6" t="s">
        <v>88</v>
      </c>
      <c r="C14" s="6" t="s">
        <v>87</v>
      </c>
      <c r="D14" s="40">
        <v>10</v>
      </c>
      <c r="E14" s="6"/>
    </row>
    <row r="15" spans="1:7" x14ac:dyDescent="0.25">
      <c r="B15" s="6"/>
      <c r="C15" s="6" t="s">
        <v>58</v>
      </c>
      <c r="D15" s="5" t="b">
        <f>D14&gt;=D13</f>
        <v>1</v>
      </c>
      <c r="E15" s="6"/>
    </row>
    <row r="16" spans="1:7" x14ac:dyDescent="0.25">
      <c r="B16" s="6"/>
      <c r="C16" s="6" t="s">
        <v>5</v>
      </c>
      <c r="D16" s="1">
        <v>1.1999999999999999E-6</v>
      </c>
      <c r="E16" s="6" t="s">
        <v>20</v>
      </c>
    </row>
    <row r="17" spans="1:11" x14ac:dyDescent="0.25">
      <c r="A17" s="6"/>
      <c r="B17" s="6" t="s">
        <v>903</v>
      </c>
      <c r="C17" s="6" t="s">
        <v>904</v>
      </c>
      <c r="D17" s="6">
        <f>22</f>
        <v>22</v>
      </c>
      <c r="E17" s="6" t="s">
        <v>17</v>
      </c>
    </row>
    <row r="18" spans="1:11" x14ac:dyDescent="0.25">
      <c r="A18" s="6"/>
      <c r="B18" s="6"/>
      <c r="C18" s="6"/>
      <c r="D18" s="6"/>
      <c r="E18" s="6"/>
    </row>
    <row r="19" spans="1:11" x14ac:dyDescent="0.25">
      <c r="A19" s="6"/>
      <c r="E19" s="6"/>
      <c r="G19" s="69" t="s">
        <v>338</v>
      </c>
      <c r="H19" s="69"/>
      <c r="I19" s="69"/>
      <c r="J19" s="69"/>
    </row>
    <row r="20" spans="1:11" x14ac:dyDescent="0.25">
      <c r="A20" s="66" t="s">
        <v>86</v>
      </c>
      <c r="B20" s="6" t="s">
        <v>84</v>
      </c>
      <c r="C20" s="6" t="s">
        <v>2</v>
      </c>
      <c r="D20" s="25">
        <v>0.3</v>
      </c>
      <c r="E20" t="s">
        <v>17</v>
      </c>
      <c r="G20" s="69"/>
      <c r="H20" s="69"/>
      <c r="I20" s="69"/>
      <c r="J20" s="69"/>
    </row>
    <row r="21" spans="1:11" x14ac:dyDescent="0.25">
      <c r="A21" s="66"/>
      <c r="B21" s="6"/>
      <c r="C21" s="6" t="s">
        <v>3</v>
      </c>
      <c r="D21" s="53">
        <f>D20/D4</f>
        <v>0.25</v>
      </c>
      <c r="E21" s="6" t="s">
        <v>17</v>
      </c>
      <c r="G21" s="69"/>
      <c r="H21" s="69"/>
      <c r="I21" s="69"/>
      <c r="J21" s="69"/>
    </row>
    <row r="22" spans="1:11" x14ac:dyDescent="0.25">
      <c r="A22" s="66"/>
      <c r="B22" s="6" t="s">
        <v>56</v>
      </c>
      <c r="C22" s="6" t="s">
        <v>85</v>
      </c>
      <c r="D22" s="40">
        <v>3</v>
      </c>
      <c r="E22" s="6"/>
      <c r="G22" s="69"/>
      <c r="H22" s="69"/>
      <c r="I22" s="69"/>
      <c r="J22" s="69"/>
    </row>
    <row r="23" spans="1:11" x14ac:dyDescent="0.25">
      <c r="A23" s="66"/>
      <c r="B23" s="6"/>
      <c r="C23" s="8" t="s">
        <v>852</v>
      </c>
      <c r="D23" s="6">
        <f>D22/D4</f>
        <v>2.5</v>
      </c>
      <c r="E23" s="6"/>
    </row>
    <row r="24" spans="1:11" x14ac:dyDescent="0.25">
      <c r="A24" s="66"/>
      <c r="B24" s="6"/>
      <c r="C24" s="6" t="s">
        <v>7</v>
      </c>
      <c r="D24" s="40">
        <v>1.2</v>
      </c>
      <c r="E24" s="6"/>
    </row>
    <row r="25" spans="1:11" x14ac:dyDescent="0.25">
      <c r="A25" s="66"/>
      <c r="B25" s="6"/>
      <c r="C25" s="6" t="s">
        <v>25</v>
      </c>
      <c r="D25" s="6"/>
      <c r="E25" s="6"/>
    </row>
    <row r="26" spans="1:11" x14ac:dyDescent="0.25">
      <c r="A26" s="66"/>
      <c r="B26" s="6"/>
      <c r="C26" s="6" t="s">
        <v>9</v>
      </c>
      <c r="D26" s="53">
        <f>D24*D10</f>
        <v>0.12</v>
      </c>
      <c r="E26" s="6" t="s">
        <v>19</v>
      </c>
    </row>
    <row r="27" spans="1:11" x14ac:dyDescent="0.25">
      <c r="A27" s="66"/>
      <c r="B27" s="6"/>
      <c r="C27" s="6" t="s">
        <v>8</v>
      </c>
      <c r="D27" s="6">
        <f>D26*D14</f>
        <v>1.2</v>
      </c>
      <c r="E27" s="6" t="s">
        <v>19</v>
      </c>
    </row>
    <row r="28" spans="1:11" x14ac:dyDescent="0.25">
      <c r="A28" s="20"/>
      <c r="B28" s="6"/>
      <c r="C28" s="6"/>
    </row>
    <row r="29" spans="1:11" ht="15" customHeight="1" x14ac:dyDescent="0.25">
      <c r="A29" s="66" t="s">
        <v>114</v>
      </c>
      <c r="B29" s="2"/>
      <c r="C29" s="2" t="s">
        <v>857</v>
      </c>
      <c r="D29" s="2">
        <f>D2</f>
        <v>200</v>
      </c>
      <c r="E29" s="2"/>
    </row>
    <row r="30" spans="1:11" x14ac:dyDescent="0.25">
      <c r="A30" s="66"/>
      <c r="B30" s="2"/>
      <c r="C30" s="2" t="s">
        <v>4</v>
      </c>
      <c r="D30" s="57">
        <f>D4</f>
        <v>1.2</v>
      </c>
      <c r="E30" s="2"/>
      <c r="G30" s="69" t="s">
        <v>339</v>
      </c>
      <c r="H30" s="70"/>
      <c r="I30" s="70"/>
      <c r="J30" s="70"/>
      <c r="K30" s="70"/>
    </row>
    <row r="31" spans="1:11" x14ac:dyDescent="0.25">
      <c r="A31" s="66"/>
      <c r="B31" s="2"/>
      <c r="C31" s="2" t="s">
        <v>117</v>
      </c>
      <c r="D31" s="3">
        <f>D85</f>
        <v>1.92</v>
      </c>
      <c r="E31" s="2" t="s">
        <v>22</v>
      </c>
      <c r="G31" s="69"/>
      <c r="H31" s="70"/>
      <c r="I31" s="70"/>
      <c r="J31" s="70"/>
      <c r="K31" s="70"/>
    </row>
    <row r="32" spans="1:11" x14ac:dyDescent="0.25">
      <c r="A32" s="66"/>
      <c r="B32" s="2"/>
      <c r="C32" s="2" t="s">
        <v>116</v>
      </c>
      <c r="D32" s="2">
        <f>D11</f>
        <v>0.05</v>
      </c>
      <c r="E32" s="2" t="s">
        <v>17</v>
      </c>
      <c r="G32" s="69"/>
      <c r="H32" s="70"/>
      <c r="I32" s="70"/>
      <c r="J32" s="70"/>
      <c r="K32" s="70"/>
    </row>
    <row r="33" spans="1:11" x14ac:dyDescent="0.25">
      <c r="A33" s="66"/>
      <c r="B33" s="2"/>
      <c r="C33" s="2" t="s">
        <v>1</v>
      </c>
      <c r="D33" s="2">
        <f>D10</f>
        <v>0.1</v>
      </c>
      <c r="E33" s="2" t="s">
        <v>17</v>
      </c>
      <c r="G33" s="69"/>
      <c r="H33" s="70"/>
      <c r="I33" s="70"/>
      <c r="J33" s="70"/>
      <c r="K33" s="70"/>
    </row>
    <row r="34" spans="1:11" x14ac:dyDescent="0.25">
      <c r="A34" s="66"/>
      <c r="B34" s="2" t="s">
        <v>62</v>
      </c>
      <c r="C34" s="2" t="s">
        <v>61</v>
      </c>
      <c r="D34" s="3">
        <f>D8</f>
        <v>4000</v>
      </c>
      <c r="E34" s="2" t="s">
        <v>18</v>
      </c>
      <c r="G34" s="70"/>
      <c r="H34" s="70"/>
      <c r="I34" s="70"/>
      <c r="J34" s="70"/>
      <c r="K34" s="70"/>
    </row>
    <row r="35" spans="1:11" ht="15" customHeight="1" x14ac:dyDescent="0.25">
      <c r="A35" s="66"/>
      <c r="B35" s="2"/>
      <c r="C35" s="2" t="s">
        <v>852</v>
      </c>
      <c r="D35" s="2">
        <f>D23</f>
        <v>2.5</v>
      </c>
      <c r="E35" s="59" t="s">
        <v>17</v>
      </c>
      <c r="G35" s="70"/>
      <c r="H35" s="70"/>
      <c r="I35" s="70"/>
      <c r="J35" s="70"/>
      <c r="K35" s="70"/>
    </row>
    <row r="36" spans="1:11" x14ac:dyDescent="0.25">
      <c r="A36" s="66"/>
      <c r="B36" s="6"/>
      <c r="C36" s="6" t="s">
        <v>108</v>
      </c>
      <c r="D36" s="54">
        <f>D34/D35</f>
        <v>1600</v>
      </c>
      <c r="E36" s="7" t="s">
        <v>21</v>
      </c>
      <c r="G36" s="70"/>
      <c r="H36" s="70"/>
      <c r="I36" s="70"/>
      <c r="J36" s="70"/>
      <c r="K36" s="70"/>
    </row>
    <row r="37" spans="1:11" x14ac:dyDescent="0.25">
      <c r="A37" s="66"/>
      <c r="B37" s="6"/>
      <c r="C37" s="6" t="s">
        <v>109</v>
      </c>
      <c r="D37" s="40">
        <v>500</v>
      </c>
      <c r="E37" s="7" t="s">
        <v>21</v>
      </c>
      <c r="G37" s="70"/>
      <c r="H37" s="70"/>
      <c r="I37" s="70"/>
      <c r="J37" s="70"/>
      <c r="K37" s="70"/>
    </row>
    <row r="38" spans="1:11" x14ac:dyDescent="0.25">
      <c r="A38" s="66"/>
      <c r="B38" s="6"/>
      <c r="C38" s="6" t="s">
        <v>110</v>
      </c>
      <c r="D38" s="40">
        <v>4</v>
      </c>
      <c r="E38" s="7"/>
      <c r="G38" s="70"/>
      <c r="H38" s="70"/>
      <c r="I38" s="70"/>
      <c r="J38" s="70"/>
      <c r="K38" s="70"/>
    </row>
    <row r="39" spans="1:11" x14ac:dyDescent="0.25">
      <c r="A39" s="66"/>
      <c r="C39" t="s">
        <v>115</v>
      </c>
      <c r="D39" s="18">
        <f>D37*D38</f>
        <v>2000</v>
      </c>
      <c r="E39" s="7" t="s">
        <v>21</v>
      </c>
    </row>
    <row r="40" spans="1:11" x14ac:dyDescent="0.25">
      <c r="A40" s="66"/>
      <c r="C40" t="s">
        <v>118</v>
      </c>
      <c r="D40" s="34">
        <v>5</v>
      </c>
      <c r="E40" t="s">
        <v>150</v>
      </c>
    </row>
    <row r="41" spans="1:11" x14ac:dyDescent="0.25">
      <c r="A41" s="66"/>
      <c r="C41" t="s">
        <v>151</v>
      </c>
      <c r="D41" s="18">
        <f>(1+(D40/200))*D39</f>
        <v>2050</v>
      </c>
      <c r="E41" s="7" t="s">
        <v>21</v>
      </c>
    </row>
    <row r="42" spans="1:11" x14ac:dyDescent="0.25">
      <c r="A42" s="66"/>
      <c r="B42" s="6"/>
      <c r="C42" s="6" t="s">
        <v>152</v>
      </c>
      <c r="D42" s="8">
        <f>(1-(D40/200))*D39</f>
        <v>1950</v>
      </c>
      <c r="E42" s="7" t="s">
        <v>21</v>
      </c>
    </row>
    <row r="43" spans="1:11" x14ac:dyDescent="0.25">
      <c r="A43" s="66"/>
      <c r="B43" s="6"/>
      <c r="C43" s="6" t="s">
        <v>853</v>
      </c>
      <c r="D43" s="54">
        <f>D34/D42</f>
        <v>2.0512820512820511</v>
      </c>
      <c r="E43" s="6" t="s">
        <v>17</v>
      </c>
    </row>
    <row r="44" spans="1:11" x14ac:dyDescent="0.25">
      <c r="A44" s="66"/>
      <c r="B44" s="6"/>
      <c r="C44" s="6" t="s">
        <v>855</v>
      </c>
      <c r="D44" s="8">
        <f>POWER(D33, 2)*D41</f>
        <v>20.500000000000004</v>
      </c>
      <c r="E44" s="6" t="s">
        <v>19</v>
      </c>
    </row>
    <row r="45" spans="1:11" x14ac:dyDescent="0.25">
      <c r="A45" s="66"/>
      <c r="B45" s="6"/>
      <c r="C45" s="6" t="s">
        <v>854</v>
      </c>
      <c r="D45" s="8">
        <f>D44/D38</f>
        <v>5.1250000000000009</v>
      </c>
      <c r="E45" s="6" t="s">
        <v>19</v>
      </c>
    </row>
    <row r="46" spans="1:11" x14ac:dyDescent="0.25">
      <c r="A46" s="66"/>
      <c r="B46" s="6"/>
      <c r="C46" s="46" t="s">
        <v>153</v>
      </c>
      <c r="D46" s="46">
        <f>D37*POWER(D113, 2)/(2*3)</f>
        <v>520.83333333333337</v>
      </c>
      <c r="E46" s="6"/>
    </row>
    <row r="47" spans="1:11" x14ac:dyDescent="0.25">
      <c r="A47" s="66"/>
      <c r="B47" s="6"/>
      <c r="C47" s="6" t="s">
        <v>480</v>
      </c>
      <c r="D47" s="8">
        <f>POWER(D32, 2)*D41</f>
        <v>5.1250000000000009</v>
      </c>
      <c r="E47" s="6" t="s">
        <v>19</v>
      </c>
    </row>
    <row r="48" spans="1:11" x14ac:dyDescent="0.25">
      <c r="A48" s="66"/>
      <c r="B48" s="6"/>
      <c r="C48" s="6" t="s">
        <v>24</v>
      </c>
      <c r="D48" s="54">
        <f>D31/D38</f>
        <v>0.48</v>
      </c>
      <c r="E48" s="6" t="s">
        <v>22</v>
      </c>
    </row>
    <row r="49" spans="1:18" x14ac:dyDescent="0.25">
      <c r="A49" s="66"/>
      <c r="B49" s="6"/>
      <c r="C49" s="6" t="s">
        <v>478</v>
      </c>
      <c r="D49" s="55">
        <v>100</v>
      </c>
      <c r="E49" s="6" t="s">
        <v>19</v>
      </c>
    </row>
    <row r="50" spans="1:18" x14ac:dyDescent="0.25">
      <c r="A50" s="66"/>
      <c r="B50" s="6"/>
      <c r="C50" s="6" t="s">
        <v>479</v>
      </c>
      <c r="D50" s="18" t="b">
        <f>D49/D30&gt;=D45</f>
        <v>1</v>
      </c>
      <c r="E50" s="6"/>
    </row>
    <row r="51" spans="1:18" x14ac:dyDescent="0.25">
      <c r="A51" s="66"/>
      <c r="B51" s="6"/>
      <c r="C51" s="6" t="s">
        <v>858</v>
      </c>
      <c r="D51" s="54">
        <f>D49*D38/D30</f>
        <v>333.33333333333337</v>
      </c>
      <c r="E51" s="6" t="s">
        <v>19</v>
      </c>
    </row>
    <row r="52" spans="1:18" x14ac:dyDescent="0.25">
      <c r="A52" s="66"/>
      <c r="B52" s="6"/>
      <c r="C52" s="6" t="s">
        <v>856</v>
      </c>
      <c r="D52" s="18" t="b">
        <f>D51&gt;=D29</f>
        <v>1</v>
      </c>
      <c r="E52" s="6"/>
    </row>
    <row r="53" spans="1:18" x14ac:dyDescent="0.25">
      <c r="A53" s="20"/>
      <c r="B53" s="6"/>
      <c r="C53" s="46"/>
      <c r="D53" s="47"/>
      <c r="E53" s="46"/>
    </row>
    <row r="54" spans="1:18" x14ac:dyDescent="0.25">
      <c r="A54" s="20"/>
      <c r="B54" s="6"/>
      <c r="C54" s="46"/>
      <c r="D54" s="47"/>
      <c r="E54" s="46"/>
    </row>
    <row r="55" spans="1:18" x14ac:dyDescent="0.25">
      <c r="A55" s="20"/>
      <c r="B55" s="6"/>
      <c r="C55" s="46"/>
      <c r="D55" s="47"/>
      <c r="E55" s="46"/>
    </row>
    <row r="56" spans="1:18" x14ac:dyDescent="0.25">
      <c r="A56" s="20"/>
      <c r="B56" s="6"/>
      <c r="C56" s="46"/>
      <c r="D56" s="47"/>
      <c r="E56" s="46"/>
    </row>
    <row r="57" spans="1:18" x14ac:dyDescent="0.25">
      <c r="A57" s="20"/>
      <c r="B57" s="51"/>
      <c r="C57" s="46"/>
      <c r="D57" s="47"/>
      <c r="E57" s="46"/>
    </row>
    <row r="58" spans="1:18" x14ac:dyDescent="0.25">
      <c r="A58" s="20"/>
      <c r="B58" s="6"/>
      <c r="C58" s="46"/>
      <c r="D58" s="47"/>
      <c r="E58" s="46"/>
    </row>
    <row r="59" spans="1:18" x14ac:dyDescent="0.25">
      <c r="A59" s="20"/>
      <c r="B59" s="6"/>
      <c r="C59" s="46"/>
      <c r="D59" s="47"/>
      <c r="E59" s="52"/>
    </row>
    <row r="60" spans="1:18" x14ac:dyDescent="0.25">
      <c r="A60" s="20"/>
      <c r="B60" s="6"/>
      <c r="C60" s="46"/>
      <c r="D60" s="47"/>
      <c r="E60" s="46"/>
    </row>
    <row r="61" spans="1:18" x14ac:dyDescent="0.25">
      <c r="A61" s="20"/>
      <c r="B61" s="6"/>
      <c r="C61" s="46"/>
      <c r="D61" s="47"/>
      <c r="E61" s="46"/>
    </row>
    <row r="62" spans="1:18" x14ac:dyDescent="0.25">
      <c r="A62" s="66" t="s">
        <v>27</v>
      </c>
      <c r="B62" s="2"/>
      <c r="C62" s="2" t="s">
        <v>14</v>
      </c>
      <c r="D62" s="58">
        <f>D12</f>
        <v>400</v>
      </c>
      <c r="E62" s="2" t="s">
        <v>18</v>
      </c>
    </row>
    <row r="63" spans="1:18" x14ac:dyDescent="0.25">
      <c r="A63" s="66"/>
      <c r="B63" s="2"/>
      <c r="C63" s="2" t="s">
        <v>5</v>
      </c>
      <c r="D63" s="3">
        <f>D16</f>
        <v>1.1999999999999999E-6</v>
      </c>
      <c r="E63" s="2" t="s">
        <v>20</v>
      </c>
    </row>
    <row r="64" spans="1:18" x14ac:dyDescent="0.25">
      <c r="A64" s="66"/>
      <c r="B64" s="2" t="s">
        <v>88</v>
      </c>
      <c r="C64" s="2" t="s">
        <v>87</v>
      </c>
      <c r="D64" s="57">
        <f>D14</f>
        <v>10</v>
      </c>
      <c r="E64" s="2"/>
      <c r="P64" t="s">
        <v>64</v>
      </c>
      <c r="Q64" t="s">
        <v>65</v>
      </c>
      <c r="R64">
        <v>0.1</v>
      </c>
    </row>
    <row r="65" spans="1:18" ht="15" customHeight="1" x14ac:dyDescent="0.25">
      <c r="A65" s="66"/>
      <c r="C65" s="6" t="s">
        <v>26</v>
      </c>
      <c r="D65" s="40">
        <v>180</v>
      </c>
      <c r="E65" s="6" t="s">
        <v>233</v>
      </c>
      <c r="P65" t="s">
        <v>66</v>
      </c>
      <c r="Q65" t="s">
        <v>67</v>
      </c>
      <c r="R65">
        <f xml:space="preserve"> D8/R64</f>
        <v>40000</v>
      </c>
    </row>
    <row r="66" spans="1:18" x14ac:dyDescent="0.25">
      <c r="A66" s="66"/>
      <c r="C66" s="6" t="s">
        <v>23</v>
      </c>
      <c r="D66" s="40">
        <v>30</v>
      </c>
      <c r="E66" s="6" t="s">
        <v>18</v>
      </c>
      <c r="P66" t="s">
        <v>68</v>
      </c>
      <c r="Q66" t="s">
        <v>69</v>
      </c>
      <c r="R66">
        <f>D2/D8</f>
        <v>0.05</v>
      </c>
    </row>
    <row r="67" spans="1:18" x14ac:dyDescent="0.25">
      <c r="A67" s="66"/>
      <c r="B67" s="6"/>
      <c r="C67" s="6" t="s">
        <v>10</v>
      </c>
      <c r="D67" s="8">
        <f>D66/D64</f>
        <v>3</v>
      </c>
      <c r="E67" s="6" t="s">
        <v>233</v>
      </c>
      <c r="P67" t="s">
        <v>70</v>
      </c>
      <c r="Q67" t="s">
        <v>71</v>
      </c>
      <c r="R67">
        <f xml:space="preserve"> D2/D9</f>
        <v>0.1</v>
      </c>
    </row>
    <row r="68" spans="1:18" x14ac:dyDescent="0.25">
      <c r="A68" s="66"/>
      <c r="B68" s="6"/>
      <c r="C68" s="6" t="s">
        <v>11</v>
      </c>
      <c r="D68" s="54">
        <f>D65/(D63*LN(D62/D67))</f>
        <v>30656964.910652909</v>
      </c>
      <c r="E68" s="7" t="s">
        <v>21</v>
      </c>
      <c r="Q68" t="s">
        <v>72</v>
      </c>
      <c r="R68">
        <f>R66*R65</f>
        <v>2000</v>
      </c>
    </row>
    <row r="69" spans="1:18" x14ac:dyDescent="0.25">
      <c r="A69" s="66"/>
      <c r="C69" s="6" t="s">
        <v>13</v>
      </c>
      <c r="D69" s="55">
        <f>5000000</f>
        <v>5000000</v>
      </c>
      <c r="E69" s="7" t="s">
        <v>21</v>
      </c>
      <c r="G69" t="s">
        <v>28</v>
      </c>
      <c r="Q69" t="s">
        <v>73</v>
      </c>
      <c r="R69">
        <f>R67*R65</f>
        <v>4000</v>
      </c>
    </row>
    <row r="70" spans="1:18" x14ac:dyDescent="0.25">
      <c r="A70" s="66"/>
      <c r="B70" s="6"/>
      <c r="C70" s="6" t="s">
        <v>90</v>
      </c>
      <c r="D70" s="54">
        <f>POWER(D62, 2)/D69</f>
        <v>3.2000000000000001E-2</v>
      </c>
      <c r="E70" s="6" t="s">
        <v>19</v>
      </c>
      <c r="Q70" t="s">
        <v>74</v>
      </c>
      <c r="R70">
        <f xml:space="preserve"> POWER(R68, 2)/R65</f>
        <v>100</v>
      </c>
    </row>
    <row r="71" spans="1:18" x14ac:dyDescent="0.25">
      <c r="A71" s="66"/>
      <c r="B71" s="6"/>
      <c r="C71" s="6" t="s">
        <v>12</v>
      </c>
      <c r="D71" s="54">
        <f>2*D70*D64</f>
        <v>0.64</v>
      </c>
      <c r="E71" s="6" t="s">
        <v>19</v>
      </c>
      <c r="Q71" t="s">
        <v>75</v>
      </c>
      <c r="R71">
        <f xml:space="preserve"> POWER(R69, 2)/R65</f>
        <v>400</v>
      </c>
    </row>
    <row r="72" spans="1:18" x14ac:dyDescent="0.25">
      <c r="A72" s="66"/>
      <c r="B72" s="6"/>
      <c r="C72" s="6" t="s">
        <v>29</v>
      </c>
      <c r="D72" s="54">
        <f>D69*D63*LN(D62/D67)</f>
        <v>29.357113550639234</v>
      </c>
      <c r="E72" s="6" t="s">
        <v>233</v>
      </c>
    </row>
    <row r="73" spans="1:18" x14ac:dyDescent="0.25">
      <c r="A73" s="66"/>
      <c r="B73" s="6"/>
      <c r="C73" s="6" t="s">
        <v>91</v>
      </c>
      <c r="D73" s="56" t="b">
        <f>D72&lt;=D65</f>
        <v>1</v>
      </c>
      <c r="E73" s="6"/>
    </row>
    <row r="74" spans="1:18" x14ac:dyDescent="0.25">
      <c r="A74" s="49"/>
      <c r="B74" s="6"/>
      <c r="C74" s="6"/>
      <c r="D74" s="6"/>
      <c r="E74" s="6"/>
    </row>
    <row r="75" spans="1:18" x14ac:dyDescent="0.25">
      <c r="A75" s="49"/>
      <c r="B75" s="6"/>
      <c r="C75" s="6"/>
      <c r="D75" s="6"/>
      <c r="E75" s="6"/>
    </row>
    <row r="76" spans="1:18" x14ac:dyDescent="0.25">
      <c r="A76" s="49"/>
      <c r="B76" s="6"/>
      <c r="C76" s="6"/>
      <c r="D76" s="6"/>
      <c r="E76" s="6"/>
    </row>
    <row r="77" spans="1:18" x14ac:dyDescent="0.25">
      <c r="A77" s="49"/>
      <c r="B77" s="6"/>
      <c r="C77" s="6"/>
      <c r="D77" s="6"/>
      <c r="E77" s="6"/>
    </row>
    <row r="78" spans="1:18" x14ac:dyDescent="0.25">
      <c r="A78" s="68" t="s">
        <v>92</v>
      </c>
      <c r="B78" s="2" t="s">
        <v>89</v>
      </c>
      <c r="C78" s="2" t="s">
        <v>0</v>
      </c>
      <c r="D78" s="2">
        <f>D14</f>
        <v>10</v>
      </c>
      <c r="E78" s="2"/>
    </row>
    <row r="79" spans="1:18" x14ac:dyDescent="0.25">
      <c r="A79" s="68"/>
      <c r="B79" s="2"/>
      <c r="C79" s="2" t="s">
        <v>5</v>
      </c>
      <c r="D79" s="3">
        <f>D16</f>
        <v>1.1999999999999999E-6</v>
      </c>
      <c r="E79" s="2" t="s">
        <v>20</v>
      </c>
    </row>
    <row r="80" spans="1:18" x14ac:dyDescent="0.25">
      <c r="A80" s="68"/>
      <c r="B80" s="2"/>
      <c r="C80" s="2" t="s">
        <v>14</v>
      </c>
      <c r="D80" s="58">
        <f>D12</f>
        <v>400</v>
      </c>
      <c r="E80" s="2" t="s">
        <v>18</v>
      </c>
    </row>
    <row r="81" spans="1:18" x14ac:dyDescent="0.25">
      <c r="A81" s="68"/>
      <c r="B81" s="2"/>
      <c r="C81" s="2" t="s">
        <v>63</v>
      </c>
      <c r="D81" s="57">
        <f>D2</f>
        <v>200</v>
      </c>
      <c r="E81" s="2" t="s">
        <v>19</v>
      </c>
    </row>
    <row r="82" spans="1:18" x14ac:dyDescent="0.25">
      <c r="A82" s="68"/>
      <c r="B82" s="2" t="s">
        <v>41</v>
      </c>
      <c r="C82" s="2" t="s">
        <v>40</v>
      </c>
      <c r="D82" s="57">
        <f>D3</f>
        <v>16000</v>
      </c>
      <c r="E82" s="2" t="s">
        <v>59</v>
      </c>
    </row>
    <row r="83" spans="1:18" x14ac:dyDescent="0.25">
      <c r="A83" s="68"/>
      <c r="B83" s="6"/>
      <c r="C83" s="6" t="s">
        <v>846</v>
      </c>
      <c r="D83" s="8">
        <f>D81/D82</f>
        <v>1.2500000000000001E-2</v>
      </c>
      <c r="E83" s="6" t="s">
        <v>22</v>
      </c>
    </row>
    <row r="84" spans="1:18" x14ac:dyDescent="0.25">
      <c r="A84" s="68"/>
      <c r="B84" s="6" t="s">
        <v>107</v>
      </c>
      <c r="C84" s="6" t="s">
        <v>6</v>
      </c>
      <c r="D84" s="54">
        <f>POWER(D80, 2)*0.5*D79</f>
        <v>9.6000000000000002E-2</v>
      </c>
      <c r="E84" s="6" t="s">
        <v>22</v>
      </c>
    </row>
    <row r="85" spans="1:18" x14ac:dyDescent="0.25">
      <c r="A85" s="68"/>
      <c r="B85" s="6"/>
      <c r="C85" s="6" t="s">
        <v>117</v>
      </c>
      <c r="D85" s="54">
        <f>D84*2*D78</f>
        <v>1.92</v>
      </c>
      <c r="E85" s="6" t="s">
        <v>22</v>
      </c>
    </row>
    <row r="86" spans="1:18" x14ac:dyDescent="0.25">
      <c r="A86" s="68"/>
      <c r="B86" s="6"/>
      <c r="C86" s="6" t="s">
        <v>859</v>
      </c>
      <c r="D86" s="54">
        <f>D84-D83</f>
        <v>8.3500000000000005E-2</v>
      </c>
      <c r="E86" s="6" t="s">
        <v>18</v>
      </c>
      <c r="R86" s="1"/>
    </row>
    <row r="87" spans="1:18" x14ac:dyDescent="0.25">
      <c r="A87" s="68"/>
      <c r="B87" s="6"/>
      <c r="C87" s="6" t="s">
        <v>860</v>
      </c>
      <c r="D87" s="8">
        <f xml:space="preserve"> POWER(D86*2/D79, 0.5)</f>
        <v>373.05048809332322</v>
      </c>
      <c r="E87" s="6" t="s">
        <v>18</v>
      </c>
    </row>
    <row r="88" spans="1:18" x14ac:dyDescent="0.25">
      <c r="A88" s="68"/>
      <c r="B88" s="6" t="s">
        <v>106</v>
      </c>
      <c r="C88" s="6" t="s">
        <v>76</v>
      </c>
      <c r="D88" s="8">
        <f>D80-D87</f>
        <v>26.949511906676776</v>
      </c>
      <c r="E88" s="6" t="s">
        <v>18</v>
      </c>
    </row>
    <row r="89" spans="1:18" x14ac:dyDescent="0.25">
      <c r="A89" s="68"/>
      <c r="B89" s="6" t="s">
        <v>102</v>
      </c>
      <c r="C89" s="6" t="s">
        <v>103</v>
      </c>
      <c r="D89" s="8">
        <f>D88/POWER(2, 0.5)</f>
        <v>19.056182618878751</v>
      </c>
      <c r="E89" s="6" t="s">
        <v>18</v>
      </c>
    </row>
    <row r="90" spans="1:18" x14ac:dyDescent="0.25">
      <c r="A90" s="68"/>
      <c r="B90" s="6" t="s">
        <v>105</v>
      </c>
      <c r="C90" s="6" t="s">
        <v>104</v>
      </c>
      <c r="D90" s="54">
        <f>2 * PI() * D82* D79*POWER(D89, 2)</f>
        <v>43.807947826365279</v>
      </c>
      <c r="E90" s="6" t="s">
        <v>19</v>
      </c>
    </row>
    <row r="91" spans="1:18" x14ac:dyDescent="0.25">
      <c r="A91" s="68"/>
      <c r="C91" t="s">
        <v>77</v>
      </c>
      <c r="D91">
        <v>0.01</v>
      </c>
    </row>
    <row r="92" spans="1:18" x14ac:dyDescent="0.25">
      <c r="A92" s="68"/>
      <c r="C92" t="s">
        <v>78</v>
      </c>
      <c r="D92">
        <v>0.03</v>
      </c>
    </row>
    <row r="93" spans="1:18" x14ac:dyDescent="0.25">
      <c r="A93" s="68"/>
      <c r="C93" t="s">
        <v>79</v>
      </c>
      <c r="D93">
        <v>5.0000000000000001E-4</v>
      </c>
      <c r="G93" s="4" t="s">
        <v>30</v>
      </c>
      <c r="H93" t="s">
        <v>31</v>
      </c>
    </row>
    <row r="94" spans="1:18" x14ac:dyDescent="0.25">
      <c r="A94" s="68"/>
      <c r="C94" t="s">
        <v>80</v>
      </c>
      <c r="D94">
        <v>1E-3</v>
      </c>
      <c r="G94" s="4"/>
    </row>
    <row r="95" spans="1:18" x14ac:dyDescent="0.25">
      <c r="A95" s="68"/>
      <c r="C95" t="s">
        <v>81</v>
      </c>
      <c r="D95">
        <v>5.0000000000000001E-3</v>
      </c>
    </row>
    <row r="96" spans="1:18" x14ac:dyDescent="0.25">
      <c r="A96" s="68"/>
      <c r="C96" t="s">
        <v>82</v>
      </c>
      <c r="D96">
        <v>1.4999999999999999E-2</v>
      </c>
    </row>
    <row r="97" spans="1:6" x14ac:dyDescent="0.25">
      <c r="A97" s="68"/>
      <c r="C97" t="s">
        <v>83</v>
      </c>
      <c r="D97">
        <v>0.01</v>
      </c>
    </row>
    <row r="98" spans="1:6" x14ac:dyDescent="0.25">
      <c r="A98" s="68"/>
      <c r="C98" t="s">
        <v>96</v>
      </c>
      <c r="D98">
        <v>0.02</v>
      </c>
    </row>
    <row r="99" spans="1:6" x14ac:dyDescent="0.25">
      <c r="A99" s="68"/>
      <c r="B99" s="6"/>
      <c r="C99" s="6" t="s">
        <v>93</v>
      </c>
      <c r="D99" s="8">
        <f>D90*D92</f>
        <v>1.3142384347909584</v>
      </c>
      <c r="E99" s="6" t="s">
        <v>19</v>
      </c>
    </row>
    <row r="100" spans="1:6" x14ac:dyDescent="0.25">
      <c r="A100" s="68"/>
      <c r="B100" s="6"/>
      <c r="C100" s="6" t="s">
        <v>94</v>
      </c>
      <c r="D100" s="8">
        <f>D90*D94</f>
        <v>4.3807947826365282E-2</v>
      </c>
      <c r="E100" s="6" t="s">
        <v>19</v>
      </c>
    </row>
    <row r="101" spans="1:6" x14ac:dyDescent="0.25">
      <c r="A101" s="68"/>
      <c r="B101" s="6"/>
      <c r="C101" s="6" t="s">
        <v>95</v>
      </c>
      <c r="D101" s="8">
        <f>D90*D96</f>
        <v>0.65711921739547918</v>
      </c>
      <c r="E101" s="6" t="s">
        <v>19</v>
      </c>
    </row>
    <row r="102" spans="1:6" x14ac:dyDescent="0.25">
      <c r="A102" s="68"/>
      <c r="B102" s="6"/>
      <c r="C102" s="6" t="s">
        <v>97</v>
      </c>
      <c r="D102" s="54">
        <f>D90*D98</f>
        <v>0.87615895652730558</v>
      </c>
      <c r="E102" s="6" t="s">
        <v>19</v>
      </c>
    </row>
    <row r="103" spans="1:6" x14ac:dyDescent="0.25">
      <c r="A103" s="68"/>
      <c r="B103" s="6"/>
      <c r="C103" s="6" t="s">
        <v>98</v>
      </c>
      <c r="D103" s="8">
        <f>D99*D78*2</f>
        <v>26.284768695819167</v>
      </c>
      <c r="E103" s="6" t="s">
        <v>19</v>
      </c>
    </row>
    <row r="104" spans="1:6" x14ac:dyDescent="0.25">
      <c r="A104" s="68"/>
      <c r="B104" s="6"/>
      <c r="C104" s="6" t="s">
        <v>99</v>
      </c>
      <c r="D104" s="8">
        <f>D100*D78*2</f>
        <v>0.87615895652730558</v>
      </c>
      <c r="E104" s="6" t="s">
        <v>19</v>
      </c>
    </row>
    <row r="105" spans="1:6" x14ac:dyDescent="0.25">
      <c r="A105" s="68"/>
      <c r="B105" s="6"/>
      <c r="C105" s="6" t="s">
        <v>100</v>
      </c>
      <c r="D105" s="8">
        <f>D101*D78*2</f>
        <v>13.142384347909584</v>
      </c>
      <c r="E105" s="6" t="s">
        <v>19</v>
      </c>
    </row>
    <row r="106" spans="1:6" x14ac:dyDescent="0.25">
      <c r="A106" s="68"/>
      <c r="B106" s="6"/>
      <c r="C106" s="6" t="s">
        <v>101</v>
      </c>
      <c r="D106" s="54">
        <f>D102*D78*2</f>
        <v>17.523179130546112</v>
      </c>
      <c r="E106" s="6" t="s">
        <v>19</v>
      </c>
    </row>
    <row r="108" spans="1:6" x14ac:dyDescent="0.25">
      <c r="C108" s="46" t="s">
        <v>15</v>
      </c>
      <c r="D108" s="47">
        <f>D47+D27+D71</f>
        <v>6.9650000000000007</v>
      </c>
    </row>
    <row r="109" spans="1:6" x14ac:dyDescent="0.25">
      <c r="A109" s="66" t="s">
        <v>850</v>
      </c>
      <c r="B109" s="2"/>
      <c r="C109" s="2" t="s">
        <v>4</v>
      </c>
      <c r="D109" s="2">
        <f>D4</f>
        <v>1.2</v>
      </c>
      <c r="E109" s="2"/>
    </row>
    <row r="110" spans="1:6" ht="15" customHeight="1" x14ac:dyDescent="0.25">
      <c r="A110" s="66"/>
      <c r="B110" s="2" t="s">
        <v>700</v>
      </c>
      <c r="C110" s="2" t="s">
        <v>14</v>
      </c>
      <c r="D110" s="2">
        <f>D12</f>
        <v>400</v>
      </c>
      <c r="E110" s="2" t="s">
        <v>18</v>
      </c>
      <c r="F110" s="6"/>
    </row>
    <row r="111" spans="1:6" x14ac:dyDescent="0.25">
      <c r="A111" s="66"/>
      <c r="B111" s="2" t="s">
        <v>701</v>
      </c>
      <c r="C111" s="2" t="s">
        <v>861</v>
      </c>
      <c r="D111" s="2">
        <f>D2</f>
        <v>200</v>
      </c>
      <c r="E111" s="2" t="s">
        <v>19</v>
      </c>
      <c r="F111" s="6"/>
    </row>
    <row r="112" spans="1:6" x14ac:dyDescent="0.25">
      <c r="A112" s="66"/>
      <c r="B112" s="2" t="s">
        <v>41</v>
      </c>
      <c r="C112" s="2" t="s">
        <v>40</v>
      </c>
      <c r="D112" s="2">
        <f>D3</f>
        <v>16000</v>
      </c>
      <c r="E112" s="2" t="s">
        <v>59</v>
      </c>
      <c r="F112" s="6"/>
    </row>
    <row r="113" spans="1:18" x14ac:dyDescent="0.25">
      <c r="A113" s="66"/>
      <c r="B113" s="2" t="s">
        <v>698</v>
      </c>
      <c r="C113" s="2" t="s">
        <v>699</v>
      </c>
      <c r="D113" s="2">
        <f>D23</f>
        <v>2.5</v>
      </c>
      <c r="E113" s="2" t="s">
        <v>17</v>
      </c>
    </row>
    <row r="114" spans="1:18" x14ac:dyDescent="0.25">
      <c r="A114" s="66"/>
      <c r="B114" s="2" t="s">
        <v>34</v>
      </c>
      <c r="C114" s="2" t="s">
        <v>39</v>
      </c>
      <c r="D114" s="2">
        <f>D5</f>
        <v>35.400000000000006</v>
      </c>
      <c r="E114" s="2" t="s">
        <v>18</v>
      </c>
    </row>
    <row r="115" spans="1:18" x14ac:dyDescent="0.25">
      <c r="A115" s="66"/>
      <c r="B115" s="2" t="s">
        <v>35</v>
      </c>
      <c r="C115" s="2" t="s">
        <v>38</v>
      </c>
      <c r="D115" s="2">
        <f>D7</f>
        <v>44.1</v>
      </c>
      <c r="E115" s="2" t="s">
        <v>18</v>
      </c>
    </row>
    <row r="116" spans="1:18" x14ac:dyDescent="0.25">
      <c r="A116" s="66"/>
      <c r="B116" s="2" t="s">
        <v>53</v>
      </c>
      <c r="C116" s="2" t="s">
        <v>54</v>
      </c>
      <c r="D116" s="57">
        <f>D12</f>
        <v>400</v>
      </c>
      <c r="E116" s="2" t="s">
        <v>18</v>
      </c>
      <c r="F116" s="8"/>
    </row>
    <row r="117" spans="1:18" x14ac:dyDescent="0.25">
      <c r="A117" s="66"/>
      <c r="B117" t="s">
        <v>49</v>
      </c>
      <c r="C117" s="6" t="s">
        <v>50</v>
      </c>
      <c r="D117" s="34">
        <v>0.38</v>
      </c>
      <c r="E117" t="s">
        <v>696</v>
      </c>
      <c r="F117" s="34"/>
    </row>
    <row r="118" spans="1:18" x14ac:dyDescent="0.25">
      <c r="A118" s="66"/>
      <c r="B118" t="s">
        <v>48</v>
      </c>
      <c r="D118" s="34">
        <v>6.9999999999999999E-4</v>
      </c>
      <c r="E118" t="s">
        <v>194</v>
      </c>
      <c r="F118" s="34"/>
    </row>
    <row r="119" spans="1:18" x14ac:dyDescent="0.25">
      <c r="A119" s="66"/>
      <c r="B119" t="s">
        <v>42</v>
      </c>
      <c r="C119" t="s">
        <v>43</v>
      </c>
      <c r="D119" s="36">
        <f>Q131*10^9</f>
        <v>552.77777777777771</v>
      </c>
      <c r="E119" t="s">
        <v>697</v>
      </c>
      <c r="F119" s="36"/>
    </row>
    <row r="120" spans="1:18" x14ac:dyDescent="0.25">
      <c r="A120" s="66"/>
      <c r="C120" t="s">
        <v>33</v>
      </c>
      <c r="D120" s="34">
        <v>0.9</v>
      </c>
      <c r="F120" s="34"/>
    </row>
    <row r="121" spans="1:18" x14ac:dyDescent="0.25">
      <c r="A121" s="66"/>
      <c r="C121" s="39"/>
      <c r="D121" s="34"/>
      <c r="F121" s="34"/>
    </row>
    <row r="122" spans="1:18" x14ac:dyDescent="0.25">
      <c r="A122" s="66"/>
      <c r="B122" t="s">
        <v>334</v>
      </c>
      <c r="C122" s="39" t="s">
        <v>335</v>
      </c>
      <c r="D122" s="33">
        <f>D111/D112</f>
        <v>1.2500000000000001E-2</v>
      </c>
      <c r="E122" t="s">
        <v>22</v>
      </c>
      <c r="F122" s="33"/>
      <c r="M122" s="67" t="s">
        <v>717</v>
      </c>
      <c r="N122" s="67"/>
      <c r="O122" s="67"/>
      <c r="P122" s="67"/>
      <c r="Q122" s="67"/>
    </row>
    <row r="123" spans="1:18" x14ac:dyDescent="0.25">
      <c r="A123" s="66"/>
      <c r="B123" t="s">
        <v>848</v>
      </c>
      <c r="C123" s="39" t="s">
        <v>849</v>
      </c>
      <c r="D123" s="33">
        <f>D122/2</f>
        <v>6.2500000000000003E-3</v>
      </c>
      <c r="E123" t="s">
        <v>22</v>
      </c>
      <c r="F123" s="33"/>
      <c r="M123" s="45"/>
      <c r="N123" s="45"/>
      <c r="O123" s="45"/>
      <c r="P123" s="45"/>
      <c r="Q123" s="45"/>
    </row>
    <row r="124" spans="1:18" x14ac:dyDescent="0.25">
      <c r="A124" s="66"/>
      <c r="B124" t="s">
        <v>847</v>
      </c>
      <c r="C124" s="39"/>
      <c r="D124" s="33">
        <f>1/(4*D112)</f>
        <v>1.5625E-5</v>
      </c>
      <c r="E124" t="s">
        <v>233</v>
      </c>
      <c r="F124" s="33"/>
      <c r="M124" s="45"/>
      <c r="N124" s="45"/>
      <c r="O124" s="45"/>
      <c r="P124" s="45"/>
      <c r="Q124" s="45"/>
    </row>
    <row r="125" spans="1:18" x14ac:dyDescent="0.25">
      <c r="A125" s="66"/>
      <c r="B125" t="s">
        <v>727</v>
      </c>
      <c r="C125" s="39" t="s">
        <v>718</v>
      </c>
      <c r="D125" s="33">
        <f>POWER(D114*D124, 2)/(2*D123)</f>
        <v>2.4475781250000011E-5</v>
      </c>
      <c r="E125" t="s">
        <v>142</v>
      </c>
      <c r="F125" s="33"/>
      <c r="M125" s="41"/>
      <c r="N125" s="41"/>
      <c r="O125" s="41"/>
      <c r="P125" s="41"/>
      <c r="Q125" s="41"/>
    </row>
    <row r="126" spans="1:18" x14ac:dyDescent="0.25">
      <c r="A126" s="66"/>
      <c r="B126" t="s">
        <v>728</v>
      </c>
      <c r="C126" t="s">
        <v>851</v>
      </c>
      <c r="D126" s="48">
        <f>D125*2</f>
        <v>4.8951562500000022E-5</v>
      </c>
      <c r="E126" t="s">
        <v>142</v>
      </c>
      <c r="F126" s="48"/>
      <c r="M126" t="s">
        <v>713</v>
      </c>
      <c r="O126">
        <v>6</v>
      </c>
      <c r="P126">
        <v>6</v>
      </c>
      <c r="Q126">
        <v>6</v>
      </c>
      <c r="R126">
        <v>6</v>
      </c>
    </row>
    <row r="127" spans="1:18" x14ac:dyDescent="0.25">
      <c r="A127" s="66"/>
      <c r="B127" t="s">
        <v>37</v>
      </c>
      <c r="C127" s="39" t="s">
        <v>905</v>
      </c>
      <c r="D127" s="18">
        <f>POWER(2*D122/D126, 0.5)</f>
        <v>22.598870056497169</v>
      </c>
      <c r="E127" t="s">
        <v>17</v>
      </c>
      <c r="F127" s="18" t="s">
        <v>906</v>
      </c>
      <c r="M127" t="s">
        <v>714</v>
      </c>
      <c r="N127" t="s">
        <v>121</v>
      </c>
      <c r="O127">
        <v>0</v>
      </c>
      <c r="P127">
        <v>1</v>
      </c>
      <c r="Q127">
        <v>2</v>
      </c>
      <c r="R127">
        <v>3</v>
      </c>
    </row>
    <row r="128" spans="1:18" x14ac:dyDescent="0.25">
      <c r="A128" s="66"/>
      <c r="C128" s="39" t="s">
        <v>730</v>
      </c>
      <c r="D128" s="33">
        <f>0.5*D126*POWER(D127, 2)</f>
        <v>1.2499999999999999E-2</v>
      </c>
      <c r="E128" t="s">
        <v>22</v>
      </c>
      <c r="F128" s="33"/>
    </row>
    <row r="129" spans="1:32" x14ac:dyDescent="0.25">
      <c r="A129" s="66"/>
      <c r="C129" s="39" t="s">
        <v>731</v>
      </c>
      <c r="D129" s="33" t="b">
        <f>D128&gt;=D122</f>
        <v>1</v>
      </c>
      <c r="F129" s="33"/>
    </row>
    <row r="130" spans="1:32" x14ac:dyDescent="0.25">
      <c r="A130" s="66"/>
      <c r="B130" t="s">
        <v>55</v>
      </c>
      <c r="D130">
        <f>D127/D137</f>
        <v>2.5</v>
      </c>
      <c r="E130" t="s">
        <v>17</v>
      </c>
      <c r="M130" t="s">
        <v>715</v>
      </c>
      <c r="N130" t="s">
        <v>142</v>
      </c>
      <c r="O130" s="1">
        <v>1.8770000000000001E-4</v>
      </c>
      <c r="P130" s="1">
        <v>2.4600000000000002E-5</v>
      </c>
      <c r="Q130" s="1">
        <v>1.9899999999999999E-5</v>
      </c>
      <c r="R130" s="1">
        <v>1.7799999999999999E-5</v>
      </c>
    </row>
    <row r="131" spans="1:32" x14ac:dyDescent="0.25">
      <c r="A131" s="66"/>
      <c r="B131" t="s">
        <v>44</v>
      </c>
      <c r="C131" t="s">
        <v>45</v>
      </c>
      <c r="D131" s="18">
        <f>POWER(D126*(1000000000)/D119, 0.5)</f>
        <v>9.4103979964856617</v>
      </c>
      <c r="F131" s="18"/>
      <c r="M131" t="s">
        <v>716</v>
      </c>
      <c r="O131">
        <f>O130/POWER(O126, 2)</f>
        <v>5.2138888888888888E-6</v>
      </c>
      <c r="P131">
        <f t="shared" ref="P131:R131" si="0">P130/POWER(P126, 2)</f>
        <v>6.8333333333333339E-7</v>
      </c>
      <c r="Q131">
        <f t="shared" si="0"/>
        <v>5.5277777777777772E-7</v>
      </c>
      <c r="R131">
        <f t="shared" si="0"/>
        <v>4.9444444444444438E-7</v>
      </c>
      <c r="S131" t="e">
        <f t="shared" ref="S131" si="1">S130/POWER(S126, 2)</f>
        <v>#DIV/0!</v>
      </c>
      <c r="T131" t="e">
        <f t="shared" ref="T131" si="2">T130/POWER(T126, 2)</f>
        <v>#DIV/0!</v>
      </c>
      <c r="U131" t="e">
        <f t="shared" ref="U131" si="3">U130/POWER(U126, 2)</f>
        <v>#DIV/0!</v>
      </c>
      <c r="V131" t="e">
        <f t="shared" ref="V131" si="4">V130/POWER(V126, 2)</f>
        <v>#DIV/0!</v>
      </c>
      <c r="W131" t="e">
        <f t="shared" ref="W131" si="5">W130/POWER(W126, 2)</f>
        <v>#DIV/0!</v>
      </c>
      <c r="X131" t="e">
        <f t="shared" ref="X131" si="6">X130/POWER(X126, 2)</f>
        <v>#DIV/0!</v>
      </c>
      <c r="Y131" t="e">
        <f t="shared" ref="Y131" si="7">Y130/POWER(Y126, 2)</f>
        <v>#DIV/0!</v>
      </c>
      <c r="Z131" t="e">
        <f t="shared" ref="Z131" si="8">Z130/POWER(Z126, 2)</f>
        <v>#DIV/0!</v>
      </c>
      <c r="AA131" t="e">
        <f t="shared" ref="AA131" si="9">AA130/POWER(AA126, 2)</f>
        <v>#DIV/0!</v>
      </c>
      <c r="AB131" t="e">
        <f t="shared" ref="AB131" si="10">AB130/POWER(AB126, 2)</f>
        <v>#DIV/0!</v>
      </c>
      <c r="AC131" t="e">
        <f t="shared" ref="AC131" si="11">AC130/POWER(AC126, 2)</f>
        <v>#DIV/0!</v>
      </c>
      <c r="AD131" t="e">
        <f t="shared" ref="AD131" si="12">AD130/POWER(AD126, 2)</f>
        <v>#DIV/0!</v>
      </c>
      <c r="AE131" t="e">
        <f t="shared" ref="AE131" si="13">AE130/POWER(AE126, 2)</f>
        <v>#DIV/0!</v>
      </c>
      <c r="AF131" t="e">
        <f t="shared" ref="AF131" si="14">AF130/POWER(AF126, 2)</f>
        <v>#DIV/0!</v>
      </c>
    </row>
    <row r="132" spans="1:32" x14ac:dyDescent="0.25">
      <c r="A132" s="66"/>
      <c r="B132" t="s">
        <v>46</v>
      </c>
      <c r="C132" t="s">
        <v>47</v>
      </c>
      <c r="D132" s="18">
        <f>D126*D127/(D131*D118)</f>
        <v>0.16793733309126052</v>
      </c>
      <c r="E132" t="s">
        <v>696</v>
      </c>
      <c r="F132" s="18"/>
    </row>
    <row r="133" spans="1:32" x14ac:dyDescent="0.25">
      <c r="A133" s="66"/>
      <c r="C133" t="s">
        <v>51</v>
      </c>
      <c r="D133" s="18" t="b">
        <f>D132&gt;D117</f>
        <v>0</v>
      </c>
    </row>
    <row r="134" spans="1:32" x14ac:dyDescent="0.25">
      <c r="A134" s="66"/>
      <c r="B134" t="s">
        <v>719</v>
      </c>
      <c r="C134" t="s">
        <v>720</v>
      </c>
      <c r="D134" s="18">
        <f>D127/D113</f>
        <v>9.0395480225988685</v>
      </c>
      <c r="F134" s="18"/>
    </row>
    <row r="135" spans="1:32" x14ac:dyDescent="0.25">
      <c r="A135" s="66"/>
      <c r="B135" t="s">
        <v>722</v>
      </c>
      <c r="C135" t="s">
        <v>723</v>
      </c>
      <c r="D135" s="18">
        <f>D110/(2*D115)</f>
        <v>4.5351473922902494</v>
      </c>
      <c r="F135" s="18"/>
    </row>
    <row r="136" spans="1:32" x14ac:dyDescent="0.25">
      <c r="A136" s="66"/>
      <c r="B136" t="s">
        <v>721</v>
      </c>
      <c r="C136" t="s">
        <v>724</v>
      </c>
      <c r="D136" s="18">
        <f>D110/(2*D114)</f>
        <v>5.6497175141242932</v>
      </c>
      <c r="F136" s="18"/>
      <c r="H136" s="67" t="s">
        <v>864</v>
      </c>
      <c r="I136" s="67"/>
      <c r="J136" s="67"/>
      <c r="K136" s="67"/>
      <c r="L136" s="67"/>
      <c r="M136" s="67"/>
    </row>
    <row r="137" spans="1:32" x14ac:dyDescent="0.25">
      <c r="A137" s="66"/>
      <c r="B137" t="s">
        <v>725</v>
      </c>
      <c r="C137" t="s">
        <v>726</v>
      </c>
      <c r="D137" s="18">
        <f>D134</f>
        <v>9.0395480225988685</v>
      </c>
      <c r="F137" s="18"/>
    </row>
    <row r="138" spans="1:32" x14ac:dyDescent="0.25">
      <c r="A138" s="66"/>
      <c r="B138" t="s">
        <v>735</v>
      </c>
      <c r="C138" t="s">
        <v>336</v>
      </c>
      <c r="D138" s="18">
        <f>1/D137</f>
        <v>0.11062500000000001</v>
      </c>
      <c r="F138" s="18"/>
    </row>
    <row r="139" spans="1:32" x14ac:dyDescent="0.25">
      <c r="A139" s="66"/>
      <c r="C139" t="s">
        <v>729</v>
      </c>
      <c r="D139" s="56" t="b">
        <f>D137&gt;=D134</f>
        <v>1</v>
      </c>
      <c r="F139" s="18"/>
    </row>
    <row r="140" spans="1:32" x14ac:dyDescent="0.25">
      <c r="A140" s="66"/>
      <c r="C140" t="s">
        <v>732</v>
      </c>
      <c r="D140" s="18">
        <f>(D116/D114)/D137</f>
        <v>1.25</v>
      </c>
      <c r="F140" s="18"/>
    </row>
    <row r="141" spans="1:32" x14ac:dyDescent="0.25">
      <c r="A141" s="66"/>
      <c r="C141" t="s">
        <v>733</v>
      </c>
      <c r="D141" s="18">
        <f>(D116/D115)/D137</f>
        <v>1.0034013605442178</v>
      </c>
      <c r="F141" s="18"/>
    </row>
    <row r="142" spans="1:32" x14ac:dyDescent="0.25">
      <c r="A142" s="66"/>
      <c r="C142" t="s">
        <v>734</v>
      </c>
      <c r="D142" s="18" t="b">
        <f>OR(D140&lt;1, D141&lt;1)</f>
        <v>0</v>
      </c>
    </row>
    <row r="143" spans="1:32" x14ac:dyDescent="0.25">
      <c r="A143" s="66"/>
      <c r="D143" s="18" t="str">
        <f>IF(D142, "Demagnetisation may not complete with 0.5 duty cycle", "Demagnetisation should complete for 0.5 duty cycle")</f>
        <v>Demagnetisation should complete for 0.5 duty cycle</v>
      </c>
      <c r="F143" s="18"/>
    </row>
    <row r="144" spans="1:32" x14ac:dyDescent="0.25">
      <c r="A144" s="66"/>
      <c r="B144" t="s">
        <v>155</v>
      </c>
      <c r="C144" t="s">
        <v>156</v>
      </c>
      <c r="D144" s="18">
        <f xml:space="preserve"> D137*D131</f>
        <v>85.065744601000318</v>
      </c>
      <c r="F144" s="18"/>
    </row>
    <row r="145" spans="1:199" x14ac:dyDescent="0.25">
      <c r="A145" s="64"/>
      <c r="D145" s="18"/>
      <c r="F145" s="18"/>
    </row>
    <row r="146" spans="1:199" x14ac:dyDescent="0.25">
      <c r="A146" s="66" t="s">
        <v>895</v>
      </c>
      <c r="B146" t="s">
        <v>887</v>
      </c>
      <c r="D146" s="34">
        <f>0.000005</f>
        <v>5.0000000000000004E-6</v>
      </c>
      <c r="E146" t="s">
        <v>142</v>
      </c>
      <c r="F146" s="18"/>
    </row>
    <row r="147" spans="1:199" x14ac:dyDescent="0.25">
      <c r="A147" s="66"/>
      <c r="C147" t="s">
        <v>863</v>
      </c>
      <c r="D147" s="33">
        <f>D146/D126</f>
        <v>0.1021417855660889</v>
      </c>
      <c r="F147" s="18"/>
    </row>
    <row r="148" spans="1:199" x14ac:dyDescent="0.25">
      <c r="A148" s="66"/>
      <c r="B148" t="s">
        <v>884</v>
      </c>
      <c r="C148" t="s">
        <v>881</v>
      </c>
      <c r="D148" s="33">
        <f>D126-D146</f>
        <v>4.3951562500000022E-5</v>
      </c>
      <c r="F148" s="18"/>
    </row>
    <row r="149" spans="1:199" x14ac:dyDescent="0.25">
      <c r="A149" s="66"/>
      <c r="B149" t="s">
        <v>885</v>
      </c>
      <c r="C149" t="s">
        <v>886</v>
      </c>
      <c r="D149" s="34">
        <v>0.1</v>
      </c>
      <c r="F149" s="18"/>
    </row>
    <row r="150" spans="1:199" x14ac:dyDescent="0.25">
      <c r="A150" s="66"/>
      <c r="B150" t="s">
        <v>888</v>
      </c>
      <c r="C150" t="s">
        <v>889</v>
      </c>
      <c r="D150" s="34">
        <v>3.5</v>
      </c>
      <c r="F150" s="18"/>
    </row>
    <row r="151" spans="1:199" x14ac:dyDescent="0.25">
      <c r="A151" s="66"/>
      <c r="B151" t="s">
        <v>705</v>
      </c>
      <c r="C151" t="s">
        <v>890</v>
      </c>
      <c r="D151" s="34">
        <v>10</v>
      </c>
      <c r="F151" s="18"/>
    </row>
    <row r="152" spans="1:199" x14ac:dyDescent="0.25">
      <c r="A152" s="66"/>
      <c r="B152" t="s">
        <v>891</v>
      </c>
      <c r="C152" t="s">
        <v>892</v>
      </c>
      <c r="D152" s="34">
        <v>85</v>
      </c>
      <c r="F152" s="18"/>
    </row>
    <row r="153" spans="1:199" x14ac:dyDescent="0.25">
      <c r="A153" s="66"/>
      <c r="B153" t="s">
        <v>893</v>
      </c>
      <c r="C153" t="s">
        <v>894</v>
      </c>
      <c r="D153" s="18">
        <f>D152/D151</f>
        <v>8.5</v>
      </c>
      <c r="F153" s="18"/>
    </row>
    <row r="154" spans="1:199" x14ac:dyDescent="0.25">
      <c r="A154" s="32"/>
      <c r="D154" s="18"/>
    </row>
    <row r="155" spans="1:199" x14ac:dyDescent="0.25">
      <c r="A155" s="66" t="s">
        <v>711</v>
      </c>
      <c r="B155" s="2" t="s">
        <v>55</v>
      </c>
      <c r="C155" s="2"/>
      <c r="D155" s="57">
        <f>D130</f>
        <v>2.5</v>
      </c>
    </row>
    <row r="156" spans="1:199" x14ac:dyDescent="0.25">
      <c r="A156" s="66"/>
      <c r="B156" s="2" t="s">
        <v>155</v>
      </c>
      <c r="C156" s="2" t="s">
        <v>156</v>
      </c>
      <c r="D156" s="57">
        <f>D144</f>
        <v>85.065744601000318</v>
      </c>
    </row>
    <row r="157" spans="1:199" x14ac:dyDescent="0.25">
      <c r="A157" s="66"/>
      <c r="B157" t="s">
        <v>707</v>
      </c>
      <c r="C157" t="s">
        <v>157</v>
      </c>
      <c r="D157" s="34">
        <v>1</v>
      </c>
    </row>
    <row r="158" spans="1:199" x14ac:dyDescent="0.25">
      <c r="A158" s="66"/>
      <c r="B158" t="s">
        <v>708</v>
      </c>
      <c r="C158" t="s">
        <v>205</v>
      </c>
      <c r="D158" s="18">
        <f>D156/D157</f>
        <v>85.065744601000318</v>
      </c>
    </row>
    <row r="159" spans="1:199" x14ac:dyDescent="0.25">
      <c r="A159" s="66"/>
      <c r="C159" t="s">
        <v>168</v>
      </c>
      <c r="D159" s="34">
        <v>33</v>
      </c>
      <c r="E159" t="s">
        <v>121</v>
      </c>
      <c r="Q159" s="1">
        <f>K222+$D221</f>
        <v>9.3750000000000002E-7</v>
      </c>
      <c r="R159" s="1">
        <f>Q159+$D221</f>
        <v>1.0937500000000001E-6</v>
      </c>
      <c r="S159" s="1">
        <f>R159+$D221</f>
        <v>1.2500000000000001E-6</v>
      </c>
      <c r="T159" s="1">
        <f>S159+$D221</f>
        <v>1.4062500000000001E-6</v>
      </c>
      <c r="U159" s="1">
        <f>T159+$D221</f>
        <v>1.5625000000000001E-6</v>
      </c>
      <c r="V159" s="1">
        <f>U159+$D221</f>
        <v>1.7187500000000001E-6</v>
      </c>
      <c r="W159" s="1">
        <f>V159+$D221</f>
        <v>1.875E-6</v>
      </c>
      <c r="X159" s="1">
        <f>W159+$D221</f>
        <v>2.0312500000000002E-6</v>
      </c>
      <c r="Y159" s="1">
        <f>X159+$D221</f>
        <v>2.1875000000000002E-6</v>
      </c>
      <c r="Z159" s="1">
        <f>Y159+$D221</f>
        <v>2.3437500000000002E-6</v>
      </c>
      <c r="AA159" s="1">
        <f>Z159+$D221</f>
        <v>2.5000000000000002E-6</v>
      </c>
      <c r="AB159" s="1">
        <f>AA159+$D221</f>
        <v>2.6562500000000002E-6</v>
      </c>
      <c r="AC159" s="1">
        <f>AB159+$D221</f>
        <v>2.8125000000000002E-6</v>
      </c>
      <c r="AD159" s="1">
        <f>AC159+$D221</f>
        <v>2.9687500000000002E-6</v>
      </c>
      <c r="AE159" s="1">
        <f>AD159+$D221</f>
        <v>3.1250000000000001E-6</v>
      </c>
      <c r="AF159" s="1">
        <f>AE159+$D221</f>
        <v>3.2812500000000001E-6</v>
      </c>
      <c r="AG159" s="1">
        <f>AF159+$D221</f>
        <v>3.4375000000000001E-6</v>
      </c>
      <c r="AH159" s="1">
        <f>AG159+$D221</f>
        <v>3.5937500000000001E-6</v>
      </c>
      <c r="AI159" s="1">
        <f>AH159+$D221</f>
        <v>3.7500000000000001E-6</v>
      </c>
      <c r="AJ159" s="1">
        <f>AI159+$D221</f>
        <v>3.9062500000000001E-6</v>
      </c>
      <c r="AK159" s="1">
        <f>AJ159+$D221</f>
        <v>4.0625000000000005E-6</v>
      </c>
      <c r="AL159" s="1">
        <f>AK159+$D221</f>
        <v>4.2187500000000009E-6</v>
      </c>
      <c r="AM159" s="1">
        <f>AL159+$D221</f>
        <v>4.3750000000000013E-6</v>
      </c>
      <c r="AN159" s="1">
        <f>AM159+$D221</f>
        <v>4.5312500000000017E-6</v>
      </c>
      <c r="AO159" s="1">
        <f>AN159+$D221</f>
        <v>4.6875000000000021E-6</v>
      </c>
      <c r="AP159" s="1">
        <f>AO159+$D221</f>
        <v>4.8437500000000025E-6</v>
      </c>
      <c r="AQ159" s="1">
        <f>AP159+$D221</f>
        <v>5.000000000000003E-6</v>
      </c>
      <c r="AR159" s="1">
        <f>AQ159+$D221</f>
        <v>5.1562500000000034E-6</v>
      </c>
      <c r="AS159" s="1">
        <f>AR159+$D221</f>
        <v>5.3125000000000038E-6</v>
      </c>
      <c r="AT159" s="1">
        <f>AS159+$D221</f>
        <v>5.4687500000000042E-6</v>
      </c>
      <c r="AU159" s="1">
        <f>AT159+$D221</f>
        <v>5.6250000000000046E-6</v>
      </c>
      <c r="AV159" s="1">
        <f>AU159+$D221</f>
        <v>5.781250000000005E-6</v>
      </c>
      <c r="AW159" s="1">
        <f>AV159+$D221</f>
        <v>5.9375000000000054E-6</v>
      </c>
      <c r="AX159" s="1">
        <f>AW159+$D221</f>
        <v>6.0937500000000058E-6</v>
      </c>
      <c r="AY159" s="1">
        <f>AX159+$D221</f>
        <v>6.2500000000000062E-6</v>
      </c>
      <c r="AZ159" s="1">
        <f>AY159+$D221</f>
        <v>6.4062500000000066E-6</v>
      </c>
      <c r="BA159" s="1">
        <f>AZ159+$D221</f>
        <v>6.562500000000007E-6</v>
      </c>
      <c r="BB159" s="1">
        <f>BA159+$D221</f>
        <v>6.7187500000000075E-6</v>
      </c>
      <c r="BC159" s="1">
        <f>BB159+$D221</f>
        <v>6.8750000000000079E-6</v>
      </c>
      <c r="BD159" s="1">
        <f>BC159+$D221</f>
        <v>7.0312500000000083E-6</v>
      </c>
      <c r="BE159" s="1">
        <f>BD159+$D221</f>
        <v>7.1875000000000087E-6</v>
      </c>
      <c r="BF159" s="1">
        <f>BE159+$D221</f>
        <v>7.3437500000000091E-6</v>
      </c>
      <c r="BG159" s="1">
        <f>BF159+$D221</f>
        <v>7.5000000000000095E-6</v>
      </c>
      <c r="BH159" s="1">
        <f>BG159+$D221</f>
        <v>7.6562500000000099E-6</v>
      </c>
      <c r="BI159" s="1">
        <f>BH159+$D221</f>
        <v>7.8125000000000103E-6</v>
      </c>
      <c r="BJ159" s="1">
        <f>BI159+$D221</f>
        <v>7.9687500000000107E-6</v>
      </c>
      <c r="BK159" s="1">
        <f>BJ159+$D221</f>
        <v>8.1250000000000111E-6</v>
      </c>
      <c r="BL159" s="1">
        <f>BK159+$D221</f>
        <v>8.2812500000000116E-6</v>
      </c>
      <c r="BM159" s="1">
        <f>BL159+$D221</f>
        <v>8.437500000000012E-6</v>
      </c>
      <c r="BN159" s="1">
        <f>BM159+$D221</f>
        <v>8.5937500000000124E-6</v>
      </c>
      <c r="BO159" s="1">
        <f>BN159+$D221</f>
        <v>8.7500000000000128E-6</v>
      </c>
      <c r="BP159" s="1">
        <f>BO159+$D221</f>
        <v>8.9062500000000132E-6</v>
      </c>
      <c r="BQ159" s="1">
        <f>BP159+$D221</f>
        <v>9.0625000000000136E-6</v>
      </c>
      <c r="BR159" s="1">
        <f>BQ159+$D221</f>
        <v>9.218750000000014E-6</v>
      </c>
      <c r="BS159" s="1">
        <f>BR159+$D221</f>
        <v>9.3750000000000144E-6</v>
      </c>
      <c r="BT159" s="1">
        <f>BS159+$D221</f>
        <v>9.5312500000000148E-6</v>
      </c>
      <c r="BU159" s="1">
        <f>BT159+$D221</f>
        <v>9.6875000000000152E-6</v>
      </c>
      <c r="BV159" s="1">
        <f>BU159+$D221</f>
        <v>9.8437500000000157E-6</v>
      </c>
      <c r="BW159" s="1">
        <f>BV159+$D221</f>
        <v>1.0000000000000016E-5</v>
      </c>
      <c r="BX159" s="1">
        <f>BW159+$D221</f>
        <v>1.0156250000000016E-5</v>
      </c>
      <c r="BY159" s="1">
        <f>BX159+$D221</f>
        <v>1.0312500000000017E-5</v>
      </c>
      <c r="BZ159" s="1">
        <f>BY159+$D221</f>
        <v>1.0468750000000017E-5</v>
      </c>
      <c r="CA159" s="1">
        <f>BZ159+$D221</f>
        <v>1.0625000000000018E-5</v>
      </c>
      <c r="CB159" s="1">
        <f>CA159+$D221</f>
        <v>1.0781250000000018E-5</v>
      </c>
      <c r="CC159" s="1">
        <f>CB159+$D221</f>
        <v>1.0937500000000019E-5</v>
      </c>
      <c r="CD159" s="1">
        <f>CC159+$D221</f>
        <v>1.1093750000000019E-5</v>
      </c>
      <c r="CE159" s="1">
        <f>CD159+$D221</f>
        <v>1.1250000000000019E-5</v>
      </c>
      <c r="CF159" s="1">
        <f>CE159+$D221</f>
        <v>1.140625000000002E-5</v>
      </c>
      <c r="CG159" s="1">
        <f>CF159+$D221</f>
        <v>1.156250000000002E-5</v>
      </c>
      <c r="CH159" s="1">
        <f>CG159+$D221</f>
        <v>1.1718750000000021E-5</v>
      </c>
      <c r="CI159" s="1">
        <f>CH159+$D221</f>
        <v>1.1875000000000021E-5</v>
      </c>
      <c r="CJ159" s="1">
        <f>CI159+$D221</f>
        <v>1.2031250000000021E-5</v>
      </c>
      <c r="CK159" s="1">
        <f>CJ159+$D221</f>
        <v>1.2187500000000022E-5</v>
      </c>
      <c r="CL159" s="1">
        <f>CK159+$D221</f>
        <v>1.2343750000000022E-5</v>
      </c>
      <c r="CM159" s="1">
        <f>CL159+$D221</f>
        <v>1.2500000000000023E-5</v>
      </c>
      <c r="CN159" s="1">
        <f>CM159+$D221</f>
        <v>1.2656250000000023E-5</v>
      </c>
      <c r="CO159" s="1">
        <f>CN159+$D221</f>
        <v>1.2812500000000023E-5</v>
      </c>
      <c r="CP159" s="1">
        <f>CO159+$D221</f>
        <v>1.2968750000000024E-5</v>
      </c>
      <c r="CQ159" s="1">
        <f>CP159+$D221</f>
        <v>1.3125000000000024E-5</v>
      </c>
      <c r="CR159" s="1">
        <f>CQ159+$D221</f>
        <v>1.3281250000000025E-5</v>
      </c>
      <c r="CS159" s="1">
        <f>CR159+$D221</f>
        <v>1.3437500000000025E-5</v>
      </c>
      <c r="CT159" s="1">
        <f>CS159+$D221</f>
        <v>1.3593750000000025E-5</v>
      </c>
      <c r="CU159" s="1">
        <f>CT159+$D221</f>
        <v>1.3750000000000026E-5</v>
      </c>
      <c r="CV159" s="1">
        <f>CU159+$D221</f>
        <v>1.3906250000000026E-5</v>
      </c>
      <c r="CW159" s="1">
        <f>CV159+$D221</f>
        <v>1.4062500000000027E-5</v>
      </c>
      <c r="CX159" s="1">
        <f>CW159+$D221</f>
        <v>1.4218750000000027E-5</v>
      </c>
      <c r="CY159" s="1">
        <f>CX159+$D221</f>
        <v>1.4375000000000028E-5</v>
      </c>
      <c r="CZ159" s="1">
        <f>CY159+$D221</f>
        <v>1.4531250000000028E-5</v>
      </c>
      <c r="DA159" s="1">
        <f>CZ159+$D221</f>
        <v>1.4687500000000028E-5</v>
      </c>
      <c r="DB159" s="1">
        <f>DA159+$D221</f>
        <v>1.4843750000000029E-5</v>
      </c>
      <c r="DC159" s="1">
        <f>DB159+$D221</f>
        <v>1.5000000000000029E-5</v>
      </c>
      <c r="DD159" s="1">
        <f>DC159+$D221</f>
        <v>1.515625000000003E-5</v>
      </c>
      <c r="DE159" s="1">
        <f>DD159+$D221</f>
        <v>1.531250000000003E-5</v>
      </c>
      <c r="DF159" s="1">
        <f>DE159+$D221</f>
        <v>1.546875000000003E-5</v>
      </c>
      <c r="DG159" s="1">
        <f>DF159+$D221</f>
        <v>1.5625000000000031E-5</v>
      </c>
      <c r="DH159" s="1">
        <f>DG159+$D221</f>
        <v>1.5781250000000031E-5</v>
      </c>
      <c r="DI159" s="1">
        <f>DH159+$D221</f>
        <v>1.5937500000000032E-5</v>
      </c>
      <c r="DJ159" s="1">
        <f>DI159+$D221</f>
        <v>1.6093750000000032E-5</v>
      </c>
      <c r="DK159" s="1">
        <f>DJ159+$D221</f>
        <v>1.6250000000000032E-5</v>
      </c>
      <c r="DL159" s="1">
        <f>DK159+$D221</f>
        <v>1.6406250000000033E-5</v>
      </c>
      <c r="DM159" s="1">
        <f>DL159+$D221</f>
        <v>1.6562500000000033E-5</v>
      </c>
      <c r="DN159" s="1">
        <f>DM159+$D221</f>
        <v>1.6718750000000034E-5</v>
      </c>
      <c r="DO159" s="1">
        <f>DN159+$D221</f>
        <v>1.6875000000000034E-5</v>
      </c>
      <c r="DP159" s="1">
        <f>DO159+$D221</f>
        <v>1.7031250000000035E-5</v>
      </c>
      <c r="DQ159" s="1">
        <f>DP159+$D221</f>
        <v>1.7187500000000035E-5</v>
      </c>
      <c r="DR159" s="1">
        <f>DQ159+$D221</f>
        <v>1.7343750000000035E-5</v>
      </c>
      <c r="DS159" s="1">
        <f>DR159+$D221</f>
        <v>1.7500000000000036E-5</v>
      </c>
      <c r="DT159" s="1">
        <f>DS159+$D221</f>
        <v>1.7656250000000036E-5</v>
      </c>
      <c r="DU159" s="1">
        <f>DT159+$D221</f>
        <v>1.7812500000000037E-5</v>
      </c>
      <c r="DV159" s="1">
        <f>DU159+$D221</f>
        <v>1.7968750000000037E-5</v>
      </c>
      <c r="DW159" s="1">
        <f>DV159+$D221</f>
        <v>1.8125000000000037E-5</v>
      </c>
      <c r="DX159" s="1">
        <f>DW159+$D221</f>
        <v>1.8281250000000038E-5</v>
      </c>
      <c r="DY159" s="1">
        <f>DX159+$D221</f>
        <v>1.8437500000000038E-5</v>
      </c>
      <c r="DZ159" s="1">
        <f>DY159+$D221</f>
        <v>1.8593750000000039E-5</v>
      </c>
      <c r="EA159" s="1">
        <f>DZ159+$D221</f>
        <v>1.8750000000000039E-5</v>
      </c>
      <c r="EB159" s="1">
        <f>EA159+$D221</f>
        <v>1.8906250000000039E-5</v>
      </c>
      <c r="EC159" s="1">
        <f>EB159+$D221</f>
        <v>1.906250000000004E-5</v>
      </c>
      <c r="ED159" s="1">
        <f>EC159+$D221</f>
        <v>1.921875000000004E-5</v>
      </c>
      <c r="EE159" s="1">
        <f>ED159+$D221</f>
        <v>1.9375000000000041E-5</v>
      </c>
      <c r="EF159" s="1">
        <f>EE159+$D221</f>
        <v>1.9531250000000041E-5</v>
      </c>
      <c r="EG159" s="1">
        <f>EF159+$D221</f>
        <v>1.9687500000000041E-5</v>
      </c>
      <c r="EH159" s="1">
        <f>EG159+$D221</f>
        <v>1.9843750000000042E-5</v>
      </c>
      <c r="EI159" s="1">
        <f>EH159+$D221</f>
        <v>2.0000000000000042E-5</v>
      </c>
      <c r="EJ159" s="1">
        <f>EI159+$D221</f>
        <v>2.0156250000000043E-5</v>
      </c>
      <c r="EK159" s="1">
        <f>EJ159+$D221</f>
        <v>2.0312500000000043E-5</v>
      </c>
      <c r="EL159" s="1">
        <f>EK159+$D221</f>
        <v>2.0468750000000044E-5</v>
      </c>
      <c r="EM159" s="1">
        <f>EL159+$D221</f>
        <v>2.0625000000000044E-5</v>
      </c>
      <c r="EN159" s="1">
        <f>EM159+$D221</f>
        <v>2.0781250000000044E-5</v>
      </c>
      <c r="EO159" s="1">
        <f>EN159+$D221</f>
        <v>2.0937500000000045E-5</v>
      </c>
      <c r="EP159" s="1">
        <f>EO159+$D221</f>
        <v>2.1093750000000045E-5</v>
      </c>
      <c r="EQ159" s="1">
        <f>EP159+$D221</f>
        <v>2.1250000000000046E-5</v>
      </c>
      <c r="ER159" s="1">
        <f>EQ159+$D221</f>
        <v>2.1406250000000046E-5</v>
      </c>
      <c r="ES159" s="1">
        <f>ER159+$D221</f>
        <v>2.1562500000000046E-5</v>
      </c>
      <c r="ET159" s="1">
        <f>ES159+$D221</f>
        <v>2.1718750000000047E-5</v>
      </c>
      <c r="EU159" s="1">
        <f>ET159+$D221</f>
        <v>2.1875000000000047E-5</v>
      </c>
      <c r="EV159" s="1">
        <f>EU159+$D221</f>
        <v>2.2031250000000048E-5</v>
      </c>
      <c r="EW159" s="1">
        <f>EV159+$D221</f>
        <v>2.2187500000000048E-5</v>
      </c>
      <c r="EX159" s="1">
        <f>EW159+$D221</f>
        <v>2.2343750000000048E-5</v>
      </c>
      <c r="EY159" s="1">
        <f>EX159+$D221</f>
        <v>2.2500000000000049E-5</v>
      </c>
      <c r="EZ159" s="1">
        <f>EY159+$D221</f>
        <v>2.2656250000000049E-5</v>
      </c>
      <c r="FA159" s="1">
        <f>EZ159+$D221</f>
        <v>2.281250000000005E-5</v>
      </c>
      <c r="FB159" s="1">
        <f>FA159+$D221</f>
        <v>2.296875000000005E-5</v>
      </c>
      <c r="FC159" s="1">
        <f>FB159+$D221</f>
        <v>2.312500000000005E-5</v>
      </c>
      <c r="FD159" s="1">
        <f>FC159+$D221</f>
        <v>2.3281250000000051E-5</v>
      </c>
      <c r="FE159" s="1">
        <f>FD159+$D221</f>
        <v>2.3437500000000051E-5</v>
      </c>
      <c r="FF159" s="1">
        <f>FE159+$D221</f>
        <v>2.3593750000000052E-5</v>
      </c>
      <c r="FG159" s="1">
        <f>FF159+$D221</f>
        <v>2.3750000000000052E-5</v>
      </c>
      <c r="FH159" s="1">
        <f>FG159+$D221</f>
        <v>2.3906250000000053E-5</v>
      </c>
      <c r="FI159" s="1">
        <f>FH159+$D221</f>
        <v>2.4062500000000053E-5</v>
      </c>
      <c r="FJ159" s="1">
        <f>FI159+$D221</f>
        <v>2.4218750000000053E-5</v>
      </c>
      <c r="FK159" s="1">
        <f>FJ159+$D221</f>
        <v>2.4375000000000054E-5</v>
      </c>
      <c r="FL159" s="1">
        <f>FK159+$D221</f>
        <v>2.4531250000000054E-5</v>
      </c>
      <c r="FM159" s="1">
        <f>FL159+$D221</f>
        <v>2.4687500000000055E-5</v>
      </c>
      <c r="FN159" s="1">
        <f>FM159+$D221</f>
        <v>2.4843750000000055E-5</v>
      </c>
      <c r="FO159" s="1">
        <f>FN159+$D221</f>
        <v>2.5000000000000055E-5</v>
      </c>
      <c r="FP159" s="1">
        <f>FO159+$D221</f>
        <v>2.5156250000000056E-5</v>
      </c>
      <c r="FQ159" s="1">
        <f>FP159+$D221</f>
        <v>2.5312500000000056E-5</v>
      </c>
      <c r="FR159" s="1">
        <f>FQ159+$D221</f>
        <v>2.5468750000000057E-5</v>
      </c>
      <c r="FS159" s="1">
        <f>FR159+$D221</f>
        <v>2.5625000000000057E-5</v>
      </c>
      <c r="FT159" s="1">
        <f>FS159+$D221</f>
        <v>2.5781250000000057E-5</v>
      </c>
      <c r="FU159" s="1">
        <f>FT159+$D221</f>
        <v>2.5937500000000058E-5</v>
      </c>
      <c r="FV159" s="1">
        <f>FU159+$D221</f>
        <v>2.6093750000000058E-5</v>
      </c>
      <c r="FW159" s="1">
        <f>FV159+$D221</f>
        <v>2.6250000000000059E-5</v>
      </c>
      <c r="FX159" s="1">
        <f>FW159+$D221</f>
        <v>2.6406250000000059E-5</v>
      </c>
      <c r="FY159" s="1">
        <f>FX159+$D221</f>
        <v>2.656250000000006E-5</v>
      </c>
      <c r="FZ159" s="1">
        <f>FY159+$D221</f>
        <v>2.671875000000006E-5</v>
      </c>
      <c r="GA159" s="1">
        <f>FZ159+$D221</f>
        <v>2.687500000000006E-5</v>
      </c>
      <c r="GB159" s="1">
        <f>GA159+$D221</f>
        <v>2.7031250000000061E-5</v>
      </c>
      <c r="GC159" s="1">
        <f>GB159+$D221</f>
        <v>2.7187500000000061E-5</v>
      </c>
      <c r="GD159" s="1">
        <f>GC159+$D221</f>
        <v>2.7343750000000062E-5</v>
      </c>
      <c r="GE159" s="1">
        <f>GD159+$D221</f>
        <v>2.7500000000000062E-5</v>
      </c>
      <c r="GF159" s="1">
        <f>GE159+$D221</f>
        <v>2.7656250000000062E-5</v>
      </c>
      <c r="GG159" s="1">
        <f>GF159+$D221</f>
        <v>2.7812500000000063E-5</v>
      </c>
      <c r="GH159" s="1">
        <f>GG159+$D221</f>
        <v>2.7968750000000063E-5</v>
      </c>
      <c r="GI159" s="1">
        <f>GH159+$D221</f>
        <v>2.8125000000000064E-5</v>
      </c>
      <c r="GJ159" s="1">
        <f>GI159+$D221</f>
        <v>2.8281250000000064E-5</v>
      </c>
      <c r="GK159" s="1">
        <f>GJ159+$D221</f>
        <v>2.8437500000000064E-5</v>
      </c>
      <c r="GL159" s="1">
        <f>GK159+$D221</f>
        <v>2.8593750000000065E-5</v>
      </c>
      <c r="GM159" s="1">
        <f>GL159+$D221</f>
        <v>2.8750000000000065E-5</v>
      </c>
      <c r="GN159" s="1">
        <f>GM159+$D221</f>
        <v>2.8906250000000066E-5</v>
      </c>
      <c r="GO159" s="1">
        <f>GN159+$D221</f>
        <v>2.9062500000000066E-5</v>
      </c>
      <c r="GP159" s="1">
        <f>GO159+$D221</f>
        <v>2.9218750000000066E-5</v>
      </c>
      <c r="GQ159" s="1">
        <f>GP159+$D221</f>
        <v>2.9375000000000067E-5</v>
      </c>
    </row>
    <row r="160" spans="1:199" x14ac:dyDescent="0.25">
      <c r="A160" s="66"/>
      <c r="C160" t="s">
        <v>166</v>
      </c>
      <c r="D160" s="34">
        <v>74</v>
      </c>
      <c r="E160" t="s">
        <v>121</v>
      </c>
      <c r="Q160">
        <f>$F223</f>
        <v>44.1</v>
      </c>
      <c r="R160">
        <f>$F223</f>
        <v>44.1</v>
      </c>
      <c r="S160">
        <f>$F223</f>
        <v>44.1</v>
      </c>
      <c r="T160">
        <f>$F223</f>
        <v>44.1</v>
      </c>
      <c r="U160">
        <f>$F223</f>
        <v>44.1</v>
      </c>
      <c r="V160">
        <f>$F223</f>
        <v>44.1</v>
      </c>
      <c r="W160">
        <f>$F223</f>
        <v>44.1</v>
      </c>
      <c r="X160">
        <f>$F223</f>
        <v>44.1</v>
      </c>
      <c r="Y160">
        <f>$F223</f>
        <v>44.1</v>
      </c>
      <c r="Z160">
        <f>$F223</f>
        <v>44.1</v>
      </c>
      <c r="AA160">
        <f>$F223</f>
        <v>44.1</v>
      </c>
      <c r="AB160">
        <f>$F223</f>
        <v>44.1</v>
      </c>
      <c r="AC160">
        <f>$F223</f>
        <v>44.1</v>
      </c>
      <c r="AD160">
        <f>$F223</f>
        <v>44.1</v>
      </c>
      <c r="AE160">
        <f>$F223</f>
        <v>44.1</v>
      </c>
      <c r="AF160">
        <f>$F223</f>
        <v>44.1</v>
      </c>
      <c r="AG160">
        <f>$F223</f>
        <v>44.1</v>
      </c>
      <c r="AH160">
        <f>$F223</f>
        <v>44.1</v>
      </c>
      <c r="AI160">
        <f>$F223</f>
        <v>44.1</v>
      </c>
      <c r="AJ160">
        <f>$F223</f>
        <v>44.1</v>
      </c>
      <c r="AK160">
        <f>$F223</f>
        <v>44.1</v>
      </c>
      <c r="AL160">
        <f>$F223</f>
        <v>44.1</v>
      </c>
      <c r="AM160">
        <f>$F223</f>
        <v>44.1</v>
      </c>
      <c r="AN160">
        <f>$F223</f>
        <v>44.1</v>
      </c>
      <c r="AO160">
        <f>$F223</f>
        <v>44.1</v>
      </c>
      <c r="AP160">
        <f>$F223</f>
        <v>44.1</v>
      </c>
      <c r="AQ160">
        <f>$F223</f>
        <v>44.1</v>
      </c>
      <c r="AR160">
        <f>$F223</f>
        <v>44.1</v>
      </c>
      <c r="AS160">
        <f>$F223</f>
        <v>44.1</v>
      </c>
      <c r="AT160">
        <f>$F223</f>
        <v>44.1</v>
      </c>
      <c r="AU160">
        <f>$F223</f>
        <v>44.1</v>
      </c>
      <c r="AV160">
        <f>$F223</f>
        <v>44.1</v>
      </c>
      <c r="AW160">
        <f>$F223</f>
        <v>44.1</v>
      </c>
      <c r="AX160">
        <f>$F223</f>
        <v>44.1</v>
      </c>
      <c r="AY160">
        <f>$F223</f>
        <v>44.1</v>
      </c>
      <c r="AZ160">
        <f>$F223</f>
        <v>44.1</v>
      </c>
      <c r="BA160">
        <f>$F223</f>
        <v>44.1</v>
      </c>
      <c r="BB160">
        <f>$F223</f>
        <v>44.1</v>
      </c>
      <c r="BC160">
        <f>$F223</f>
        <v>44.1</v>
      </c>
      <c r="BD160">
        <f>$F223</f>
        <v>44.1</v>
      </c>
      <c r="BE160">
        <f>$F223</f>
        <v>44.1</v>
      </c>
      <c r="BF160">
        <f>$F223</f>
        <v>44.1</v>
      </c>
      <c r="BG160">
        <f>$F223</f>
        <v>44.1</v>
      </c>
      <c r="BH160">
        <f>$F223</f>
        <v>44.1</v>
      </c>
      <c r="BI160">
        <f>$F223</f>
        <v>44.1</v>
      </c>
      <c r="BJ160">
        <f>$F223</f>
        <v>44.1</v>
      </c>
      <c r="BK160">
        <f>$F223</f>
        <v>44.1</v>
      </c>
      <c r="BL160">
        <f>$F223</f>
        <v>44.1</v>
      </c>
      <c r="BM160">
        <f>$F223</f>
        <v>44.1</v>
      </c>
      <c r="BN160">
        <f>$F223</f>
        <v>44.1</v>
      </c>
      <c r="BO160">
        <f>$F223</f>
        <v>44.1</v>
      </c>
      <c r="BP160">
        <f>$F223</f>
        <v>44.1</v>
      </c>
      <c r="BQ160">
        <f>$F223</f>
        <v>44.1</v>
      </c>
      <c r="BR160">
        <f>$F223</f>
        <v>44.1</v>
      </c>
      <c r="BS160">
        <f>$F223</f>
        <v>44.1</v>
      </c>
      <c r="BT160">
        <f>$F223</f>
        <v>44.1</v>
      </c>
      <c r="BU160">
        <f>$F223</f>
        <v>44.1</v>
      </c>
      <c r="BV160">
        <f>$F223</f>
        <v>44.1</v>
      </c>
      <c r="BW160">
        <f>$F223</f>
        <v>44.1</v>
      </c>
      <c r="BX160">
        <f>$F223</f>
        <v>44.1</v>
      </c>
      <c r="BY160">
        <f>$F223</f>
        <v>44.1</v>
      </c>
      <c r="BZ160">
        <f>$F223</f>
        <v>44.1</v>
      </c>
      <c r="CA160">
        <f>$F223</f>
        <v>44.1</v>
      </c>
      <c r="CB160">
        <f>$F223</f>
        <v>44.1</v>
      </c>
      <c r="CC160">
        <f>$F223</f>
        <v>44.1</v>
      </c>
      <c r="CD160">
        <f>$F223</f>
        <v>44.1</v>
      </c>
      <c r="CE160">
        <f>$F223</f>
        <v>44.1</v>
      </c>
      <c r="CF160">
        <f>$F223</f>
        <v>44.1</v>
      </c>
      <c r="CG160">
        <f>$F223</f>
        <v>44.1</v>
      </c>
      <c r="CH160">
        <f>$F223</f>
        <v>44.1</v>
      </c>
      <c r="CI160">
        <f>$F223</f>
        <v>44.1</v>
      </c>
      <c r="CJ160">
        <f>$F223</f>
        <v>44.1</v>
      </c>
      <c r="CK160">
        <f>$F223</f>
        <v>44.1</v>
      </c>
      <c r="CL160">
        <f>$F223</f>
        <v>44.1</v>
      </c>
      <c r="CM160">
        <f>$F223</f>
        <v>44.1</v>
      </c>
      <c r="CN160">
        <f>$F223</f>
        <v>44.1</v>
      </c>
      <c r="CO160">
        <f>$F223</f>
        <v>44.1</v>
      </c>
      <c r="CP160">
        <f>$F223</f>
        <v>44.1</v>
      </c>
      <c r="CQ160">
        <f>$F223</f>
        <v>44.1</v>
      </c>
      <c r="CR160">
        <f>$F223</f>
        <v>44.1</v>
      </c>
      <c r="CS160">
        <f>$F223</f>
        <v>44.1</v>
      </c>
      <c r="CT160">
        <f>$F223</f>
        <v>44.1</v>
      </c>
      <c r="CU160">
        <f>$F223</f>
        <v>44.1</v>
      </c>
      <c r="CV160">
        <f>$F223</f>
        <v>44.1</v>
      </c>
      <c r="CW160">
        <f>$F223</f>
        <v>44.1</v>
      </c>
      <c r="CX160">
        <f>$F223</f>
        <v>44.1</v>
      </c>
      <c r="CY160">
        <f>$F223</f>
        <v>44.1</v>
      </c>
      <c r="CZ160">
        <f>$F223</f>
        <v>44.1</v>
      </c>
      <c r="DA160">
        <f>$F223</f>
        <v>44.1</v>
      </c>
      <c r="DB160">
        <f>$F223</f>
        <v>44.1</v>
      </c>
      <c r="DC160">
        <f>$F223</f>
        <v>44.1</v>
      </c>
      <c r="DD160">
        <f>$F223</f>
        <v>44.1</v>
      </c>
      <c r="DE160">
        <f>$F223</f>
        <v>44.1</v>
      </c>
      <c r="DF160">
        <f>$F223</f>
        <v>44.1</v>
      </c>
      <c r="DG160">
        <f>$F223</f>
        <v>44.1</v>
      </c>
      <c r="DH160">
        <v>0</v>
      </c>
      <c r="DI160">
        <f>DH160</f>
        <v>0</v>
      </c>
      <c r="DJ160">
        <f t="shared" ref="DJ160:FU160" si="15">DI160</f>
        <v>0</v>
      </c>
      <c r="DK160">
        <f t="shared" si="15"/>
        <v>0</v>
      </c>
      <c r="DL160">
        <f t="shared" si="15"/>
        <v>0</v>
      </c>
      <c r="DM160">
        <f t="shared" si="15"/>
        <v>0</v>
      </c>
      <c r="DN160">
        <f t="shared" si="15"/>
        <v>0</v>
      </c>
      <c r="DO160">
        <f t="shared" si="15"/>
        <v>0</v>
      </c>
      <c r="DP160">
        <f t="shared" si="15"/>
        <v>0</v>
      </c>
      <c r="DQ160">
        <f t="shared" si="15"/>
        <v>0</v>
      </c>
      <c r="DR160">
        <f t="shared" si="15"/>
        <v>0</v>
      </c>
      <c r="DS160">
        <f t="shared" si="15"/>
        <v>0</v>
      </c>
      <c r="DT160">
        <f t="shared" si="15"/>
        <v>0</v>
      </c>
      <c r="DU160">
        <f t="shared" si="15"/>
        <v>0</v>
      </c>
      <c r="DV160">
        <f t="shared" si="15"/>
        <v>0</v>
      </c>
      <c r="DW160">
        <f t="shared" si="15"/>
        <v>0</v>
      </c>
      <c r="DX160">
        <f t="shared" si="15"/>
        <v>0</v>
      </c>
      <c r="DY160">
        <f t="shared" si="15"/>
        <v>0</v>
      </c>
      <c r="DZ160">
        <f t="shared" si="15"/>
        <v>0</v>
      </c>
      <c r="EA160">
        <f t="shared" si="15"/>
        <v>0</v>
      </c>
      <c r="EB160">
        <f t="shared" si="15"/>
        <v>0</v>
      </c>
      <c r="EC160">
        <f t="shared" si="15"/>
        <v>0</v>
      </c>
      <c r="ED160">
        <f t="shared" si="15"/>
        <v>0</v>
      </c>
      <c r="EE160">
        <f t="shared" si="15"/>
        <v>0</v>
      </c>
      <c r="EF160">
        <f t="shared" si="15"/>
        <v>0</v>
      </c>
      <c r="EG160">
        <f t="shared" si="15"/>
        <v>0</v>
      </c>
      <c r="EH160">
        <f t="shared" si="15"/>
        <v>0</v>
      </c>
      <c r="EI160">
        <f t="shared" si="15"/>
        <v>0</v>
      </c>
      <c r="EJ160">
        <f t="shared" si="15"/>
        <v>0</v>
      </c>
      <c r="EK160">
        <f t="shared" si="15"/>
        <v>0</v>
      </c>
      <c r="EL160">
        <f t="shared" si="15"/>
        <v>0</v>
      </c>
      <c r="EM160">
        <f t="shared" si="15"/>
        <v>0</v>
      </c>
      <c r="EN160">
        <f t="shared" si="15"/>
        <v>0</v>
      </c>
      <c r="EO160">
        <f t="shared" si="15"/>
        <v>0</v>
      </c>
      <c r="EP160">
        <f t="shared" si="15"/>
        <v>0</v>
      </c>
      <c r="EQ160">
        <f t="shared" si="15"/>
        <v>0</v>
      </c>
      <c r="ER160">
        <f t="shared" si="15"/>
        <v>0</v>
      </c>
      <c r="ES160">
        <f t="shared" si="15"/>
        <v>0</v>
      </c>
      <c r="ET160">
        <f t="shared" si="15"/>
        <v>0</v>
      </c>
      <c r="EU160">
        <f t="shared" si="15"/>
        <v>0</v>
      </c>
      <c r="EV160">
        <f t="shared" si="15"/>
        <v>0</v>
      </c>
      <c r="EW160">
        <f t="shared" si="15"/>
        <v>0</v>
      </c>
      <c r="EX160">
        <f t="shared" si="15"/>
        <v>0</v>
      </c>
      <c r="EY160">
        <f t="shared" si="15"/>
        <v>0</v>
      </c>
      <c r="EZ160">
        <f t="shared" si="15"/>
        <v>0</v>
      </c>
      <c r="FA160">
        <f t="shared" si="15"/>
        <v>0</v>
      </c>
      <c r="FB160">
        <f t="shared" si="15"/>
        <v>0</v>
      </c>
      <c r="FC160">
        <f t="shared" si="15"/>
        <v>0</v>
      </c>
      <c r="FD160">
        <f t="shared" si="15"/>
        <v>0</v>
      </c>
      <c r="FE160">
        <f t="shared" si="15"/>
        <v>0</v>
      </c>
      <c r="FF160">
        <f t="shared" si="15"/>
        <v>0</v>
      </c>
      <c r="FG160">
        <f t="shared" si="15"/>
        <v>0</v>
      </c>
      <c r="FH160">
        <f t="shared" si="15"/>
        <v>0</v>
      </c>
      <c r="FI160">
        <f t="shared" si="15"/>
        <v>0</v>
      </c>
      <c r="FJ160">
        <f t="shared" si="15"/>
        <v>0</v>
      </c>
      <c r="FK160">
        <f t="shared" si="15"/>
        <v>0</v>
      </c>
      <c r="FL160">
        <f t="shared" si="15"/>
        <v>0</v>
      </c>
      <c r="FM160">
        <f t="shared" si="15"/>
        <v>0</v>
      </c>
      <c r="FN160">
        <f t="shared" si="15"/>
        <v>0</v>
      </c>
      <c r="FO160">
        <f t="shared" si="15"/>
        <v>0</v>
      </c>
      <c r="FP160">
        <f t="shared" si="15"/>
        <v>0</v>
      </c>
      <c r="FQ160">
        <f t="shared" si="15"/>
        <v>0</v>
      </c>
      <c r="FR160">
        <f t="shared" si="15"/>
        <v>0</v>
      </c>
      <c r="FS160">
        <f t="shared" si="15"/>
        <v>0</v>
      </c>
      <c r="FT160">
        <f t="shared" si="15"/>
        <v>0</v>
      </c>
      <c r="FU160">
        <f t="shared" si="15"/>
        <v>0</v>
      </c>
      <c r="FV160">
        <f t="shared" ref="FV160:GQ160" si="16">FU160</f>
        <v>0</v>
      </c>
      <c r="FW160">
        <f t="shared" si="16"/>
        <v>0</v>
      </c>
      <c r="FX160">
        <f t="shared" si="16"/>
        <v>0</v>
      </c>
      <c r="FY160">
        <f t="shared" si="16"/>
        <v>0</v>
      </c>
      <c r="FZ160">
        <f t="shared" si="16"/>
        <v>0</v>
      </c>
      <c r="GA160">
        <f t="shared" si="16"/>
        <v>0</v>
      </c>
      <c r="GB160">
        <f t="shared" si="16"/>
        <v>0</v>
      </c>
      <c r="GC160">
        <f t="shared" si="16"/>
        <v>0</v>
      </c>
      <c r="GD160">
        <f t="shared" si="16"/>
        <v>0</v>
      </c>
      <c r="GE160">
        <f t="shared" si="16"/>
        <v>0</v>
      </c>
      <c r="GF160">
        <f t="shared" si="16"/>
        <v>0</v>
      </c>
      <c r="GG160">
        <f t="shared" si="16"/>
        <v>0</v>
      </c>
      <c r="GH160">
        <f t="shared" si="16"/>
        <v>0</v>
      </c>
      <c r="GI160">
        <f t="shared" si="16"/>
        <v>0</v>
      </c>
      <c r="GJ160">
        <f t="shared" si="16"/>
        <v>0</v>
      </c>
      <c r="GK160">
        <f t="shared" si="16"/>
        <v>0</v>
      </c>
      <c r="GL160">
        <f t="shared" si="16"/>
        <v>0</v>
      </c>
      <c r="GM160">
        <f t="shared" si="16"/>
        <v>0</v>
      </c>
      <c r="GN160">
        <f t="shared" si="16"/>
        <v>0</v>
      </c>
      <c r="GO160">
        <f t="shared" si="16"/>
        <v>0</v>
      </c>
      <c r="GP160">
        <f t="shared" si="16"/>
        <v>0</v>
      </c>
      <c r="GQ160">
        <f t="shared" si="16"/>
        <v>0</v>
      </c>
    </row>
    <row r="161" spans="1:199" x14ac:dyDescent="0.25">
      <c r="A161" s="66"/>
      <c r="C161" t="s">
        <v>165</v>
      </c>
      <c r="D161" s="34">
        <v>4</v>
      </c>
      <c r="Q161">
        <f>K224 + $D221 * ((K223 - ($D215 + $D219)*K224 + $D219*K225 - K226) /$D213)</f>
        <v>7.9327734278762509</v>
      </c>
      <c r="R161">
        <f>Q161 + $D221 * ((Q160 - ($D215 + $D219)*Q161 + $D219*Q162 - Q163) /$D213)</f>
        <v>9.1747684782163468</v>
      </c>
      <c r="S161">
        <f>R161 + $D221 * ((R160 - ($D215 + $D219)*R161 + $D219*R162 - R163) /$D213)</f>
        <v>10.393281103988029</v>
      </c>
      <c r="T161">
        <f>S161 + $D221 * ((S160 - ($D215 + $D219)*S161 + $D219*S162 - S163) /$D213)</f>
        <v>11.588127055956901</v>
      </c>
      <c r="U161">
        <f>T161 + $D221 * ((T160 - ($D215 + $D219)*T161 + $D219*T162 - T163) /$D213)</f>
        <v>12.759137717309027</v>
      </c>
      <c r="V161">
        <f>U161 + $D221 * ((U160 - ($D215 + $D219)*U161 + $D219*U162 - U163) /$D213)</f>
        <v>13.906159933838229</v>
      </c>
      <c r="W161">
        <f>V161 + $D221 * ((V160 - ($D215 + $D219)*V161 + $D219*V162 - V163) /$D213)</f>
        <v>15.029055838722893</v>
      </c>
      <c r="X161">
        <f>W161 + $D221 * ((W160 - ($D215 + $D219)*W161 + $D219*W162 - W163) /$D213)</f>
        <v>16.127702672075397</v>
      </c>
      <c r="Y161">
        <f>X161 + $D221 * ((X160 - ($D215 + $D219)*X161 + $D219*X162 - X163) /$D213)</f>
        <v>17.201992595446981</v>
      </c>
      <c r="Z161">
        <f>Y161 + $D221 * ((Y160 - ($D215 + $D219)*Y161 + $D219*Y162 - Y163) /$D213)</f>
        <v>18.251832501470588</v>
      </c>
      <c r="AA161">
        <f>Z161 + $D221 * ((Z160 - ($D215 + $D219)*Z161 + $D219*Z162 - Z163) /$D213)</f>
        <v>19.277143818823692</v>
      </c>
      <c r="AB161">
        <f>AA161 + $D221 * ((AA160 - ($D215 + $D219)*AA161 + $D219*AA162 - AA163) /$D213)</f>
        <v>20.277862312692662</v>
      </c>
      <c r="AC161">
        <f>AB161 + $D221 * ((AB160 - ($D215 + $D219)*AB161 + $D219*AB162 - AB163) /$D213)</f>
        <v>21.253937880919544</v>
      </c>
      <c r="AD161">
        <f>AC161 + $D221 * ((AC160 - ($D215 + $D219)*AC161 + $D219*AC162 - AC163) /$D213)</f>
        <v>22.205334346011458</v>
      </c>
      <c r="AE161">
        <f>AD161 + $D221 * ((AD160 - ($D215 + $D219)*AD161 + $D219*AD162 - AD163) /$D213)</f>
        <v>23.132029243192022</v>
      </c>
      <c r="AF161">
        <f>AE161 + $D221 * ((AE160 - ($D215 + $D219)*AE161 + $D219*AE162 - AE163) /$D213)</f>
        <v>24.03401360467333</v>
      </c>
      <c r="AG161">
        <f>AF161 + $D221 * ((AF160 - ($D215 + $D219)*AF161 + $D219*AF162 - AF163) /$D213)</f>
        <v>24.911291740326053</v>
      </c>
      <c r="AH161">
        <f>AG161 + $D221 * ((AG160 - ($D215 + $D219)*AG161 + $D219*AG162 - AG163) /$D213)</f>
        <v>25.763881014924241</v>
      </c>
      <c r="AI161">
        <f>AH161 + $D221 * ((AH160 - ($D215 + $D219)*AH161 + $D219*AH162 - AH163) /$D213)</f>
        <v>26.591811622140227</v>
      </c>
      <c r="AJ161">
        <f>AI161 + $D221 * ((AI160 - ($D215 + $D219)*AI161 + $D219*AI162 - AI163) /$D213)</f>
        <v>27.395126355463916</v>
      </c>
      <c r="AK161">
        <f>AJ161 + $D221 * ((AJ160 - ($D215 + $D219)*AJ161 + $D219*AJ162 - AJ163) /$D213)</f>
        <v>28.173880376219458</v>
      </c>
      <c r="AL161">
        <f>AK161 + $D221 * ((AK160 - ($D215 + $D219)*AK161 + $D219*AK162 - AK163) /$D213)</f>
        <v>28.928140978850958</v>
      </c>
      <c r="AM161">
        <f>AL161 + $D221 * ((AL160 - ($D215 + $D219)*AL161 + $D219*AL162 - AL163) /$D213)</f>
        <v>29.657987353647513</v>
      </c>
      <c r="AN161">
        <f>AM161 + $D221 * ((AM160 - ($D215 + $D219)*AM161 + $D219*AM162 - AM163) /$D213)</f>
        <v>30.363510347076396</v>
      </c>
      <c r="AO161">
        <f>AN161 + $D221 * ((AN160 - ($D215 + $D219)*AN161 + $D219*AN162 - AN163) /$D213)</f>
        <v>31.044812219891643</v>
      </c>
      <c r="AP161">
        <f>AO161 + $D221 * ((AO160 - ($D215 + $D219)*AO161 + $D219*AO162 - AO163) /$D213)</f>
        <v>31.702006403183745</v>
      </c>
      <c r="AQ161">
        <f>AP161 + $D221 * ((AP160 - ($D215 + $D219)*AP161 + $D219*AP162 - AP163) /$D213)</f>
        <v>32.335217252534491</v>
      </c>
      <c r="AR161">
        <f>AQ161 + $D221 * ((AQ160 - ($D215 + $D219)*AQ161 + $D219*AQ162 - AQ163) /$D213)</f>
        <v>32.944579800439243</v>
      </c>
      <c r="AS161">
        <f>AR161 + $D221 * ((AR160 - ($D215 + $D219)*AR161 + $D219*AR162 - AR163) /$D213)</f>
        <v>33.530239507157219</v>
      </c>
      <c r="AT161">
        <f>AS161 + $D221 * ((AS160 - ($D215 + $D219)*AS161 + $D219*AS162 - AS163) /$D213)</f>
        <v>34.092352010148495</v>
      </c>
      <c r="AU161">
        <f>AT161 + $D221 * ((AT160 - ($D215 + $D219)*AT161 + $D219*AT162 - AT163) /$D213)</f>
        <v>34.631082872254538</v>
      </c>
      <c r="AV161">
        <f>AU161 + $D221 * ((AU160 - ($D215 + $D219)*AU161 + $D219*AU162 - AU163) /$D213)</f>
        <v>35.146607328777179</v>
      </c>
      <c r="AW161">
        <f>AV161 + $D221 * ((AV160 - ($D215 + $D219)*AV161 + $D219*AV162 - AV163) /$D213)</f>
        <v>35.639110033608951</v>
      </c>
      <c r="AX161">
        <f>AW161 + $D221 * ((AW160 - ($D215 + $D219)*AW161 + $D219*AW162 - AW163) /$D213)</f>
        <v>36.108784804565644</v>
      </c>
      <c r="AY161">
        <f>AX161 + $D221 * ((AX160 - ($D215 + $D219)*AX161 + $D219*AX162 - AX163) /$D213)</f>
        <v>36.555834368069881</v>
      </c>
      <c r="AZ161">
        <f>AY161 + $D221 * ((AY160 - ($D215 + $D219)*AY161 + $D219*AY162 - AY163) /$D213)</f>
        <v>36.980470103332401</v>
      </c>
      <c r="BA161">
        <f>AZ161 + $D221 * ((AZ160 - ($D215 + $D219)*AZ161 + $D219*AZ162 - AZ163) /$D213)</f>
        <v>37.382911786175534</v>
      </c>
      <c r="BB161">
        <f>BA161 + $D221 * ((BA160 - ($D215 + $D219)*BA161 + $D219*BA162 - BA163) /$D213)</f>
        <v>37.763387332641159</v>
      </c>
      <c r="BC161">
        <f>BB161 + $D221 * ((BB160 - ($D215 + $D219)*BB161 + $D219*BB162 - BB163) /$D213)</f>
        <v>38.122132542523204</v>
      </c>
      <c r="BD161">
        <f>BC161 + $D221 * ((BC160 - ($D215 + $D219)*BC161 + $D219*BC162 - BC163) /$D213)</f>
        <v>38.459390842962463</v>
      </c>
      <c r="BE161">
        <f>BD161 + $D221 * ((BD160 - ($D215 + $D219)*BD161 + $D219*BD162 - BD163) /$D213)</f>
        <v>38.775413032239115</v>
      </c>
      <c r="BF161">
        <f>BE161 + $D221 * ((BE160 - ($D215 + $D219)*BE161 + $D219*BE162 - BE163) /$D213)</f>
        <v>39.070457023896104</v>
      </c>
      <c r="BG161">
        <f>BF161 + $D221 * ((BF160 - ($D215 + $D219)*BF161 + $D219*BF162 - BF163) /$D213)</f>
        <v>39.344787591324007</v>
      </c>
      <c r="BH161">
        <f>BG161 + $D221 * ((BG160 - ($D215 + $D219)*BG161 + $D219*BG162 - BG163) /$D213)</f>
        <v>39.598676112935749</v>
      </c>
      <c r="BI161">
        <f>BH161 + $D221 * ((BH160 - ($D215 + $D219)*BH161 + $D219*BH162 - BH163) /$D213)</f>
        <v>39.832400318056933</v>
      </c>
      <c r="BJ161">
        <f>BI161 + $D221 * ((BI160 - ($D215 + $D219)*BI161 + $D219*BI162 - BI163) /$D213)</f>
        <v>40.046244033655199</v>
      </c>
      <c r="BK161">
        <f>BJ161 + $D221 * ((BJ160 - ($D215 + $D219)*BJ161 + $D219*BJ162 - BJ163) /$D213)</f>
        <v>40.240496932029487</v>
      </c>
      <c r="BL161">
        <f>BK161 + $D221 * ((BK160 - ($D215 + $D219)*BK161 + $D219*BK162 - BK163) /$D213)</f>
        <v>40.415454279577517</v>
      </c>
      <c r="BM161">
        <f>BL161 + $D221 * ((BL160 - ($D215 + $D219)*BL161 + $D219*BL162 - BL163) /$D213)</f>
        <v>40.571416686757388</v>
      </c>
      <c r="BN161">
        <f>BM161 + $D221 * ((BM160 - ($D215 + $D219)*BM161 + $D219*BM162 - BM163) /$D213)</f>
        <v>40.70868985935644</v>
      </c>
      <c r="BO161">
        <f>BN161 + $D221 * ((BN160 - ($D215 + $D219)*BN161 + $D219*BN162 - BN163) /$D213)</f>
        <v>40.827584351178182</v>
      </c>
      <c r="BP161">
        <f>BO161 + $D221 * ((BO160 - ($D215 + $D219)*BO161 + $D219*BO162 - BO163) /$D213)</f>
        <v>40.928415318255261</v>
      </c>
      <c r="BQ161">
        <f>BP161 + $D221 * ((BP160 - ($D215 + $D219)*BP161 + $D219*BP162 - BP163) /$D213)</f>
        <v>41.011502274694074</v>
      </c>
      <c r="BR161">
        <f>BQ161 + $D221 * ((BQ160 - ($D215 + $D219)*BQ161 + $D219*BQ162 - BQ163) /$D213)</f>
        <v>41.077168850253756</v>
      </c>
      <c r="BS161">
        <f>BR161 + $D221 * ((BR160 - ($D215 + $D219)*BR161 + $D219*BR162 - BR163) /$D213)</f>
        <v>41.125742549759885</v>
      </c>
      <c r="BT161">
        <f>BS161 + $D221 * ((BS160 - ($D215 + $D219)*BS161 + $D219*BS162 - BS163) /$D213)</f>
        <v>41.15755451445046</v>
      </c>
      <c r="BU161">
        <f>BT161 + $D221 * ((BT160 - ($D215 + $D219)*BT161 + $D219*BT162 - BT163) /$D213)</f>
        <v>41.172939285349052</v>
      </c>
      <c r="BV161">
        <f>BU161 + $D221 * ((BU160 - ($D215 + $D219)*BU161 + $D219*BU162 - BU163) /$D213)</f>
        <v>41.172234568757467</v>
      </c>
      <c r="BW161">
        <f>BV161 + $D221 * ((BV160 - ($D215 + $D219)*BV161 + $D219*BV162 - BV163) /$D213)</f>
        <v>41.155781003957529</v>
      </c>
      <c r="BX161">
        <f>BW161 + $D221 * ((BW160 - ($D215 + $D219)*BW161 + $D219*BW162 - BW163) /$D213)</f>
        <v>41.123921933208941</v>
      </c>
      <c r="BY161">
        <f>BX161 + $D221 * ((BX160 - ($D215 + $D219)*BX161 + $D219*BX162 - BX163) /$D213)</f>
        <v>41.077003174127526</v>
      </c>
      <c r="BZ161">
        <f>BY161 + $D221 * ((BY160 - ($D215 + $D219)*BY161 + $D219*BY162 - BY163) /$D213)</f>
        <v>41.015372794525483</v>
      </c>
      <c r="CA161">
        <f>BZ161 + $D221 * ((BZ160 - ($D215 + $D219)*BZ161 + $D219*BZ162 - BZ163) /$D213)</f>
        <v>40.939380889792602</v>
      </c>
      <c r="CB161">
        <f>CA161 + $D221 * ((CA160 - ($D215 + $D219)*CA161 + $D219*CA162 - CA163) /$D213)</f>
        <v>40.84937936289473</v>
      </c>
      <c r="CC161">
        <f>CB161 + $D221 * ((CB160 - ($D215 + $D219)*CB161 + $D219*CB162 - CB163) /$D213)</f>
        <v>40.74572170706319</v>
      </c>
      <c r="CD161">
        <f>CC161 + $D221 * ((CC160 - ($D215 + $D219)*CC161 + $D219*CC162 - CC163) /$D213)</f>
        <v>40.628762791246068</v>
      </c>
      <c r="CE161">
        <f>CD161 + $D221 * ((CD160 - ($D215 + $D219)*CD161 + $D219*CD162 - CD163) /$D213)</f>
        <v>40.498858648389728</v>
      </c>
      <c r="CF161">
        <f>CE161 + $D221 * ((CE160 - ($D215 + $D219)*CE161 + $D219*CE162 - CE163) /$D213)</f>
        <v>40.356366266616263</v>
      </c>
      <c r="CG161">
        <f>CF161 + $D221 * ((CF160 - ($D215 + $D219)*CF161 + $D219*CF162 - CF163) /$D213)</f>
        <v>40.201643383359922</v>
      </c>
      <c r="CH161">
        <f>CG161 + $D221 * ((CG160 - ($D215 + $D219)*CG161 + $D219*CG162 - CG163) /$D213)</f>
        <v>40.035048282522993</v>
      </c>
      <c r="CI161">
        <f>CH161 + $D221 * ((CH160 - ($D215 + $D219)*CH161 + $D219*CH162 - CH163) /$D213)</f>
        <v>39.856939594708891</v>
      </c>
      <c r="CJ161">
        <f>CI161 + $D221 * ((CI160 - ($D215 + $D219)*CI161 + $D219*CI162 - CI163) /$D213)</f>
        <v>39.667676100587791</v>
      </c>
      <c r="CK161">
        <f>CJ161 + $D221 * ((CJ160 - ($D215 + $D219)*CJ161 + $D219*CJ162 - CJ163) /$D213)</f>
        <v>39.467616537447384</v>
      </c>
      <c r="CL161">
        <f>CK161 + $D221 * ((CK160 - ($D215 + $D219)*CK161 + $D219*CK162 - CK163) /$D213)</f>
        <v>39.257119408978824</v>
      </c>
      <c r="CM161">
        <f>CL161 + $D221 * ((CL160 - ($D215 + $D219)*CL161 + $D219*CL162 - CL163) /$D213)</f>
        <v>39.036542798345437</v>
      </c>
      <c r="CN161">
        <f>CM161 + $D221 * ((CM160 - ($D215 + $D219)*CM161 + $D219*CM162 - CM163) /$D213)</f>
        <v>38.806244184579157</v>
      </c>
      <c r="CO161">
        <f>CN161 + $D221 * ((CN160 - ($D215 + $D219)*CN161 + $D219*CN162 - CN163) /$D213)</f>
        <v>38.566580262347159</v>
      </c>
      <c r="CP161">
        <f>CO161 + $D221 * ((CO160 - ($D215 + $D219)*CO161 + $D219*CO162 - CO163) /$D213)</f>
        <v>38.317906765128647</v>
      </c>
      <c r="CQ161">
        <f>CP161 + $D221 * ((CP160 - ($D215 + $D219)*CP161 + $D219*CP162 - CP163) /$D213)</f>
        <v>38.06057829183932</v>
      </c>
      <c r="CR161">
        <f>CQ161 + $D221 * ((CQ160 - ($D215 + $D219)*CQ161 + $D219*CQ162 - CQ163) /$D213)</f>
        <v>37.79494813693853</v>
      </c>
      <c r="CS161">
        <f>CR161 + $D221 * ((CR160 - ($D215 + $D219)*CR161 + $D219*CR162 - CR163) /$D213)</f>
        <v>37.521368124051705</v>
      </c>
      <c r="CT161">
        <f>CS161 + $D221 * ((CS160 - ($D215 + $D219)*CS161 + $D219*CS162 - CS163) /$D213)</f>
        <v>37.240188443138301</v>
      </c>
      <c r="CU161">
        <f>CT161 + $D221 * ((CT160 - ($D215 + $D219)*CT161 + $D219*CT162 - CT163) /$D213)</f>
        <v>36.951757491233003</v>
      </c>
      <c r="CV161">
        <f>CU161 + $D221 * ((CU160 - ($D215 + $D219)*CU161 + $D219*CU162 - CU163) /$D213)</f>
        <v>36.656421716785637</v>
      </c>
      <c r="CW161">
        <f>CV161 + $D221 * ((CV160 - ($D215 + $D219)*CV161 + $D219*CV162 - CV163) /$D213)</f>
        <v>36.354525467622885</v>
      </c>
      <c r="CX161">
        <f>CW161 + $D221 * ((CW160 - ($D215 + $D219)*CW161 + $D219*CW162 - CW163) /$D213)</f>
        <v>36.046410842552646</v>
      </c>
      <c r="CY161">
        <f>CX161 + $D221 * ((CX160 - ($D215 + $D219)*CX161 + $D219*CX162 - CX163) /$D213)</f>
        <v>35.732417546629421</v>
      </c>
      <c r="CZ161">
        <f>CY161 + $D221 * ((CY160 - ($D215 + $D219)*CY161 + $D219*CY162 - CY163) /$D213)</f>
        <v>35.412882750097097</v>
      </c>
      <c r="DA161">
        <f>CZ161 + $D221 * ((CZ160 - ($D215 + $D219)*CZ161 + $D219*CZ162 - CZ163) /$D213)</f>
        <v>35.088140951023071</v>
      </c>
      <c r="DB161">
        <f>DA161 + $D221 * ((DA160 - ($D215 + $D219)*DA161 + $D219*DA162 - DA163) /$D213)</f>
        <v>34.758523841635558</v>
      </c>
      <c r="DC161">
        <f>DB161 + $D221 * ((DB160 - ($D215 + $D219)*DB161 + $D219*DB162 - DB163) /$D213)</f>
        <v>34.424360178373746</v>
      </c>
      <c r="DD161">
        <f>DC161 + $D221 * ((DC160 - ($D215 + $D219)*DC161 + $D219*DC162 - DC163) /$D213)</f>
        <v>34.085975655658288</v>
      </c>
      <c r="DE161">
        <f>DD161 + $D221 * ((DD160 - ($D215 + $D219)*DD161 + $D219*DD162 - DD163) /$D213)</f>
        <v>33.743692783387587</v>
      </c>
      <c r="DF161">
        <f>DE161 + $D221 * ((DE160 - ($D215 + $D219)*DE161 + $D219*DE162 - DE163) /$D213)</f>
        <v>33.397830768163168</v>
      </c>
      <c r="DG161">
        <f>DF161 + $D221 * ((DF160 - ($D215 + $D219)*DF161 + $D219*DF162 - DF163) /$D213)</f>
        <v>33.048705398245446</v>
      </c>
      <c r="DH161">
        <f>DG161 + $D221 * ((DG160 - ($D215 + $D219)*DG161 + $D219*DG162 - DG163) /$D213)</f>
        <v>32.696628932239229</v>
      </c>
      <c r="DI161">
        <f>DH161 + $D221 * ((DH160 - ($D215 + $D219)*DH161 + $D219*DH162 - DH163) /$D213)</f>
        <v>30.963784991506209</v>
      </c>
      <c r="DJ161">
        <f>DI161 + $D221 * ((DI160 - ($D215 + $D219)*DI161 + $D219*DI162 - DI163) /$D213)</f>
        <v>29.250643323027788</v>
      </c>
      <c r="DK161">
        <f>DJ161 + $D221 * ((DJ160 - ($D215 + $D219)*DJ161 + $D219*DJ162 - DJ163) /$D213)</f>
        <v>27.557786249544826</v>
      </c>
      <c r="DL161">
        <f>DK161 + $D221 * ((DK160 - ($D215 + $D219)*DK161 + $D219*DK162 - DK163) /$D213)</f>
        <v>25.885775628684602</v>
      </c>
      <c r="DM161">
        <f>DL161 + $D221 * ((DL160 - ($D215 + $D219)*DL161 + $D219*DL162 - DL163) /$D213)</f>
        <v>24.23515289371862</v>
      </c>
      <c r="DN161">
        <f>DM161 + $D221 * ((DM160 - ($D215 + $D219)*DM161 + $D219*DM162 - DM163) /$D213)</f>
        <v>22.606439104514713</v>
      </c>
      <c r="DO161">
        <f>DN161 + $D221 * ((DN160 - ($D215 + $D219)*DN161 + $D219*DN162 - DN163) /$D213)</f>
        <v>21.000135008487106</v>
      </c>
      <c r="DP161">
        <f>DO161 + $D221 * ((DO160 - ($D215 + $D219)*DO161 + $D219*DO162 - DO163) /$D213)</f>
        <v>19.416721111345936</v>
      </c>
      <c r="DQ161">
        <f>DP161 + $D221 * ((DP160 - ($D215 + $D219)*DP161 + $D219*DP162 - DP163) /$D213)</f>
        <v>17.856657757445884</v>
      </c>
      <c r="DR161">
        <f>DQ161 + $D221 * ((DQ160 - ($D215 + $D219)*DQ161 + $D219*DQ162 - DQ163) /$D213)</f>
        <v>16.320385219531776</v>
      </c>
      <c r="DS161">
        <f>DR161 + $D221 * ((DR160 - ($D215 + $D219)*DR161 + $D219*DR162 - DR163) /$D213)</f>
        <v>14.808323797677311</v>
      </c>
      <c r="DT161">
        <f>DS161 + $D221 * ((DS160 - ($D215 + $D219)*DS161 + $D219*DS162 - DS163) /$D213)</f>
        <v>13.32087392721165</v>
      </c>
      <c r="DU161">
        <f>DT161 + $D221 * ((DT160 - ($D215 + $D219)*DT161 + $D219*DT162 - DT163) /$D213)</f>
        <v>11.858416295427162</v>
      </c>
      <c r="DV161">
        <f>DU161 + $D221 * ((DU160 - ($D215 + $D219)*DU161 + $D219*DU162 - DU163) /$D213)</f>
        <v>10.421311966860397</v>
      </c>
      <c r="DW161">
        <f>DV161 + $D221 * ((DV160 - ($D215 + $D219)*DV161 + $D219*DV162 - DV163) /$D213)</f>
        <v>9.0099025169372666</v>
      </c>
      <c r="DX161">
        <f>DW161 + $D221 * ((DW160 - ($D215 + $D219)*DW161 + $D219*DW162 - DW163) /$D213)</f>
        <v>7.6245101737723999</v>
      </c>
      <c r="DY161">
        <f>DX161 + $D221 * ((DX160 - ($D215 + $D219)*DX161 + $D219*DX162 - DX163) /$D213)</f>
        <v>6.2654379679118097</v>
      </c>
      <c r="DZ161">
        <f>DY161 + $D221 * ((DY160 - ($D215 + $D219)*DY161 + $D219*DY162 - DY163) /$D213)</f>
        <v>4.932969889807274</v>
      </c>
      <c r="EA161">
        <f>DZ161 + $D221 * ((DZ160 - ($D215 + $D219)*DZ161 + $D219*DZ162 - DZ163) /$D213)</f>
        <v>3.6273710548102311</v>
      </c>
      <c r="EB161">
        <f>EA161 + $D221 * ((EA160 - ($D215 + $D219)*EA161 + $D219*EA162 - EA163) /$D213)</f>
        <v>2.3488878754725118</v>
      </c>
      <c r="EC161">
        <f>EB161 + $D221 * ((EB160 - ($D215 + $D219)*EB161 + $D219*EB162 - EB163) /$D213)</f>
        <v>1.0977482409408739</v>
      </c>
      <c r="ED161">
        <f>EC161 + $D221 * ((EC160 - ($D215 + $D219)*EC161 + $D219*EC162 - EC163) /$D213)</f>
        <v>-0.12583829676793434</v>
      </c>
      <c r="EE161">
        <f>ED161 + $D221 * ((ED160 - ($D215 + $D219)*ED161 + $D219*ED162 - ED163) /$D213)</f>
        <v>-1.321680329824978</v>
      </c>
      <c r="EF161">
        <f>EE161 + $D221 * ((EE160 - ($D215 + $D219)*EE161 + $D219*EE162 - EE163) /$D213)</f>
        <v>-2.4896043951932052</v>
      </c>
      <c r="EG161">
        <f>EF161 + $D221 * ((EF160 - ($D215 + $D219)*EF161 + $D219*EF162 - EF163) /$D213)</f>
        <v>-3.6294547689910761</v>
      </c>
      <c r="EH161">
        <f>EG161 + $D221 * ((EG160 - ($D215 + $D219)*EG161 + $D219*EG162 - EG163) /$D213)</f>
        <v>-4.7410932548288178</v>
      </c>
      <c r="EI161">
        <f>EH161 + $D221 * ((EH160 - ($D215 + $D219)*EH161 + $D219*EH162 - EH163) /$D213)</f>
        <v>-5.8243989663300564</v>
      </c>
      <c r="EJ161">
        <f>EI161 + $D221 * ((EI160 - ($D215 + $D219)*EI161 + $D219*EI162 - EI163) /$D213)</f>
        <v>-6.8792681040511159</v>
      </c>
      <c r="EK161">
        <f>EJ161 + $D221 * ((EJ160 - ($D215 + $D219)*EJ161 + $D219*EJ162 - EJ163) /$D213)</f>
        <v>-7.9056137270097651</v>
      </c>
      <c r="EL161">
        <f>EK161 + $D221 * ((EK160 - ($D215 + $D219)*EK161 + $D219*EK162 - EK163) /$D213)</f>
        <v>-8.9033655190345034</v>
      </c>
      <c r="EM161">
        <f>EL161 + $D221 * ((EL160 - ($D215 + $D219)*EL161 + $D219*EL162 - EL163) /$D213)</f>
        <v>-9.8724695501447695</v>
      </c>
      <c r="EN161">
        <f>EM161 + $D221 * ((EM160 - ($D215 + $D219)*EM161 + $D219*EM162 - EM163) /$D213)</f>
        <v>-10.81288803317158</v>
      </c>
      <c r="EO161">
        <f>EN161 + $D221 * ((EN160 - ($D215 + $D219)*EN161 + $D219*EN162 - EN163) /$D213)</f>
        <v>-11.724599075827172</v>
      </c>
      <c r="EP161">
        <f>EO161 + $D221 * ((EO160 - ($D215 + $D219)*EO161 + $D219*EO162 - EO163) /$D213)</f>
        <v>-12.607596428431181</v>
      </c>
      <c r="EQ161">
        <f>EP161 + $D221 * ((EP160 - ($D215 + $D219)*EP161 + $D219*EP162 - EP163) /$D213)</f>
        <v>-13.461889227499753</v>
      </c>
      <c r="ER161">
        <f>EQ161 + $D221 * ((EQ160 - ($D215 + $D219)*EQ161 + $D219*EQ162 - EQ163) /$D213)</f>
        <v>-14.287501735402754</v>
      </c>
      <c r="ES161">
        <f>ER161 + $D221 * ((ER160 - ($D215 + $D219)*ER161 + $D219*ER162 - ER163) /$D213)</f>
        <v>-15.084473076292943</v>
      </c>
      <c r="ET161">
        <f>ES161 + $D221 * ((ES160 - ($D215 + $D219)*ES161 + $D219*ES162 - ES163) /$D213)</f>
        <v>-15.85285696850956</v>
      </c>
      <c r="EU161">
        <f>ET161 + $D221 * ((ET160 - ($D215 + $D219)*ET161 + $D219*ET162 - ET163) /$D213)</f>
        <v>-16.592721453657308</v>
      </c>
      <c r="EV161">
        <f>EU161 + $D221 * ((EU160 - ($D215 + $D219)*EU161 + $D219*EU162 - EU163) /$D213)</f>
        <v>-17.30414862256012</v>
      </c>
      <c r="EW161">
        <f>EV161 + $D221 * ((EV160 - ($D215 + $D219)*EV161 + $D219*EV162 - EV163) /$D213)</f>
        <v>-17.987234338287479</v>
      </c>
      <c r="EX161">
        <f>EW161 + $D221 * ((EW160 - ($D215 + $D219)*EW161 + $D219*EW162 - EW163) /$D213)</f>
        <v>-18.642087956449323</v>
      </c>
      <c r="EY161">
        <f>EX161 + $D221 * ((EX160 - ($D215 + $D219)*EX161 + $D219*EX162 - EX163) /$D213)</f>
        <v>-19.268832042953751</v>
      </c>
      <c r="EZ161">
        <f>EY161 + $D221 * ((EY160 - ($D215 + $D219)*EY161 + $D219*EY162 - EY163) /$D213)</f>
        <v>-19.867602089419901</v>
      </c>
      <c r="FA161">
        <f>EZ161 + $D221 * ((EZ160 - ($D215 + $D219)*EZ161 + $D219*EZ162 - EZ163) /$D213)</f>
        <v>-20.438546226436404</v>
      </c>
      <c r="FB161">
        <f>FA161 + $D221 * ((FA160 - ($D215 + $D219)*FA161 + $D219*FA162 - FA163) /$D213)</f>
        <v>-20.981824934853805</v>
      </c>
      <c r="FC161">
        <f>FB161 + $D221 * ((FB160 - ($D215 + $D219)*FB161 + $D219*FB162 - FB163) /$D213)</f>
        <v>-21.497610755297259</v>
      </c>
      <c r="FD161">
        <f>FC161 + $D221 * ((FC160 - ($D215 + $D219)*FC161 + $D219*FC162 - FC163) /$D213)</f>
        <v>-21.986087996083693</v>
      </c>
      <c r="FE161">
        <f>FD161 + $D221 * ((FD160 - ($D215 + $D219)*FD161 + $D219*FD162 - FD163) /$D213)</f>
        <v>-22.447452439725357</v>
      </c>
      <c r="FF161">
        <f>FE161 + $D221 * ((FE160 - ($D215 + $D219)*FE161 + $D219*FE162 - FE163) /$D213)</f>
        <v>-22.881911048199477</v>
      </c>
      <c r="FG161">
        <f>FF161 + $D221 * ((FF160 - ($D215 + $D219)*FF161 + $D219*FF162 - FF163) /$D213)</f>
        <v>-23.289681667161368</v>
      </c>
      <c r="FH161">
        <f>FG161 + $D221 * ((FG160 - ($D215 + $D219)*FG161 + $D219*FG162 - FG163) /$D213)</f>
        <v>-23.67099272927598</v>
      </c>
      <c r="FI161">
        <f>FH161 + $D221 * ((FH160 - ($D215 + $D219)*FH161 + $D219*FH162 - FH163) /$D213)</f>
        <v>-24.026082956840412</v>
      </c>
      <c r="FJ161">
        <f>FI161 + $D221 * ((FI160 - ($D215 + $D219)*FI161 + $D219*FI162 - FI163) /$D213)</f>
        <v>-24.355201063867479</v>
      </c>
      <c r="FK161">
        <f>FJ161 + $D221 * ((FJ160 - ($D215 + $D219)*FJ161 + $D219*FJ162 - FJ163) /$D213)</f>
        <v>-24.658605457797822</v>
      </c>
      <c r="FL161">
        <f>FK161 + $D221 * ((FK160 - ($D215 + $D219)*FK161 + $D219*FK162 - FK163) /$D213)</f>
        <v>-24.936563941005499</v>
      </c>
      <c r="FM161">
        <f>FL161 + $D221 * ((FL160 - ($D215 + $D219)*FL161 + $D219*FL162 - FL163) /$D213)</f>
        <v>-25.189353412259383</v>
      </c>
      <c r="FN161">
        <f>FM161 + $D221 * ((FM160 - ($D215 + $D219)*FM161 + $D219*FM162 - FM163) /$D213)</f>
        <v>-25.417259568299972</v>
      </c>
      <c r="FO161">
        <f>FN161 + $D221 * ((FN160 - ($D215 + $D219)*FN161 + $D219*FN162 - FN163) /$D213)</f>
        <v>-25.620576605688566</v>
      </c>
      <c r="FP161">
        <f>FO161 + $D221 * ((FO160 - ($D215 + $D219)*FO161 + $D219*FO162 - FO163) /$D213)</f>
        <v>-25.799606923082948</v>
      </c>
      <c r="FQ161">
        <f>FP161 + $D221 * ((FP160 - ($D215 + $D219)*FP161 + $D219*FP162 - FP163) /$D213)</f>
        <v>-25.95466082409099</v>
      </c>
      <c r="FR161">
        <f>FQ161 + $D221 * ((FQ160 - ($D215 + $D219)*FQ161 + $D219*FQ162 - FQ163) /$D213)</f>
        <v>-26.086056220850711</v>
      </c>
      <c r="FS161">
        <f>FR161 + $D221 * ((FR160 - ($D215 + $D219)*FR161 + $D219*FR162 - FR163) /$D213)</f>
        <v>-26.194118338482532</v>
      </c>
      <c r="FT161">
        <f>FS161 + $D221 * ((FS160 - ($D215 + $D219)*FS161 + $D219*FS162 - FS163) /$D213)</f>
        <v>-26.27917942055652</v>
      </c>
      <c r="FU161">
        <f>FT161 + $D221 * ((FT160 - ($D215 + $D219)*FT161 + $D219*FT162 - FT163) /$D213)</f>
        <v>-26.34157843571457</v>
      </c>
      <c r="FV161">
        <f>FU161 + $D221 * ((FU160 - ($D215 + $D219)*FU161 + $D219*FU162 - FU163) /$D213)</f>
        <v>-26.381660785584476</v>
      </c>
      <c r="FW161">
        <f>FV161 + $D221 * ((FV160 - ($D215 + $D219)*FV161 + $D219*FV162 - FV163) /$D213)</f>
        <v>-26.399778014119914</v>
      </c>
      <c r="FX161">
        <f>FW161 + $D221 * ((FW160 - ($D215 + $D219)*FW161 + $D219*FW162 - FW163) /$D213)</f>
        <v>-26.39628751849737</v>
      </c>
      <c r="FY161">
        <f>FX161 + $D221 * ((FX160 - ($D215 + $D219)*FX161 + $D219*FX162 - FX163) /$D213)</f>
        <v>-26.371552261698039</v>
      </c>
      <c r="FZ161">
        <f>FY161 + $D221 * ((FY160 - ($D215 + $D219)*FY161 + $D219*FY162 - FY163) /$D213)</f>
        <v>-26.32594048689969</v>
      </c>
      <c r="GA161">
        <f>FZ161 + $D221 * ((FZ160 - ($D215 + $D219)*FZ161 + $D219*FZ162 - FZ163) /$D213)</f>
        <v>-26.259825433800479</v>
      </c>
      <c r="GB161">
        <f>GA161 + $D221 * ((GA160 - ($D215 + $D219)*GA161 + $D219*GA162 - GA163) /$D213)</f>
        <v>-26.173585056993591</v>
      </c>
      <c r="GC161">
        <f>GB161 + $D221 * ((GB160 - ($D215 + $D219)*GB161 + $D219*GB162 - GB163) /$D213)</f>
        <v>-26.067601746508593</v>
      </c>
      <c r="GD161">
        <f>GC161 + $D221 * ((GC160 - ($D215 + $D219)*GC161 + $D219*GC162 - GC163) /$D213)</f>
        <v>-25.942262050632234</v>
      </c>
      <c r="GE161">
        <f>GD161 + $D221 * ((GD160 - ($D215 + $D219)*GD161 + $D219*GD162 - GD163) /$D213)</f>
        <v>-25.797956401118402</v>
      </c>
      <c r="GF161">
        <f>GE161 + $D221 * ((GE160 - ($D215 + $D219)*GE161 + $D219*GE162 - GE163) /$D213)</f>
        <v>-25.635078840893794</v>
      </c>
      <c r="GG161">
        <f>GF161 + $D221 * ((GF160 - ($D215 + $D219)*GF161 + $D219*GF162 - GF163) /$D213)</f>
        <v>-25.454026754362825</v>
      </c>
      <c r="GH161">
        <f>GG161 + $D221 * ((GG160 - ($D215 + $D219)*GG161 + $D219*GG162 - GG163) /$D213)</f>
        <v>-25.255200600412152</v>
      </c>
      <c r="GI161">
        <f>GH161 + $D221 * ((GH160 - ($D215 + $D219)*GH161 + $D219*GH162 - GH163) /$D213)</f>
        <v>-25.039003648212073</v>
      </c>
      <c r="GJ161">
        <f>GI161 + $D221 * ((GI160 - ($D215 + $D219)*GI161 + $D219*GI162 - GI163) /$D213)</f>
        <v>-24.80584171590904</v>
      </c>
      <c r="GK161">
        <f>GJ161 + $D221 * ((GJ160 - ($D215 + $D219)*GJ161 + $D219*GJ162 - GJ163) /$D213)</f>
        <v>-24.5561229123003</v>
      </c>
      <c r="GL161">
        <f>GK161 + $D221 * ((GK160 - ($D215 + $D219)*GK161 + $D219*GK162 - GK163) /$D213)</f>
        <v>-24.290257381578691</v>
      </c>
      <c r="GM161">
        <f>GL161 + $D221 * ((GL160 - ($D215 + $D219)*GL161 + $D219*GL162 - GL163) /$D213)</f>
        <v>-24.008657051232458</v>
      </c>
      <c r="GN161">
        <f>GM161 + $D221 * ((GM160 - ($D215 + $D219)*GM161 + $D219*GM162 - GM163) /$D213)</f>
        <v>-23.711735383181885</v>
      </c>
      <c r="GO161">
        <f>GN161 + $D221 * ((GN160 - ($D215 + $D219)*GN161 + $D219*GN162 - GN163) /$D213)</f>
        <v>-23.399907128231455</v>
      </c>
      <c r="GP161">
        <f>GO161 + $D221 * ((GO160 - ($D215 + $D219)*GO161 + $D219*GO162 - GO163) /$D213)</f>
        <v>-23.07358808391319</v>
      </c>
      <c r="GQ161">
        <f>GP161 + $D221 * ((GP160 - ($D215 + $D219)*GP161 + $D219*GP162 - GP163) /$D213)</f>
        <v>-22.733194855793752</v>
      </c>
    </row>
    <row r="162" spans="1:199" x14ac:dyDescent="0.25">
      <c r="A162" s="66"/>
      <c r="C162" t="s">
        <v>159</v>
      </c>
      <c r="D162" s="18">
        <f>D160-(D161*2)</f>
        <v>66</v>
      </c>
      <c r="E162" t="s">
        <v>121</v>
      </c>
      <c r="Q162" s="1">
        <f>K225 + $D221 * (($D219*(K224 - K225) + K226) /$D214)</f>
        <v>3.1030447452574807E-2</v>
      </c>
      <c r="R162" s="1">
        <f>Q162 + $D221 * (($D219*(Q161 - Q162) + Q163) /$D214)</f>
        <v>4.3696667532667668E-2</v>
      </c>
      <c r="S162" s="1">
        <f>R162 + $D221 * (($D219*(R161 - R162) + R163) /$D214)</f>
        <v>5.8592750320838376E-2</v>
      </c>
      <c r="T162" s="1">
        <f>S162 + $D221 * (($D219*(S161 - S162) + S163) /$D214)</f>
        <v>7.5748004423711893E-2</v>
      </c>
      <c r="U162" s="1">
        <f>T162 + $D221 * (($D219*(T161 - T162) + T163) /$D214)</f>
        <v>9.5190025580298626E-2</v>
      </c>
      <c r="V162" s="1">
        <f>U162 + $D221 * (($D219*(U161 - U162) + U163) /$D214)</f>
        <v>0.11694471042275532</v>
      </c>
      <c r="W162" s="1">
        <f>V162 + $D221 * (($D219*(V161 - V162) + V163) /$D214)</f>
        <v>0.14103627091302123</v>
      </c>
      <c r="X162" s="1">
        <f>W162 + $D221 * (($D219*(W161 - W162) + W163) /$D214)</f>
        <v>0.16748724943642268</v>
      </c>
      <c r="Y162" s="1">
        <f>X162 + $D221 * (($D219*(X161 - X162) + X163) /$D214)</f>
        <v>0.19631853453330406</v>
      </c>
      <c r="Z162" s="1">
        <f>Y162 + $D221 * (($D219*(Y161 - Y162) + Y163) /$D214)</f>
        <v>0.22754937724971738</v>
      </c>
      <c r="AA162" s="1">
        <f>Z162 + $D221 * (($D219*(Z161 - Z162) + Z163) /$D214)</f>
        <v>0.26119740808818881</v>
      </c>
      <c r="AB162" s="1">
        <f>AA162 + $D221 * (($D219*(AA161 - AA162) + AA163) /$D214)</f>
        <v>0.29727865453957558</v>
      </c>
      <c r="AC162" s="1">
        <f>AB162 + $D221 * (($D219*(AB161 - AB162) + AB163) /$D214)</f>
        <v>0.33580755917703342</v>
      </c>
      <c r="AD162" s="1">
        <f>AC162 + $D221 * (($D219*(AC161 - AC162) + AC163) /$D214)</f>
        <v>0.37679699829312996</v>
      </c>
      <c r="AE162" s="1">
        <f>AD162 + $D221 * (($D219*(AD161 - AD162) + AD163) /$D214)</f>
        <v>0.42025830106116574</v>
      </c>
      <c r="AF162" s="1">
        <f>AE162 + $D221 * (($D219*(AE161 - AE162) + AE163) /$D214)</f>
        <v>0.46620126920179988</v>
      </c>
      <c r="AG162" s="1">
        <f>AF162 + $D221 * (($D219*(AF161 - AF162) + AF163) /$D214)</f>
        <v>0.51463419713612224</v>
      </c>
      <c r="AH162" s="1">
        <f>AG162 + $D221 * (($D219*(AG161 - AG162) + AG163) /$D214)</f>
        <v>0.56556389260636786</v>
      </c>
      <c r="AI162" s="1">
        <f>AH162 + $D221 * (($D219*(AH161 - AH162) + AH163) /$D214)</f>
        <v>0.61899569774553409</v>
      </c>
      <c r="AJ162" s="1">
        <f>AI162 + $D221 * (($D219*(AI161 - AI162) + AI163) /$D214)</f>
        <v>0.67493351057723061</v>
      </c>
      <c r="AK162" s="1">
        <f>AJ162 + $D221 * (($D219*(AJ161 - AJ162) + AJ163) /$D214)</f>
        <v>0.73337980692717641</v>
      </c>
      <c r="AL162" s="1">
        <f>AK162 + $D221 * (($D219*(AK161 - AK162) + AK163) /$D214)</f>
        <v>0.79433566272784506</v>
      </c>
      <c r="AM162" s="1">
        <f>AL162 + $D221 * (($D219*(AL161 - AL162) + AL163) /$D214)</f>
        <v>0.85780077669785859</v>
      </c>
      <c r="AN162" s="1">
        <f>AM162 + $D221 * (($D219*(AM161 - AM162) + AM163) /$D214)</f>
        <v>0.92377349337783643</v>
      </c>
      <c r="AO162" s="1">
        <f>AN162 + $D221 * (($D219*(AN161 - AN162) + AN163) /$D214)</f>
        <v>0.99225082650451879</v>
      </c>
      <c r="AP162" s="1">
        <f>AO162 + $D221 * (($D219*(AO161 - AO162) + AO163) /$D214)</f>
        <v>1.0632284827051073</v>
      </c>
      <c r="AQ162" s="1">
        <f>AP162 + $D221 * (($D219*(AP161 - AP162) + AP163) /$D214)</f>
        <v>1.1367008854938938</v>
      </c>
      <c r="AR162" s="1">
        <f>AQ162 + $D221 * (($D219*(AQ161 - AQ162) + AQ163) /$D214)</f>
        <v>1.2126611995533858</v>
      </c>
      <c r="AS162" s="1">
        <f>AR162 + $D221 * (($D219*(AR161 - AR162) + AR163) /$D214)</f>
        <v>1.2911013552822805</v>
      </c>
      <c r="AT162" s="1">
        <f>AS162 + $D221 * (($D219*(AS161 - AS162) + AS163) /$D214)</f>
        <v>1.3720120735927908</v>
      </c>
      <c r="AU162" s="1">
        <f>AT162 + $D221 * (($D219*(AT161 - AT162) + AT163) /$D214)</f>
        <v>1.4553828909399833</v>
      </c>
      <c r="AV162" s="1">
        <f>AU162 + $D221 * (($D219*(AU161 - AU162) + AU163) /$D214)</f>
        <v>1.5412021845659567</v>
      </c>
      <c r="AW162" s="1">
        <f>AV162 + $D221 * (($D219*(AV161 - AV162) + AV163) /$D214)</f>
        <v>1.629457197941852</v>
      </c>
      <c r="AX162" s="1">
        <f>AW162 + $D221 * (($D219*(AW161 - AW162) + AW163) /$D214)</f>
        <v>1.7201340663908724</v>
      </c>
      <c r="AY162" s="1">
        <f>AX162 + $D221 * (($D219*(AX161 - AX162) + AX163) /$D214)</f>
        <v>1.8132178428756669</v>
      </c>
      <c r="AZ162" s="1">
        <f>AY162 + $D221 * (($D219*(AY161 - AY162) + AY163) /$D214)</f>
        <v>1.9086925239336223</v>
      </c>
      <c r="BA162" s="1">
        <f>AZ162 + $D221 * (($D219*(AZ161 - AZ162) + AZ163) /$D214)</f>
        <v>2.0065410757438058</v>
      </c>
      <c r="BB162" s="1">
        <f>BA162 + $D221 * (($D219*(BA161 - BA162) + BA163) /$D214)</f>
        <v>2.1067454603094942</v>
      </c>
      <c r="BC162" s="1">
        <f>BB162 + $D221 * (($D219*(BB161 - BB162) + BB163) /$D214)</f>
        <v>2.209286661740439</v>
      </c>
      <c r="BD162" s="1">
        <f>BC162 + $D221 * (($D219*(BC161 - BC162) + BC163) /$D214)</f>
        <v>2.3141447126192167</v>
      </c>
      <c r="BE162" s="1">
        <f>BD162 + $D221 * (($D219*(BD161 - BD162) + BD163) /$D214)</f>
        <v>2.4212987204362415</v>
      </c>
      <c r="BF162" s="1">
        <f>BE162 + $D221 * (($D219*(BE161 - BE162) + BE163) /$D214)</f>
        <v>2.5307268940782213</v>
      </c>
      <c r="BG162" s="1">
        <f>BF162 + $D221 * (($D219*(BF161 - BF162) + BF163) /$D214)</f>
        <v>2.6424065703550794</v>
      </c>
      <c r="BH162" s="1">
        <f>BG162 + $D221 * (($D219*(BG161 - BG162) + BG163) /$D214)</f>
        <v>2.7563142405505778</v>
      </c>
      <c r="BI162" s="1">
        <f>BH162 + $D221 * (($D219*(BH161 - BH162) + BH163) /$D214)</f>
        <v>2.8724255769821201</v>
      </c>
      <c r="BJ162" s="1">
        <f>BI162 + $D221 * (($D219*(BI161 - BI162) + BI163) /$D214)</f>
        <v>2.9907154595554419</v>
      </c>
      <c r="BK162" s="1">
        <f>BJ162 + $D221 * (($D219*(BJ161 - BJ162) + BJ163) /$D214)</f>
        <v>3.1111580023001446</v>
      </c>
      <c r="BL162" s="1">
        <f>BK162 + $D221 * (($D219*(BK161 - BK162) + BK163) /$D214)</f>
        <v>3.233726579872259</v>
      </c>
      <c r="BM162" s="1">
        <f>BL162 + $D221 * (($D219*(BL161 - BL162) + BL163) /$D214)</f>
        <v>3.3583938540102887</v>
      </c>
      <c r="BN162" s="1">
        <f>BM162 + $D221 * (($D219*(BM161 - BM162) + BM163) /$D214)</f>
        <v>3.4851317999314184</v>
      </c>
      <c r="BO162" s="1">
        <f>BN162 + $D221 * (($D219*(BN161 - BN162) + BN163) /$D214)</f>
        <v>3.6139117326548309</v>
      </c>
      <c r="BP162" s="1">
        <f>BO162 + $D221 * (($D219*(BO161 - BO162) + BO163) /$D214)</f>
        <v>3.7447043332393362</v>
      </c>
      <c r="BQ162" s="1">
        <f>BP162 + $D221 * (($D219*(BP161 - BP162) + BP163) /$D214)</f>
        <v>3.877479674922768</v>
      </c>
      <c r="BR162" s="1">
        <f>BQ162 + $D221 * (($D219*(BQ161 - BQ162) + BQ163) /$D214)</f>
        <v>4.0122072491508627</v>
      </c>
      <c r="BS162" s="1">
        <f>BR162 + $D221 * (($D219*(BR161 - BR162) + BR163) /$D214)</f>
        <v>4.1488559914836101</v>
      </c>
      <c r="BT162" s="1">
        <f>BS162 + $D221 * (($D219*(BS161 - BS162) + BS163) /$D214)</f>
        <v>4.2873943073673084</v>
      </c>
      <c r="BU162" s="1">
        <f>BT162 + $D221 * (($D219*(BT161 - BT162) + BT163) /$D214)</f>
        <v>4.4277900977608526</v>
      </c>
      <c r="BV162" s="1">
        <f>BU162 + $D221 * (($D219*(BU161 - BU162) + BU163) /$D214)</f>
        <v>4.57001078460502</v>
      </c>
      <c r="BW162" s="1">
        <f>BV162 + $D221 * (($D219*(BV161 - BV162) + BV163) /$D214)</f>
        <v>4.7140233361238169</v>
      </c>
      <c r="BX162" s="1">
        <f>BW162 + $D221 * (($D219*(BW161 - BW162) + BW163) /$D214)</f>
        <v>4.8597942919471988</v>
      </c>
      <c r="BY162" s="1">
        <f>BX162 + $D221 * (($D219*(BX161 - BX162) + BX163) /$D214)</f>
        <v>5.0072897880447647</v>
      </c>
      <c r="BZ162" s="1">
        <f>BY162 + $D221 * (($D219*(BY161 - BY162) + BY163) /$D214)</f>
        <v>5.1564755814602874</v>
      </c>
      <c r="CA162" s="1">
        <f>BZ162 + $D221 * (($D219*(BZ161 - BZ162) + BZ163) /$D214)</f>
        <v>5.3073170748372283</v>
      </c>
      <c r="CB162" s="1">
        <f>CA162 + $D221 * (($D219*(CA161 - CA162) + CA163) /$D214)</f>
        <v>5.4597793407256452</v>
      </c>
      <c r="CC162" s="1">
        <f>CB162 + $D221 * (($D219*(CB161 - CB162) + CB163) /$D214)</f>
        <v>5.6138271456611912</v>
      </c>
      <c r="CD162" s="1">
        <f>CC162 + $D221 * (($D219*(CC161 - CC162) + CC163) /$D214)</f>
        <v>5.7694249740071744</v>
      </c>
      <c r="CE162" s="1">
        <f>CD162 + $D221 * (($D219*(CD161 - CD162) + CD163) /$D214)</f>
        <v>5.9265370515509126</v>
      </c>
      <c r="CF162" s="1">
        <f>CE162 + $D221 * (($D219*(CE161 - CE162) + CE163) /$D214)</f>
        <v>6.0851273688459173</v>
      </c>
      <c r="CG162" s="1">
        <f>CF162 + $D221 * (($D219*(CF161 - CF162) + CF163) /$D214)</f>
        <v>6.2451597042916891</v>
      </c>
      <c r="CH162" s="1">
        <f>CG162 + $D221 * (($D219*(CG161 - CG162) + CG163) /$D214)</f>
        <v>6.406597646943208</v>
      </c>
      <c r="CI162" s="1">
        <f>CH162 + $D221 * (($D219*(CH161 - CH162) + CH163) /$D214)</f>
        <v>6.5694046190424613</v>
      </c>
      <c r="CJ162" s="1">
        <f>CI162 + $D221 * (($D219*(CI161 - CI162) + CI163) /$D214)</f>
        <v>6.7335438982646316</v>
      </c>
      <c r="CK162" s="1">
        <f>CJ162 + $D221 * (($D219*(CJ161 - CJ162) + CJ163) /$D214)</f>
        <v>6.8989786396718422</v>
      </c>
      <c r="CL162" s="1">
        <f>CK162 + $D221 * (($D219*(CK161 - CK162) + CK163) /$D214)</f>
        <v>7.0656718973676345</v>
      </c>
      <c r="CM162" s="1">
        <f>CL162 + $D221 * (($D219*(CL161 - CL162) + CL163) /$D214)</f>
        <v>7.2335866458456133</v>
      </c>
      <c r="CN162" s="1">
        <f>CM162 + $D221 * (($D219*(CM161 - CM162) + CM163) /$D214)</f>
        <v>7.4026858010259842</v>
      </c>
      <c r="CO162" s="1">
        <f>CN162 + $D221 * (($D219*(CN161 - CN162) + CN163) /$D214)</f>
        <v>7.5729322409739597</v>
      </c>
      <c r="CP162" s="1">
        <f>CO162 + $D221 * (($D219*(CO161 - CO162) + CO163) /$D214)</f>
        <v>7.744288826294297</v>
      </c>
      <c r="CQ162" s="1">
        <f>CP162 + $D221 * (($D219*(CP161 - CP162) + CP163) /$D214)</f>
        <v>7.9167184201964815</v>
      </c>
      <c r="CR162" s="1">
        <f>CQ162 + $D221 * (($D219*(CQ161 - CQ162) + CQ163) /$D214)</f>
        <v>8.0901839082253542</v>
      </c>
      <c r="CS162" s="1">
        <f>CR162 + $D221 * (($D219*(CR161 - CR162) + CR163) /$D214)</f>
        <v>8.2646482176522245</v>
      </c>
      <c r="CT162" s="1">
        <f>CS162 + $D221 * (($D219*(CS161 - CS162) + CS163) /$D214)</f>
        <v>8.4400743365218034</v>
      </c>
      <c r="CU162" s="1">
        <f>CT162 + $D221 * (($D219*(CT161 - CT162) + CT163) /$D214)</f>
        <v>8.6164253323505058</v>
      </c>
      <c r="CV162" s="1">
        <f>CU162 + $D221 * (($D219*(CU161 - CU162) + CU163) /$D214)</f>
        <v>8.7936643704719906</v>
      </c>
      <c r="CW162" s="1">
        <f>CV162 + $D221 * (($D219*(CV161 - CV162) + CV163) /$D214)</f>
        <v>8.9717547320260067</v>
      </c>
      <c r="CX162" s="1">
        <f>CW162 + $D221 * (($D219*(CW161 - CW162) + CW163) /$D214)</f>
        <v>9.1506598315869052</v>
      </c>
      <c r="CY162" s="1">
        <f>CX162 + $D221 * (($D219*(CX161 - CX162) + CX163) /$D214)</f>
        <v>9.3303432344284136</v>
      </c>
      <c r="CZ162" s="1">
        <f>CY162 + $D221 * (($D219*(CY161 - CY162) + CY163) /$D214)</f>
        <v>9.5107686734215218</v>
      </c>
      <c r="DA162" s="1">
        <f>CZ162 + $D221 * (($D219*(CZ161 - CZ162) + CZ163) /$D214)</f>
        <v>9.6919000655625833</v>
      </c>
      <c r="DB162" s="1">
        <f>DA162 + $D221 * (($D219*(DA161 - DA162) + DA163) /$D214)</f>
        <v>9.8737015281289668</v>
      </c>
      <c r="DC162" s="1">
        <f>DB162 + $D221 * (($D219*(DB161 - DB162) + DB163) /$D214)</f>
        <v>10.056137394459851</v>
      </c>
      <c r="DD162" s="1">
        <f>DC162 + $D221 * (($D219*(DC161 - DC162) + DC163) /$D214)</f>
        <v>10.23917222935998</v>
      </c>
      <c r="DE162" s="1">
        <f>DD162 + $D221 * (($D219*(DD161 - DD162) + DD163) /$D214)</f>
        <v>10.422770844124445</v>
      </c>
      <c r="DF162" s="1">
        <f>DE162 + $D221 * (($D219*(DE161 - DE162) + DE163) /$D214)</f>
        <v>10.606898311182793</v>
      </c>
      <c r="DG162" s="1">
        <f>DF162 + $D221 * (($D219*(DF161 - DF162) + DF163) /$D214)</f>
        <v>10.791519978360974</v>
      </c>
      <c r="DH162" s="1">
        <f>DG162 + $D221 * (($D219*(DG161 - DG162) + DG163) /$D214)</f>
        <v>10.976601482759902</v>
      </c>
      <c r="DI162" s="1">
        <f>DH162 + $D221 * (($D219*(DH161 - DH162) + DH163) /$D214)</f>
        <v>11.162108764249584</v>
      </c>
      <c r="DJ162" s="1">
        <f>DI162 + $D221 * (($D219*(DI161 - DI162) + DI163) /$D214)</f>
        <v>11.345990718432665</v>
      </c>
      <c r="DK162" s="1">
        <f>DJ162 + $D221 * (($D219*(DJ161 - DJ162) + DJ163) /$D214)</f>
        <v>11.528174095087191</v>
      </c>
      <c r="DL162" s="1">
        <f>DK162 + $D221 * (($D219*(DK161 - DK162) + DK163) /$D214)</f>
        <v>11.708587765116601</v>
      </c>
      <c r="DM162" s="1">
        <f>DL162 + $D221 * (($D219*(DL161 - DL162) + DL163) /$D214)</f>
        <v>11.887162723188494</v>
      </c>
      <c r="DN162" s="1">
        <f>DM162 + $D221 * (($D219*(DM161 - DM162) + DM163) /$D214)</f>
        <v>12.063832089199206</v>
      </c>
      <c r="DO162" s="1">
        <f>DN162 + $D221 * (($D219*(DN161 - DN162) + DN163) /$D214)</f>
        <v>12.238531108582874</v>
      </c>
      <c r="DP162" s="1">
        <f>DO162 + $D221 * (($D219*(DO161 - DO162) + DO163) /$D214)</f>
        <v>12.411197151484039</v>
      </c>
      <c r="DQ162" s="1">
        <f>DP162 + $D221 * (($D219*(DP161 - DP162) + DP163) /$D214)</f>
        <v>12.581769710813084</v>
      </c>
      <c r="DR162" s="1">
        <f>DQ162 + $D221 * (($D219*(DQ161 - DQ162) + DQ163) /$D214)</f>
        <v>12.750190399204094</v>
      </c>
      <c r="DS162" s="1">
        <f>DR162 + $D221 * (($D219*(DR161 - DR162) + DR163) /$D214)</f>
        <v>12.916402944894982</v>
      </c>
      <c r="DT162" s="1">
        <f>DS162 + $D221 * (($D219*(DS161 - DS162) + DS163) /$D214)</f>
        <v>13.080353186549976</v>
      </c>
      <c r="DU162" s="1">
        <f>DT162 + $D221 * (($D219*(DT161 - DT162) + DT163) /$D214)</f>
        <v>13.241989067044777</v>
      </c>
      <c r="DV162" s="1">
        <f>DU162 + $D221 * (($D219*(DU161 - DU162) + DU163) /$D214)</f>
        <v>13.401260626234915</v>
      </c>
      <c r="DW162" s="1">
        <f>DV162 + $D221 * (($D219*(DV161 - DV162) + DV163) /$D214)</f>
        <v>13.55811999272805</v>
      </c>
      <c r="DX162" s="1">
        <f>DW162 + $D221 * (($D219*(DW161 - DW162) + DW163) /$D214)</f>
        <v>13.712521374681131</v>
      </c>
      <c r="DY162" s="1">
        <f>DX162 + $D221 * (($D219*(DX161 - DX162) + DX163) /$D214)</f>
        <v>13.864421049643489</v>
      </c>
      <c r="DZ162" s="1">
        <f>DY162 + $D221 * (($D219*(DY161 - DY162) + DY163) /$D214)</f>
        <v>14.013777353467137</v>
      </c>
      <c r="EA162" s="1">
        <f>DZ162 + $D221 * (($D219*(DZ161 - DZ162) + DZ163) /$D214)</f>
        <v>14.160550668305648</v>
      </c>
      <c r="EB162" s="1">
        <f>EA162 + $D221 * (($D219*(EA161 - EA162) + EA163) /$D214)</f>
        <v>14.304703409723139</v>
      </c>
      <c r="EC162" s="1">
        <f>EB162 + $D221 * (($D219*(EB161 - EB162) + EB163) /$D214)</f>
        <v>14.446200012935003</v>
      </c>
      <c r="ED162" s="1">
        <f>EC162 + $D221 * (($D219*(EC161 - EC162) + EC163) /$D214)</f>
        <v>14.585006918202122</v>
      </c>
      <c r="EE162" s="1">
        <f>ED162 + $D221 * (($D219*(ED161 - ED162) + ED163) /$D214)</f>
        <v>14.721092555400395</v>
      </c>
      <c r="EF162" s="1">
        <f>EE162 + $D221 * (($D219*(EE161 - EE162) + EE163) /$D214)</f>
        <v>14.854427327787489</v>
      </c>
      <c r="EG162" s="1">
        <f>EF162 + $D221 * (($D219*(EF161 - EF162) + EF163) /$D214)</f>
        <v>14.98498359498878</v>
      </c>
      <c r="EH162" s="1">
        <f>EG162 + $D221 * (($D219*(EG161 - EG162) + EG163) /$D214)</f>
        <v>15.112735655224505</v>
      </c>
      <c r="EI162" s="1">
        <f>EH162 + $D221 * (($D219*(EH161 - EH162) + EH163) /$D214)</f>
        <v>15.237659726800183</v>
      </c>
      <c r="EJ162" s="1">
        <f>EI162 + $D221 * (($D219*(EI161 - EI162) + EI163) /$D214)</f>
        <v>15.359733928882401</v>
      </c>
      <c r="EK162" s="1">
        <f>EJ162 + $D221 * (($D219*(EJ161 - EJ162) + EJ163) /$D214)</f>
        <v>15.478938261582041</v>
      </c>
      <c r="EL162" s="1">
        <f>EK162 + $D221 * (($D219*(EK161 - EK162) + EK163) /$D214)</f>
        <v>15.595254585367076</v>
      </c>
      <c r="EM162" s="1">
        <f>EL162 + $D221 * (($D219*(EL161 - EL162) + EL163) /$D214)</f>
        <v>15.708666599827</v>
      </c>
      <c r="EN162" s="1">
        <f>EM162 + $D221 * (($D219*(EM161 - EM162) + EM163) /$D214)</f>
        <v>15.819159821810976</v>
      </c>
      <c r="EO162" s="1">
        <f>EN162 + $D221 * (($D219*(EN161 - EN162) + EN163) /$D214)</f>
        <v>15.926721562961731</v>
      </c>
      <c r="EP162" s="1">
        <f>EO162 + $D221 * (($D219*(EO161 - EO162) + EO163) /$D214)</f>
        <v>16.0313409066672</v>
      </c>
      <c r="EQ162" s="1">
        <f>EP162 + $D221 * (($D219*(EP161 - EP162) + EP163) /$D214)</f>
        <v>16.133008684451827</v>
      </c>
      <c r="ER162" s="1">
        <f>EQ162 + $D221 * (($D219*(EQ161 - EQ162) + EQ163) /$D214)</f>
        <v>16.231717451829429</v>
      </c>
      <c r="ES162" s="1">
        <f>ER162 + $D221 * (($D219*(ER161 - ER162) + ER163) /$D214)</f>
        <v>16.327461463639398</v>
      </c>
      <c r="ET162" s="1">
        <f>ES162 + $D221 * (($D219*(ES161 - ES162) + ES163) /$D214)</f>
        <v>16.420236648887936</v>
      </c>
      <c r="EU162" s="1">
        <f>ET162 + $D221 * (($D219*(ET161 - ET162) + ET163) /$D214)</f>
        <v>16.510040585115952</v>
      </c>
      <c r="EV162" s="1">
        <f>EU162 + $D221 * (($D219*(EU161 - EU162) + EU163) /$D214)</f>
        <v>16.596872472315127</v>
      </c>
      <c r="EW162" s="1">
        <f>EV162 + $D221 * (($D219*(EV161 - EV162) + EV163) /$D214)</f>
        <v>16.680733106413502</v>
      </c>
      <c r="EX162" s="1">
        <f>EW162 + $D221 * (($D219*(EW161 - EW162) + EW163) /$D214)</f>
        <v>16.761624852351886</v>
      </c>
      <c r="EY162" s="1">
        <f>EX162 + $D221 * (($D219*(EX161 - EX162) + EX163) /$D214)</f>
        <v>16.839551616772187</v>
      </c>
      <c r="EZ162" s="1">
        <f>EY162 + $D221 * (($D219*(EY161 - EY162) + EY163) /$D214)</f>
        <v>16.914518820338657</v>
      </c>
      <c r="FA162" s="1">
        <f>EZ162 + $D221 * (($D219*(EZ161 - EZ162) + EZ163) /$D214)</f>
        <v>16.986533369712863</v>
      </c>
      <c r="FB162" s="1">
        <f>FA162 + $D221 * (($D219*(FA161 - FA162) + FA163) /$D214)</f>
        <v>17.05560362920307</v>
      </c>
      <c r="FC162" s="1">
        <f>FB162 + $D221 * (($D219*(FB161 - FB162) + FB163) /$D214)</f>
        <v>17.121739392108527</v>
      </c>
      <c r="FD162" s="1">
        <f>FC162 + $D221 * (($D219*(FC161 - FC162) + FC163) /$D214)</f>
        <v>17.184951851778958</v>
      </c>
      <c r="FE162" s="1">
        <f>FD162 + $D221 * (($D219*(FD161 - FD162) + FD163) /$D214)</f>
        <v>17.245253572409418</v>
      </c>
      <c r="FF162" s="1">
        <f>FE162 + $D221 * (($D219*(FE161 - FE162) + FE163) /$D214)</f>
        <v>17.302658459590422</v>
      </c>
      <c r="FG162" s="1">
        <f>FF162 + $D221 * (($D219*(FF161 - FF162) + FF163) /$D214)</f>
        <v>17.357181730633119</v>
      </c>
      <c r="FH162" s="1">
        <f>FG162 + $D221 * (($D219*(FG161 - FG162) + FG163) /$D214)</f>
        <v>17.408839884689016</v>
      </c>
      <c r="FI162" s="1">
        <f>FH162 + $D221 * (($D219*(FH161 - FH162) + FH163) /$D214)</f>
        <v>17.457650672683574</v>
      </c>
      <c r="FJ162" s="1">
        <f>FI162 + $D221 * (($D219*(FI161 - FI162) + FI163) /$D214)</f>
        <v>17.50363306708277</v>
      </c>
      <c r="FK162" s="1">
        <f>FJ162 + $D221 * (($D219*(FJ161 - FJ162) + FJ163) /$D214)</f>
        <v>17.546807231511501</v>
      </c>
      <c r="FL162" s="1">
        <f>FK162 + $D221 * (($D219*(FK161 - FK162) + FK163) /$D214)</f>
        <v>17.587194490242439</v>
      </c>
      <c r="FM162" s="1">
        <f>FL162 + $D221 * (($D219*(FL161 - FL162) + FL163) /$D214)</f>
        <v>17.624817297573752</v>
      </c>
      <c r="FN162" s="1">
        <f>FM162 + $D221 * (($D219*(FM161 - FM162) + FM163) /$D214)</f>
        <v>17.659699207113817</v>
      </c>
      <c r="FO162" s="1">
        <f>FN162 + $D221 * (($D219*(FN161 - FN162) + FN163) /$D214)</f>
        <v>17.691864840990831</v>
      </c>
      <c r="FP162" s="1">
        <f>FO162 + $D221 * (($D219*(FO161 - FO162) + FO163) /$D214)</f>
        <v>17.721339859004942</v>
      </c>
      <c r="FQ162" s="1">
        <f>FP162 + $D221 * (($D219*(FP161 - FP162) + FP163) /$D214)</f>
        <v>17.748150927740287</v>
      </c>
      <c r="FR162" s="1">
        <f>FQ162 + $D221 * (($D219*(FQ161 - FQ162) + FQ163) /$D214)</f>
        <v>17.772325689654043</v>
      </c>
      <c r="FS162" s="1">
        <f>FR162 + $D221 * (($D219*(FR161 - FR162) + FR163) /$D214)</f>
        <v>17.793892732159296</v>
      </c>
      <c r="FT162" s="1">
        <f>FS162 + $D221 * (($D219*(FS161 - FS162) + FS163) /$D214)</f>
        <v>17.812881556718349</v>
      </c>
      <c r="FU162" s="1">
        <f>FT162 + $D221 * (($D219*(FT161 - FT162) + FT163) /$D214)</f>
        <v>17.829322547962665</v>
      </c>
      <c r="FV162" s="1">
        <f>FU162 + $D221 * (($D219*(FU161 - FU162) + FU163) /$D214)</f>
        <v>17.843246942855512</v>
      </c>
      <c r="FW162" s="1">
        <f>FV162 + $D221 * (($D219*(FV161 - FV162) + FV163) /$D214)</f>
        <v>17.854686799912969</v>
      </c>
      <c r="FX162" s="1">
        <f>FW162 + $D221 * (($D219*(FW161 - FW162) + FW163) /$D214)</f>
        <v>17.863674968498735</v>
      </c>
      <c r="FY162" s="1">
        <f>FX162 + $D221 * (($D219*(FX161 - FX162) + FX163) /$D214)</f>
        <v>17.870245058207828</v>
      </c>
      <c r="FZ162" s="1">
        <f>FY162 + $D221 * (($D219*(FY161 - FY162) + FY163) /$D214)</f>
        <v>17.87443140835402</v>
      </c>
      <c r="GA162" s="1">
        <f>FZ162 + $D221 * (($D219*(FZ161 - FZ162) + FZ163) /$D214)</f>
        <v>17.87626905757552</v>
      </c>
      <c r="GB162" s="1">
        <f>GA162 + $D221 * (($D219*(GA161 - GA162) + GA163) /$D214)</f>
        <v>17.875793713573103</v>
      </c>
      <c r="GC162" s="1">
        <f>GB162 + $D221 * (($D219*(GB161 - GB162) + GB163) /$D214)</f>
        <v>17.873041722994621</v>
      </c>
      <c r="GD162" s="1">
        <f>GC162 + $D221 * (($D219*(GC161 - GC162) + GC163) /$D214)</f>
        <v>17.868050041479485</v>
      </c>
      <c r="GE162" s="1">
        <f>GD162 + $D221 * (($D219*(GD161 - GD162) + GD163) /$D214)</f>
        <v>17.860856203876374</v>
      </c>
      <c r="GF162" s="1">
        <f>GE162 + $D221 * (($D219*(GE161 - GE162) + GE163) /$D214)</f>
        <v>17.851498294647197</v>
      </c>
      <c r="GG162" s="1">
        <f>GF162 + $D221 * (($D219*(GF161 - GF162) + GF163) /$D214)</f>
        <v>17.840014918469937</v>
      </c>
      <c r="GH162" s="1">
        <f>GG162 + $D221 * (($D219*(GG161 - GG162) + GG163) /$D214)</f>
        <v>17.826445171052733</v>
      </c>
      <c r="GI162" s="1">
        <f>GH162 + $D221 * (($D219*(GH161 - GH162) + GH163) /$D214)</f>
        <v>17.810828610171217</v>
      </c>
      <c r="GJ162" s="1">
        <f>GI162 + $D221 * (($D219*(GI161 - GI162) + GI163) /$D214)</f>
        <v>17.793205226940831</v>
      </c>
      <c r="GK162" s="1">
        <f>GJ162 + $D221 * (($D219*(GJ161 - GJ162) + GJ163) /$D214)</f>
        <v>17.773615417335481</v>
      </c>
      <c r="GL162" s="1">
        <f>GK162 + $D221 * (($D219*(GK161 - GK162) + GK163) /$D214)</f>
        <v>17.752099953963654</v>
      </c>
      <c r="GM162" s="1">
        <f>GL162 + $D221 * (($D219*(GL161 - GL162) + GL163) /$D214)</f>
        <v>17.728699958112678</v>
      </c>
      <c r="GN162" s="1">
        <f>GM162 + $D221 * (($D219*(GM161 - GM162) + GM163) /$D214)</f>
        <v>17.703456872071598</v>
      </c>
      <c r="GO162" s="1">
        <f>GN162 + $D221 * (($D219*(GN161 - GN162) + GN163) /$D214)</f>
        <v>17.676412431742772</v>
      </c>
      <c r="GP162" s="1">
        <f>GO162 + $D221 * (($D219*(GO161 - GO162) + GO163) /$D214)</f>
        <v>17.647608639551933</v>
      </c>
      <c r="GQ162" s="1">
        <f>GP162 + $D221 * (($D219*(GP161 - GP162) + GP163) /$D214)</f>
        <v>17.617087737666225</v>
      </c>
    </row>
    <row r="163" spans="1:199" x14ac:dyDescent="0.25">
      <c r="A163" s="66"/>
      <c r="C163" t="s">
        <v>160</v>
      </c>
      <c r="D163" s="18">
        <f>D162/D157</f>
        <v>66</v>
      </c>
      <c r="E163" t="s">
        <v>121</v>
      </c>
      <c r="Q163">
        <f>K226 + $D221 * ((K224 -K225) / $D220)</f>
        <v>0.30922217203722241</v>
      </c>
      <c r="R163">
        <f>Q163 + $D221 * ((Q161 -Q162) / $D220)</f>
        <v>0.43026602896773219</v>
      </c>
      <c r="S163">
        <f>R163 + $D221 * ((R161 -R162) / $D220)</f>
        <v>0.57014151626374443</v>
      </c>
      <c r="T163">
        <f>S163 + $D221 * ((S161 -S162) / $D220)</f>
        <v>0.72845475697555806</v>
      </c>
      <c r="U163">
        <f>T163 + $D221 * ((T161 -T162) / $D220)</f>
        <v>0.90480860274046604</v>
      </c>
      <c r="V163">
        <f>U163 + $D221 * ((U161 -U162) / $D220)</f>
        <v>1.0988028994887615</v>
      </c>
      <c r="W163">
        <f>V163 + $D221 * ((V161 -V162) / $D220)</f>
        <v>1.3100347503376506</v>
      </c>
      <c r="X163">
        <f>W163 + $D221 * ((W161 -W162) / $D220)</f>
        <v>1.5380987755798361</v>
      </c>
      <c r="Y163">
        <f>X163 + $D221 * ((X161 -X162) / $D220)</f>
        <v>1.7825873696766341</v>
      </c>
      <c r="Z163">
        <f>Y163 + $D221 * ((Y161 -Y162) / $D220)</f>
        <v>2.0430909551685716</v>
      </c>
      <c r="AA163">
        <f>Z163 + $D221 * ((Z161 -Z162) / $D220)</f>
        <v>2.3191982334195043</v>
      </c>
      <c r="AB163">
        <f>AA163 + $D221 * ((AA161 -AA162) / $D220)</f>
        <v>2.6104964321133695</v>
      </c>
      <c r="AC163">
        <f>AB163 + $D221 * ((AB161 -AB162) / $D220)</f>
        <v>2.9165715494257638</v>
      </c>
      <c r="AD163">
        <f>AC163 + $D221 * ((AC161 -AC162) / $D220)</f>
        <v>3.237008594795594</v>
      </c>
      <c r="AE163">
        <f>AD163 + $D221 * ((AD161 -AD162) / $D220)</f>
        <v>3.5713918262251028</v>
      </c>
      <c r="AF163">
        <f>AE163 + $D221 * ((AE161 -AE162) / $D220)</f>
        <v>3.9193049840396075</v>
      </c>
      <c r="AG163">
        <f>AF163 + $D221 * ((AF161 -AF162) / $D220)</f>
        <v>4.2803315210413162</v>
      </c>
      <c r="AH163">
        <f>AG163 + $D221 * ((AG161 -AG162) / $D220)</f>
        <v>4.6540548289945933</v>
      </c>
      <c r="AI163">
        <f>AH163 + $D221 * ((AH161 -AH162) / $D220)</f>
        <v>5.0400584613830413</v>
      </c>
      <c r="AJ163">
        <f>AI163 + $D221 * ((AI161 -AI162) / $D220)</f>
        <v>5.4379263523817345</v>
      </c>
      <c r="AK163">
        <f>AJ163 + $D221 * ((AJ161 -AJ162) / $D220)</f>
        <v>5.8472430319909057</v>
      </c>
      <c r="AL163">
        <f>AK163 + $D221 * ((AK161 -AK162) / $D220)</f>
        <v>6.2675938372803097</v>
      </c>
      <c r="AM163">
        <f>AL163 + $D221 * ((AL161 -AL162) / $D220)</f>
        <v>6.6985651196964113</v>
      </c>
      <c r="AN163">
        <f>AM163 + $D221 * ((AM161 -AM162) / $D220)</f>
        <v>7.1397444483874297</v>
      </c>
      <c r="AO163">
        <f>AN163 + $D221 * ((AN161 -AN162) / $D220)</f>
        <v>7.5907208095041359</v>
      </c>
      <c r="AP163">
        <f>AO163 + $D221 * ((AO161 -AO162) / $D220)</f>
        <v>8.051084801437149</v>
      </c>
      <c r="AQ163">
        <f>AP163 + $D221 * ((AP161 -AP162) / $D220)</f>
        <v>8.5204288259542853</v>
      </c>
      <c r="AR163">
        <f>AQ163 + $D221 * ((AQ161 -AQ162) / $D220)</f>
        <v>8.9983472752042939</v>
      </c>
      <c r="AS163">
        <f>AR163 + $D221 * ((AR161 -AR162) / $D220)</f>
        <v>9.4844367145561002</v>
      </c>
      <c r="AT163">
        <f>AS163 + $D221 * ((AS161 -AS162) / $D220)</f>
        <v>9.9782960612453611</v>
      </c>
      <c r="AU163">
        <f>AT163 + $D221 * ((AT161 -AT162) / $D220)</f>
        <v>10.479526758802894</v>
      </c>
      <c r="AV163">
        <f>AU163 + $D221 * ((AU161 -AU162) / $D220)</f>
        <v>10.987732947242149</v>
      </c>
      <c r="AW163">
        <f>AV163 + $D221 * ((AV161 -AV162) / $D220)</f>
        <v>11.502521628985582</v>
      </c>
      <c r="AX163">
        <f>AW163 + $D221 * ((AW161 -AW162) / $D220)</f>
        <v>12.023502830512346</v>
      </c>
      <c r="AY163">
        <f>AX163 + $D221 * ((AX161 -AX162) / $D220)</f>
        <v>12.550289759712328</v>
      </c>
      <c r="AZ163">
        <f>AY163 + $D221 * ((AY161 -AY162) / $D220)</f>
        <v>13.082498958934053</v>
      </c>
      <c r="BA163">
        <f>AZ163 + $D221 * ((AZ161 -AZ162) / $D220)</f>
        <v>13.619750453716509</v>
      </c>
      <c r="BB163">
        <f>BA163 + $D221 * ((BA161 -BA162) / $D220)</f>
        <v>14.161667897197388</v>
      </c>
      <c r="BC163">
        <f>BB163 + $D221 * ((BB161 -BB162) / $D220)</f>
        <v>14.707878710192665</v>
      </c>
      <c r="BD163">
        <f>BC163 + $D221 * ((BC161 -BC162) / $D220)</f>
        <v>15.258014216944852</v>
      </c>
      <c r="BE163">
        <f>BD163 + $D221 * ((BD161 -BD162) / $D220)</f>
        <v>15.811709776539571</v>
      </c>
      <c r="BF163">
        <f>BE163 + $D221 * ((BE161 -BE162) / $D220)</f>
        <v>16.368604909992435</v>
      </c>
      <c r="BG163">
        <f>BF163 + $D221 * ((BF161 -BF162) / $D220)</f>
        <v>16.928343423010478</v>
      </c>
      <c r="BH163">
        <f>BG163 + $D221 * ((BG161 -BG162) / $D220)</f>
        <v>17.490573524434634</v>
      </c>
      <c r="BI163">
        <f>BH163 + $D221 * ((BH161 -BH162) / $D220)</f>
        <v>18.054947940371907</v>
      </c>
      <c r="BJ163">
        <f>BI163 + $D221 * ((BI161 -BI162) / $D220)</f>
        <v>18.621124024028077</v>
      </c>
      <c r="BK163">
        <f>BJ163 + $D221 * ((BJ161 -BJ162) / $D220)</f>
        <v>19.188763861253872</v>
      </c>
      <c r="BL163">
        <f>BK163 + $D221 * ((BK161 -BK162) / $D220)</f>
        <v>19.757534371819578</v>
      </c>
      <c r="BM163">
        <f>BL163 + $D221 * ((BL161 -BL162) / $D220)</f>
        <v>20.327107406435161</v>
      </c>
      <c r="BN163">
        <f>BM163 + $D221 * ((BM161 -BM162) / $D220)</f>
        <v>20.89715983953484</v>
      </c>
      <c r="BO163">
        <f>BN163 + $D221 * ((BN161 -BN162) / $D220)</f>
        <v>21.467373657847112</v>
      </c>
      <c r="BP163">
        <f>BO163 + $D221 * ((BO161 -BO162) / $D220)</f>
        <v>22.03743604477302</v>
      </c>
      <c r="BQ163">
        <f>BP163 + $D221 * ((BP161 -BP162) / $D220)</f>
        <v>22.607039460597406</v>
      </c>
      <c r="BR163">
        <f>BQ163 + $D221 * ((BQ161 -BQ162) / $D220)</f>
        <v>23.175881718559587</v>
      </c>
      <c r="BS163">
        <f>BR163 + $D221 * ((BR161 -BR162) / $D220)</f>
        <v>23.743666056811776</v>
      </c>
      <c r="BT163">
        <f>BS163 + $D221 * ((BS161 -BS162) / $D220)</f>
        <v>24.310101206295176</v>
      </c>
      <c r="BU163">
        <f>BT163 + $D221 * ((BT161 -BT162) / $D220)</f>
        <v>24.874901454565446</v>
      </c>
      <c r="BV163">
        <f>BU163 + $D221 * ((BU161 -BU162) / $D220)</f>
        <v>25.437786705600804</v>
      </c>
      <c r="BW163">
        <f>BV163 + $D221 * ((BV161 -BV162) / $D220)</f>
        <v>25.998482535627648</v>
      </c>
      <c r="BX163">
        <f>BW163 + $D221 * ((BW161 -BW162) / $D220)</f>
        <v>26.556720245000101</v>
      </c>
      <c r="BY163">
        <f>BX163 + $D221 * ((BX161 -BX162) / $D220)</f>
        <v>27.11223690617139</v>
      </c>
      <c r="BZ163">
        <f>BY163 + $D221 * ((BY161 -BY162) / $D220)</f>
        <v>27.664775407796434</v>
      </c>
      <c r="CA163">
        <f>BZ163 + $D221 * ((BZ161 -BZ162) / $D220)</f>
        <v>28.214084495006379</v>
      </c>
      <c r="CB163">
        <f>CA163 + $D221 * ((CA161 -CA162) / $D220)</f>
        <v>28.759918805897239</v>
      </c>
      <c r="CC163">
        <f>CB163 + $D221 * ((CB161 -CB162) / $D220)</f>
        <v>29.302038904276056</v>
      </c>
      <c r="CD163">
        <f>CC163 + $D221 * ((CC161 -CC162) / $D220)</f>
        <v>29.840211308709296</v>
      </c>
      <c r="CE163">
        <f>CD163 + $D221 * ((CD161 -CD162) / $D220)</f>
        <v>30.374208517919453</v>
      </c>
      <c r="CF163">
        <f>CE163 + $D221 * ((CE161 -CE162) / $D220)</f>
        <v>30.903809032576909</v>
      </c>
      <c r="CG163">
        <f>CF163 + $D221 * ((CF161 -CF162) / $D220)</f>
        <v>31.428797373535399</v>
      </c>
      <c r="CH163">
        <f>CG163 + $D221 * ((CG161 -CG162) / $D220)</f>
        <v>31.948964096560342</v>
      </c>
      <c r="CI163">
        <f>CH163 + $D221 * ((CH161 -CH162) / $D220)</f>
        <v>32.464105803600475</v>
      </c>
      <c r="CJ163">
        <f>CI163 + $D221 * ((CI161 -CI162) / $D220)</f>
        <v>32.974025150654185</v>
      </c>
      <c r="CK163">
        <f>CJ163 + $D221 * ((CJ161 -CJ162) / $D220)</f>
        <v>33.478530852282908</v>
      </c>
      <c r="CL163">
        <f>CK163 + $D221 * ((CK161 -CK162) / $D220)</f>
        <v>33.977437682824814</v>
      </c>
      <c r="CM163">
        <f>CL163 + $D221 * ((CL161 -CL162) / $D220)</f>
        <v>34.470566474362975</v>
      </c>
      <c r="CN163">
        <f>CM163 + $D221 * ((CM161 -CM162) / $D220)</f>
        <v>34.957744111502983</v>
      </c>
      <c r="CO163">
        <f>CN163 + $D221 * ((CN161 -CN162) / $D220)</f>
        <v>35.438803523015743</v>
      </c>
      <c r="CP163">
        <f>CO163 + $D221 * ((CO161 -CO162) / $D220)</f>
        <v>35.913583670401977</v>
      </c>
      <c r="CQ163">
        <f>CP163 + $D221 * ((CP161 -CP162) / $D220)</f>
        <v>36.381929533435589</v>
      </c>
      <c r="CR163">
        <f>CQ163 + $D221 * ((CQ161 -CQ162) / $D220)</f>
        <v>36.843692092743844</v>
      </c>
      <c r="CS163">
        <f>CR163 + $D221 * ((CR161 -CR162) / $D220)</f>
        <v>37.298728309482712</v>
      </c>
      <c r="CT163">
        <f>CS163 + $D221 * ((CS161 -CS162) / $D220)</f>
        <v>37.746901102166525</v>
      </c>
      <c r="CU163">
        <f>CT163 + $D221 * ((CT161 -CT162) / $D220)</f>
        <v>38.188079320711509</v>
      </c>
      <c r="CV163">
        <f>CU163 + $D221 * ((CU161 -CU162) / $D220)</f>
        <v>38.622137717753212</v>
      </c>
      <c r="CW163">
        <f>CV163 + $D221 * ((CV161 -CV162) / $D220)</f>
        <v>39.048956917298455</v>
      </c>
      <c r="CX163">
        <f>CW163 + $D221 * ((CW161 -CW162) / $D220)</f>
        <v>39.46842338077267</v>
      </c>
      <c r="CY163">
        <f>CX163 + $D221 * ((CX161 -CX162) / $D220)</f>
        <v>39.880429370523984</v>
      </c>
      <c r="CZ163">
        <f>CY163 + $D221 * ((CY161 -CY162) / $D220)</f>
        <v>40.284872910845692</v>
      </c>
      <c r="DA163">
        <f>CZ163 + $D221 * ((CZ161 -CZ162) / $D220)</f>
        <v>40.681657746579077</v>
      </c>
      <c r="DB163">
        <f>DA163 + $D221 * ((DA161 -DA162) / $D220)</f>
        <v>41.070693299358801</v>
      </c>
      <c r="DC163">
        <f>DB163 + $D221 * ((DB161 -DB162) / $D220)</f>
        <v>41.451894621563255</v>
      </c>
      <c r="DD163">
        <f>DC163 + $D221 * ((DC161 -DC162) / $D220)</f>
        <v>41.825182348032527</v>
      </c>
      <c r="DE163">
        <f>DD163 + $D221 * ((DD161 -DD162) / $D220)</f>
        <v>42.190482645616754</v>
      </c>
      <c r="DF163">
        <f>DE163 + $D221 * ((DE161 -DE162) / $D220)</f>
        <v>42.547727160617718</v>
      </c>
      <c r="DG163">
        <f>DF163 + $D221 * ((DF161 -DF162) / $D220)</f>
        <v>42.896852964186657</v>
      </c>
      <c r="DH163">
        <f>DG163 + $D221 * ((DG161 -DG162) / $D220)</f>
        <v>43.237802495741256</v>
      </c>
      <c r="DI163">
        <f>DH163 + $D221 * ((DH161 -DH162) / $D220)</f>
        <v>43.570523504464902</v>
      </c>
      <c r="DJ163">
        <f>DI163 + $D221 * ((DI161 -DI162) / $D220)</f>
        <v>43.87385800549518</v>
      </c>
      <c r="DK163">
        <f>DJ163 + $D221 * ((DJ161 -DJ162) / $D220)</f>
        <v>44.148132708384196</v>
      </c>
      <c r="DL163">
        <f>DK163 + $D221 * ((DK161 -DK162) / $D220)</f>
        <v>44.393684365162038</v>
      </c>
      <c r="DM163">
        <f>DL163 + $D221 * ((DL161 -DL162) / $D220)</f>
        <v>44.6108594243466</v>
      </c>
      <c r="DN163">
        <f>DM163 + $D221 * ((DM161 -DM162) / $D220)</f>
        <v>44.800013685537316</v>
      </c>
      <c r="DO163">
        <f>DN163 + $D221 * ((DN161 -DN162) / $D220)</f>
        <v>44.961511954767026</v>
      </c>
      <c r="DP163">
        <f>DO163 + $D221 * ((DO161 -DO162) / $D220)</f>
        <v>45.095727700782717</v>
      </c>
      <c r="DQ163">
        <f>DP163 + $D221 * ((DP161 -DP162) / $D220)</f>
        <v>45.203042712422757</v>
      </c>
      <c r="DR163">
        <f>DQ163 + $D221 * ((DQ161 -DQ162) / $D220)</f>
        <v>45.283846757254757</v>
      </c>
      <c r="DS163">
        <f>DR163 + $D221 * ((DR161 -DR162) / $D220)</f>
        <v>45.338537241634775</v>
      </c>
      <c r="DT163">
        <f>DS163 + $D221 * ((DS161 -DS162) / $D220)</f>
        <v>45.367518872345286</v>
      </c>
      <c r="DU163">
        <f>DT163 + $D221 * ((DT161 -DT162) / $D220)</f>
        <v>45.371203319965716</v>
      </c>
      <c r="DV163">
        <f>DU163 + $D221 * ((DU161 -DU162) / $D220)</f>
        <v>45.350008884125984</v>
      </c>
      <c r="DW163">
        <f>DV163 + $D221 * ((DV161 -DV162) / $D220)</f>
        <v>45.304360160789976</v>
      </c>
      <c r="DX163">
        <f>DW163 + $D221 * ((DW161 -DW162) / $D220)</f>
        <v>45.234687711712297</v>
      </c>
      <c r="DY163">
        <f>DX163 + $D221 * ((DX161 -DX162) / $D220)</f>
        <v>45.141427736208179</v>
      </c>
      <c r="DZ163">
        <f>DY163 + $D221 * ((DY161 -DY162) / $D220)</f>
        <v>45.025021745372825</v>
      </c>
      <c r="EA163">
        <f>DZ163 + $D221 * ((DZ161 -DZ162) / $D220)</f>
        <v>44.885916238882935</v>
      </c>
      <c r="EB163">
        <f>EA163 + $D221 * ((EA161 -EA162) / $D220)</f>
        <v>44.724562384509539</v>
      </c>
      <c r="EC163">
        <f>EB163 + $D221 * ((EB161 -EB162) / $D220)</f>
        <v>44.541415700467709</v>
      </c>
      <c r="ED163">
        <f>EC163 + $D221 * ((EC161 -EC162) / $D220)</f>
        <v>44.336935740725153</v>
      </c>
      <c r="EE163">
        <f>ED163 + $D221 * ((ED161 -ED162) / $D220)</f>
        <v>44.111585783387987</v>
      </c>
      <c r="EF163">
        <f>EE163 + $D221 * ((EE161 -EE162) / $D220)</f>
        <v>43.865832522278531</v>
      </c>
      <c r="EG163">
        <f>EF163 + $D221 * ((EF161 -EF162) / $D220)</f>
        <v>43.600145761816201</v>
      </c>
      <c r="EH163">
        <f>EG163 + $D221 * ((EG161 -EG162) / $D220)</f>
        <v>43.314998115309159</v>
      </c>
      <c r="EI163">
        <f>EH163 + $D221 * ((EH161 -EH162) / $D220)</f>
        <v>43.01086470676055</v>
      </c>
      <c r="EJ163">
        <f>EI163 + $D221 * ((EI161 -EI162) / $D220)</f>
        <v>42.688222876289807</v>
      </c>
      <c r="EK163">
        <f>EJ163 + $D221 * ((EJ161 -EJ162) / $D220)</f>
        <v>42.347551889265702</v>
      </c>
      <c r="EL163">
        <f>EK163 + $D221 * ((EK161 -EK162) / $D220)</f>
        <v>41.989332649244382</v>
      </c>
      <c r="EM163">
        <f>EL163 + $D221 * ((EL161 -EL162) / $D220)</f>
        <v>41.614047414801959</v>
      </c>
      <c r="EN163">
        <f>EM163 + $D221 * ((EM161 -EM162) / $D220)</f>
        <v>41.222179520347737</v>
      </c>
      <c r="EO163">
        <f>EN163 + $D221 * ((EN161 -EN162) / $D220)</f>
        <v>40.814213101000576</v>
      </c>
      <c r="EP163">
        <f>EO163 + $D221 * ((EO161 -EO162) / $D220)</f>
        <v>40.390632821607362</v>
      </c>
      <c r="EQ163">
        <f>EP163 + $D221 * ((EP161 -EP162) / $D220)</f>
        <v>39.951923609979019</v>
      </c>
      <c r="ER163">
        <f>EQ163 + $D221 * ((EQ161 -EQ162) / $D220)</f>
        <v>39.498570394416035</v>
      </c>
      <c r="ES163">
        <f>ER163 + $D221 * ((ER161 -ER162) / $D220)</f>
        <v>39.031057845592009</v>
      </c>
      <c r="ET163">
        <f>ES163 + $D221 * ((ES161 -ES162) / $D220)</f>
        <v>38.549870122860206</v>
      </c>
      <c r="EU163">
        <f>ET163 + $D221 * ((ET161 -ET162) / $D220)</f>
        <v>38.055490625044683</v>
      </c>
      <c r="EV163">
        <f>EU163 + $D221 * ((EU161 -EU162) / $D220)</f>
        <v>37.548401745774257</v>
      </c>
      <c r="EW163">
        <f>EV163 + $D221 * ((EV161 -EV162) / $D220)</f>
        <v>37.029084633414037</v>
      </c>
      <c r="EX163">
        <f>EW163 + $D221 * ((EW161 -EW162) / $D220)</f>
        <v>36.498018955645946</v>
      </c>
      <c r="EY163">
        <f>EX163 + $D221 * ((EX161 -EX162) / $D220)</f>
        <v>35.955682668746419</v>
      </c>
      <c r="EZ163">
        <f>EY163 + $D221 * ((EY161 -EY162) / $D220)</f>
        <v>35.402551791606008</v>
      </c>
      <c r="FA163">
        <f>EZ163 + $D221 * ((EZ161 -EZ162) / $D220)</f>
        <v>34.839100184532498</v>
      </c>
      <c r="FB163">
        <f>FA163 + $D221 * ((FA161 -FA162) / $D220)</f>
        <v>34.265799332875801</v>
      </c>
      <c r="FC163">
        <f>FB163 + $D221 * ((FB161 -FB162) / $D220)</f>
        <v>33.683118135509737</v>
      </c>
      <c r="FD163">
        <f>FC163 + $D221 * ((FC161 -FC162) / $D220)</f>
        <v>33.091522698202667</v>
      </c>
      <c r="FE163">
        <f>FD163 + $D221 * ((FD161 -FD162) / $D220)</f>
        <v>32.491476131905749</v>
      </c>
      <c r="FF163">
        <f>FE163 + $D221 * ((FE161 -FE162) / $D220)</f>
        <v>31.883438355984566</v>
      </c>
      <c r="FG163">
        <f>FF163 + $D221 * ((FF161 -FF162) / $D220)</f>
        <v>31.267865906416706</v>
      </c>
      <c r="FH163">
        <f>FG163 + $D221 * ((FG161 -FG162) / $D220)</f>
        <v>30.645211748975001</v>
      </c>
      <c r="FI163">
        <f>FH163 + $D221 * ((FH161 -FH162) / $D220)</f>
        <v>30.015925097413039</v>
      </c>
      <c r="FJ163">
        <f>FI163 + $D221 * ((FI161 -FI162) / $D220)</f>
        <v>29.380451236666655</v>
      </c>
      <c r="FK163">
        <f>FJ163 + $D221 * ((FJ161 -FJ162) / $D220)</f>
        <v>28.739231351082246</v>
      </c>
      <c r="FL163">
        <f>FK163 + $D221 * ((FK161 -FK162) / $D220)</f>
        <v>28.092702357679837</v>
      </c>
      <c r="FM163">
        <f>FL163 + $D221 * ((FL161 -FL162) / $D220)</f>
        <v>27.441296744456064</v>
      </c>
      <c r="FN163">
        <f>FM163 + $D221 * ((FM161 -FM162) / $D220)</f>
        <v>26.785442413729452</v>
      </c>
      <c r="FO163">
        <f>FN163 + $D221 * ((FN161 -FN162) / $D220)</f>
        <v>26.125562530527649</v>
      </c>
      <c r="FP163">
        <f>FO163 + $D221 * ((FO161 -FO162) / $D220)</f>
        <v>25.462075376013566</v>
      </c>
      <c r="FQ163">
        <f>FP163 + $D221 * ((FP161 -FP162) / $D220)</f>
        <v>24.795394205944817</v>
      </c>
      <c r="FR163">
        <f>FQ163 + $D221 * ((FQ161 -FQ162) / $D220)</f>
        <v>24.125927114158184</v>
      </c>
      <c r="FS163">
        <f>FR163 + $D221 * ((FR161 -FR162) / $D220)</f>
        <v>23.454076901068344</v>
      </c>
      <c r="FT163">
        <f>FS163 + $D221 * ((FS161 -FS162) / $D220)</f>
        <v>22.780240947167581</v>
      </c>
      <c r="FU163">
        <f>FT163 + $D221 * ((FT161 -FT162) / $D220)</f>
        <v>22.104811091510797</v>
      </c>
      <c r="FV163">
        <f>FU163 + $D221 * ((FU161 -FU162) / $D220)</f>
        <v>21.428173515167703</v>
      </c>
      <c r="FW163">
        <f>FV163 + $D221 * ((FV161 -FV162) / $D220)</f>
        <v>20.750708629621748</v>
      </c>
      <c r="FX163">
        <f>FW163 + $D221 * ((FW161 -FW162) / $D220)</f>
        <v>20.07279097009306</v>
      </c>
      <c r="FY163">
        <f>FX163 + $D221 * ((FX161 -FX162) / $D220)</f>
        <v>19.394789093760398</v>
      </c>
      <c r="FZ163">
        <f>FY163 + $D221 * ((FY161 -FY162) / $D220)</f>
        <v>18.717065482854977</v>
      </c>
      <c r="GA163">
        <f>FZ163 + $D221 * ((FZ161 -FZ162) / $D220)</f>
        <v>18.0399764525968</v>
      </c>
      <c r="GB163">
        <f>GA163 + $D221 * ((GA161 -GA162) / $D220)</f>
        <v>17.363872063942143</v>
      </c>
      <c r="GC163">
        <f>GB163 + $D221 * ((GB161 -GB162) / $D220)</f>
        <v>16.689096041108709</v>
      </c>
      <c r="GD163">
        <f>GC163 + $D221 * ((GC161 -GC162) / $D220)</f>
        <v>16.015985693843035</v>
      </c>
      <c r="GE163">
        <f>GD163 + $D221 * ((GD161 -GD162) / $D220)</f>
        <v>15.344871844392795</v>
      </c>
      <c r="GF163">
        <f>GE163 + $D221 * ((GE161 -GE162) / $D220)</f>
        <v>14.676078759144714</v>
      </c>
      <c r="GG163">
        <f>GF163 + $D221 * ((GF161 -GF162) / $D220)</f>
        <v>14.009924084887039</v>
      </c>
      <c r="GH163">
        <f>GG163 + $D221 * ((GG161 -GG162) / $D220)</f>
        <v>13.346718789653695</v>
      </c>
      <c r="GI163">
        <f>GH163 + $D221 * ((GH161 -GH162) / $D220)</f>
        <v>12.686767108105519</v>
      </c>
      <c r="GJ163">
        <f>GI163 + $D221 * ((GI161 -GI162) / $D220)</f>
        <v>12.030366491402344</v>
      </c>
      <c r="GK163">
        <f>GJ163 + $D221 * ((GJ161 -GJ162) / $D220)</f>
        <v>11.377807561518001</v>
      </c>
      <c r="GL163">
        <f>GK163 + $D221 * ((GK161 -GK162) / $D220)</f>
        <v>10.729374069948825</v>
      </c>
      <c r="GM163">
        <f>GL163 + $D221 * ((GL161 -GL162) / $D220)</f>
        <v>10.085342860764658</v>
      </c>
      <c r="GN163">
        <f>GM163 + $D221 * ((GM161 -GM162) / $D220)</f>
        <v>9.4459838379499352</v>
      </c>
      <c r="GO163">
        <f>GN163 + $D221 * ((GN161 -GN162) / $D220)</f>
        <v>8.8115599369809789</v>
      </c>
      <c r="GP163">
        <f>GO163 + $D221 * ((GO161 -GO162) / $D220)</f>
        <v>8.182327100584315</v>
      </c>
      <c r="GQ163">
        <f>GP163 + $D221 * ((GP161 -GP162) / $D220)</f>
        <v>7.5585342586194688</v>
      </c>
    </row>
    <row r="164" spans="1:199" x14ac:dyDescent="0.25">
      <c r="A164" s="66"/>
      <c r="C164" t="s">
        <v>161</v>
      </c>
      <c r="D164" s="34">
        <v>0.25</v>
      </c>
      <c r="E164" t="s">
        <v>121</v>
      </c>
      <c r="Q164">
        <f>K227+1</f>
        <v>6</v>
      </c>
      <c r="R164">
        <f t="shared" ref="M164:BX164" si="17">Q164+1</f>
        <v>7</v>
      </c>
      <c r="S164">
        <f t="shared" si="17"/>
        <v>8</v>
      </c>
      <c r="T164">
        <f t="shared" si="17"/>
        <v>9</v>
      </c>
      <c r="U164">
        <f t="shared" si="17"/>
        <v>10</v>
      </c>
      <c r="V164">
        <f t="shared" si="17"/>
        <v>11</v>
      </c>
      <c r="W164">
        <f t="shared" si="17"/>
        <v>12</v>
      </c>
      <c r="X164">
        <f t="shared" si="17"/>
        <v>13</v>
      </c>
      <c r="Y164">
        <f t="shared" si="17"/>
        <v>14</v>
      </c>
      <c r="Z164">
        <f t="shared" si="17"/>
        <v>15</v>
      </c>
      <c r="AA164">
        <f t="shared" si="17"/>
        <v>16</v>
      </c>
      <c r="AB164">
        <f t="shared" si="17"/>
        <v>17</v>
      </c>
      <c r="AC164">
        <f t="shared" si="17"/>
        <v>18</v>
      </c>
      <c r="AD164">
        <f t="shared" si="17"/>
        <v>19</v>
      </c>
      <c r="AE164">
        <f t="shared" si="17"/>
        <v>20</v>
      </c>
      <c r="AF164">
        <f t="shared" si="17"/>
        <v>21</v>
      </c>
      <c r="AG164">
        <f t="shared" si="17"/>
        <v>22</v>
      </c>
      <c r="AH164">
        <f t="shared" si="17"/>
        <v>23</v>
      </c>
      <c r="AI164">
        <f t="shared" si="17"/>
        <v>24</v>
      </c>
      <c r="AJ164">
        <f t="shared" si="17"/>
        <v>25</v>
      </c>
      <c r="AK164">
        <f t="shared" si="17"/>
        <v>26</v>
      </c>
      <c r="AL164">
        <f t="shared" si="17"/>
        <v>27</v>
      </c>
      <c r="AM164">
        <f t="shared" si="17"/>
        <v>28</v>
      </c>
      <c r="AN164">
        <f t="shared" si="17"/>
        <v>29</v>
      </c>
      <c r="AO164">
        <f t="shared" si="17"/>
        <v>30</v>
      </c>
      <c r="AP164">
        <f t="shared" si="17"/>
        <v>31</v>
      </c>
      <c r="AQ164">
        <f t="shared" si="17"/>
        <v>32</v>
      </c>
      <c r="AR164">
        <f t="shared" si="17"/>
        <v>33</v>
      </c>
      <c r="AS164">
        <f t="shared" si="17"/>
        <v>34</v>
      </c>
      <c r="AT164">
        <f t="shared" si="17"/>
        <v>35</v>
      </c>
      <c r="AU164">
        <f t="shared" si="17"/>
        <v>36</v>
      </c>
      <c r="AV164">
        <f t="shared" si="17"/>
        <v>37</v>
      </c>
      <c r="AW164">
        <f t="shared" si="17"/>
        <v>38</v>
      </c>
      <c r="AX164">
        <f t="shared" si="17"/>
        <v>39</v>
      </c>
      <c r="AY164">
        <f t="shared" si="17"/>
        <v>40</v>
      </c>
      <c r="AZ164">
        <f t="shared" si="17"/>
        <v>41</v>
      </c>
      <c r="BA164">
        <f t="shared" si="17"/>
        <v>42</v>
      </c>
      <c r="BB164">
        <f t="shared" si="17"/>
        <v>43</v>
      </c>
      <c r="BC164">
        <f t="shared" si="17"/>
        <v>44</v>
      </c>
      <c r="BD164">
        <f t="shared" si="17"/>
        <v>45</v>
      </c>
      <c r="BE164">
        <f t="shared" si="17"/>
        <v>46</v>
      </c>
      <c r="BF164">
        <f t="shared" si="17"/>
        <v>47</v>
      </c>
      <c r="BG164">
        <f t="shared" si="17"/>
        <v>48</v>
      </c>
      <c r="BH164">
        <f t="shared" si="17"/>
        <v>49</v>
      </c>
      <c r="BI164">
        <f t="shared" si="17"/>
        <v>50</v>
      </c>
      <c r="BJ164">
        <f t="shared" si="17"/>
        <v>51</v>
      </c>
      <c r="BK164">
        <f t="shared" si="17"/>
        <v>52</v>
      </c>
      <c r="BL164">
        <f t="shared" si="17"/>
        <v>53</v>
      </c>
      <c r="BM164">
        <f t="shared" si="17"/>
        <v>54</v>
      </c>
      <c r="BN164">
        <f t="shared" si="17"/>
        <v>55</v>
      </c>
      <c r="BO164">
        <f t="shared" si="17"/>
        <v>56</v>
      </c>
      <c r="BP164">
        <f t="shared" si="17"/>
        <v>57</v>
      </c>
      <c r="BQ164">
        <f t="shared" si="17"/>
        <v>58</v>
      </c>
      <c r="BR164">
        <f>BQ164+1</f>
        <v>59</v>
      </c>
      <c r="BS164">
        <f t="shared" si="17"/>
        <v>60</v>
      </c>
      <c r="BT164">
        <f t="shared" si="17"/>
        <v>61</v>
      </c>
      <c r="BU164">
        <f t="shared" si="17"/>
        <v>62</v>
      </c>
      <c r="BV164">
        <f t="shared" si="17"/>
        <v>63</v>
      </c>
      <c r="BW164">
        <f t="shared" si="17"/>
        <v>64</v>
      </c>
      <c r="BX164">
        <f t="shared" si="17"/>
        <v>65</v>
      </c>
      <c r="BY164">
        <f t="shared" ref="BY164:CU164" si="18">BX164+1</f>
        <v>66</v>
      </c>
      <c r="BZ164">
        <f t="shared" si="18"/>
        <v>67</v>
      </c>
      <c r="CA164">
        <f t="shared" si="18"/>
        <v>68</v>
      </c>
      <c r="CB164">
        <f t="shared" si="18"/>
        <v>69</v>
      </c>
      <c r="CC164">
        <f t="shared" si="18"/>
        <v>70</v>
      </c>
      <c r="CD164">
        <f t="shared" si="18"/>
        <v>71</v>
      </c>
      <c r="CE164">
        <f t="shared" si="18"/>
        <v>72</v>
      </c>
      <c r="CF164">
        <f t="shared" si="18"/>
        <v>73</v>
      </c>
      <c r="CG164">
        <f t="shared" si="18"/>
        <v>74</v>
      </c>
      <c r="CH164">
        <f t="shared" si="18"/>
        <v>75</v>
      </c>
      <c r="CI164">
        <f t="shared" si="18"/>
        <v>76</v>
      </c>
      <c r="CJ164">
        <f t="shared" si="18"/>
        <v>77</v>
      </c>
      <c r="CK164">
        <f t="shared" si="18"/>
        <v>78</v>
      </c>
      <c r="CL164">
        <f t="shared" si="18"/>
        <v>79</v>
      </c>
      <c r="CM164">
        <f t="shared" si="18"/>
        <v>80</v>
      </c>
      <c r="CN164">
        <f t="shared" si="18"/>
        <v>81</v>
      </c>
      <c r="CO164">
        <f t="shared" si="18"/>
        <v>82</v>
      </c>
      <c r="CP164">
        <f t="shared" si="18"/>
        <v>83</v>
      </c>
      <c r="CQ164">
        <f t="shared" si="18"/>
        <v>84</v>
      </c>
      <c r="CR164">
        <f t="shared" si="18"/>
        <v>85</v>
      </c>
      <c r="CS164">
        <f t="shared" si="18"/>
        <v>86</v>
      </c>
      <c r="CT164">
        <f t="shared" si="18"/>
        <v>87</v>
      </c>
      <c r="CU164">
        <f t="shared" si="18"/>
        <v>88</v>
      </c>
      <c r="CV164">
        <f>CU164+1</f>
        <v>89</v>
      </c>
      <c r="CW164">
        <f t="shared" ref="CW164:FH164" si="19">CV164+1</f>
        <v>90</v>
      </c>
      <c r="CX164">
        <f t="shared" si="19"/>
        <v>91</v>
      </c>
      <c r="CY164">
        <f t="shared" si="19"/>
        <v>92</v>
      </c>
      <c r="CZ164">
        <f t="shared" si="19"/>
        <v>93</v>
      </c>
      <c r="DA164">
        <f t="shared" si="19"/>
        <v>94</v>
      </c>
      <c r="DB164">
        <f t="shared" si="19"/>
        <v>95</v>
      </c>
      <c r="DC164">
        <f t="shared" si="19"/>
        <v>96</v>
      </c>
      <c r="DD164">
        <f t="shared" si="19"/>
        <v>97</v>
      </c>
      <c r="DE164">
        <f t="shared" si="19"/>
        <v>98</v>
      </c>
      <c r="DF164">
        <f t="shared" si="19"/>
        <v>99</v>
      </c>
      <c r="DG164">
        <f t="shared" si="19"/>
        <v>100</v>
      </c>
      <c r="DH164">
        <f t="shared" si="19"/>
        <v>101</v>
      </c>
      <c r="DI164">
        <f t="shared" si="19"/>
        <v>102</v>
      </c>
      <c r="DJ164">
        <f t="shared" si="19"/>
        <v>103</v>
      </c>
      <c r="DK164">
        <f t="shared" si="19"/>
        <v>104</v>
      </c>
      <c r="DL164">
        <f t="shared" si="19"/>
        <v>105</v>
      </c>
      <c r="DM164">
        <f t="shared" si="19"/>
        <v>106</v>
      </c>
      <c r="DN164">
        <f t="shared" si="19"/>
        <v>107</v>
      </c>
      <c r="DO164">
        <f t="shared" si="19"/>
        <v>108</v>
      </c>
      <c r="DP164">
        <f t="shared" si="19"/>
        <v>109</v>
      </c>
      <c r="DQ164">
        <f t="shared" si="19"/>
        <v>110</v>
      </c>
      <c r="DR164">
        <f t="shared" si="19"/>
        <v>111</v>
      </c>
      <c r="DS164">
        <f t="shared" si="19"/>
        <v>112</v>
      </c>
      <c r="DT164">
        <f t="shared" si="19"/>
        <v>113</v>
      </c>
      <c r="DU164">
        <f t="shared" si="19"/>
        <v>114</v>
      </c>
      <c r="DV164">
        <f t="shared" si="19"/>
        <v>115</v>
      </c>
      <c r="DW164">
        <f t="shared" si="19"/>
        <v>116</v>
      </c>
      <c r="DX164">
        <f t="shared" si="19"/>
        <v>117</v>
      </c>
      <c r="DY164">
        <f t="shared" si="19"/>
        <v>118</v>
      </c>
      <c r="DZ164">
        <f t="shared" si="19"/>
        <v>119</v>
      </c>
      <c r="EA164">
        <f t="shared" si="19"/>
        <v>120</v>
      </c>
      <c r="EB164">
        <f t="shared" si="19"/>
        <v>121</v>
      </c>
      <c r="EC164">
        <f t="shared" si="19"/>
        <v>122</v>
      </c>
      <c r="ED164">
        <f t="shared" si="19"/>
        <v>123</v>
      </c>
      <c r="EE164">
        <f t="shared" si="19"/>
        <v>124</v>
      </c>
      <c r="EF164">
        <f t="shared" si="19"/>
        <v>125</v>
      </c>
      <c r="EG164">
        <f t="shared" si="19"/>
        <v>126</v>
      </c>
      <c r="EH164">
        <f t="shared" si="19"/>
        <v>127</v>
      </c>
      <c r="EI164">
        <f t="shared" si="19"/>
        <v>128</v>
      </c>
      <c r="EJ164">
        <f t="shared" si="19"/>
        <v>129</v>
      </c>
      <c r="EK164">
        <f t="shared" si="19"/>
        <v>130</v>
      </c>
      <c r="EL164">
        <f t="shared" si="19"/>
        <v>131</v>
      </c>
      <c r="EM164">
        <f t="shared" si="19"/>
        <v>132</v>
      </c>
      <c r="EN164">
        <f t="shared" si="19"/>
        <v>133</v>
      </c>
      <c r="EO164">
        <f t="shared" si="19"/>
        <v>134</v>
      </c>
      <c r="EP164">
        <f t="shared" si="19"/>
        <v>135</v>
      </c>
      <c r="EQ164">
        <f t="shared" si="19"/>
        <v>136</v>
      </c>
      <c r="ER164">
        <f t="shared" si="19"/>
        <v>137</v>
      </c>
      <c r="ES164">
        <f t="shared" si="19"/>
        <v>138</v>
      </c>
      <c r="ET164">
        <f t="shared" si="19"/>
        <v>139</v>
      </c>
      <c r="EU164">
        <f t="shared" si="19"/>
        <v>140</v>
      </c>
      <c r="EV164">
        <f t="shared" si="19"/>
        <v>141</v>
      </c>
      <c r="EW164">
        <f t="shared" si="19"/>
        <v>142</v>
      </c>
      <c r="EX164">
        <f t="shared" si="19"/>
        <v>143</v>
      </c>
      <c r="EY164">
        <f t="shared" si="19"/>
        <v>144</v>
      </c>
      <c r="EZ164">
        <f t="shared" si="19"/>
        <v>145</v>
      </c>
      <c r="FA164">
        <f t="shared" si="19"/>
        <v>146</v>
      </c>
      <c r="FB164">
        <f t="shared" si="19"/>
        <v>147</v>
      </c>
      <c r="FC164">
        <f t="shared" si="19"/>
        <v>148</v>
      </c>
      <c r="FD164">
        <f t="shared" si="19"/>
        <v>149</v>
      </c>
      <c r="FE164">
        <f t="shared" si="19"/>
        <v>150</v>
      </c>
      <c r="FF164">
        <f t="shared" si="19"/>
        <v>151</v>
      </c>
      <c r="FG164">
        <f t="shared" si="19"/>
        <v>152</v>
      </c>
      <c r="FH164">
        <f t="shared" si="19"/>
        <v>153</v>
      </c>
      <c r="FI164">
        <f t="shared" ref="FI164:GQ164" si="20">FH164+1</f>
        <v>154</v>
      </c>
      <c r="FJ164">
        <f t="shared" si="20"/>
        <v>155</v>
      </c>
      <c r="FK164">
        <f t="shared" si="20"/>
        <v>156</v>
      </c>
      <c r="FL164">
        <f t="shared" si="20"/>
        <v>157</v>
      </c>
      <c r="FM164">
        <f t="shared" si="20"/>
        <v>158</v>
      </c>
      <c r="FN164">
        <f t="shared" si="20"/>
        <v>159</v>
      </c>
      <c r="FO164">
        <f t="shared" si="20"/>
        <v>160</v>
      </c>
      <c r="FP164">
        <f t="shared" si="20"/>
        <v>161</v>
      </c>
      <c r="FQ164">
        <f t="shared" si="20"/>
        <v>162</v>
      </c>
      <c r="FR164">
        <f t="shared" si="20"/>
        <v>163</v>
      </c>
      <c r="FS164">
        <f t="shared" si="20"/>
        <v>164</v>
      </c>
      <c r="FT164">
        <f t="shared" si="20"/>
        <v>165</v>
      </c>
      <c r="FU164">
        <f t="shared" si="20"/>
        <v>166</v>
      </c>
      <c r="FV164">
        <f t="shared" si="20"/>
        <v>167</v>
      </c>
      <c r="FW164">
        <f t="shared" si="20"/>
        <v>168</v>
      </c>
      <c r="FX164">
        <f t="shared" si="20"/>
        <v>169</v>
      </c>
      <c r="FY164">
        <f t="shared" si="20"/>
        <v>170</v>
      </c>
      <c r="FZ164">
        <f t="shared" si="20"/>
        <v>171</v>
      </c>
      <c r="GA164">
        <f t="shared" si="20"/>
        <v>172</v>
      </c>
      <c r="GB164">
        <f t="shared" si="20"/>
        <v>173</v>
      </c>
      <c r="GC164">
        <f t="shared" si="20"/>
        <v>174</v>
      </c>
      <c r="GD164">
        <f t="shared" si="20"/>
        <v>175</v>
      </c>
      <c r="GE164">
        <f t="shared" si="20"/>
        <v>176</v>
      </c>
      <c r="GF164">
        <f t="shared" si="20"/>
        <v>177</v>
      </c>
      <c r="GG164">
        <f t="shared" si="20"/>
        <v>178</v>
      </c>
      <c r="GH164">
        <f t="shared" si="20"/>
        <v>179</v>
      </c>
      <c r="GI164">
        <f t="shared" si="20"/>
        <v>180</v>
      </c>
      <c r="GJ164">
        <f t="shared" si="20"/>
        <v>181</v>
      </c>
      <c r="GK164">
        <f t="shared" si="20"/>
        <v>182</v>
      </c>
      <c r="GL164">
        <f t="shared" si="20"/>
        <v>183</v>
      </c>
      <c r="GM164">
        <f t="shared" si="20"/>
        <v>184</v>
      </c>
      <c r="GN164">
        <f t="shared" si="20"/>
        <v>185</v>
      </c>
      <c r="GO164">
        <f t="shared" si="20"/>
        <v>186</v>
      </c>
      <c r="GP164">
        <f t="shared" si="20"/>
        <v>187</v>
      </c>
      <c r="GQ164">
        <f t="shared" si="20"/>
        <v>188</v>
      </c>
    </row>
    <row r="165" spans="1:199" x14ac:dyDescent="0.25">
      <c r="A165" s="66"/>
      <c r="C165" t="s">
        <v>170</v>
      </c>
      <c r="D165" s="18">
        <f>D164/2000</f>
        <v>1.25E-4</v>
      </c>
      <c r="E165" t="s">
        <v>193</v>
      </c>
      <c r="Q165">
        <f>Q163*$D210</f>
        <v>2.6283884623163907</v>
      </c>
      <c r="R165">
        <f>R163*$D210</f>
        <v>3.6572612462257235</v>
      </c>
      <c r="S165">
        <f>S163*$D210</f>
        <v>4.8462028882418275</v>
      </c>
      <c r="T165">
        <f>T163*$D210</f>
        <v>6.1918654342922439</v>
      </c>
      <c r="U165">
        <f>U163*$D210</f>
        <v>7.6908731232939616</v>
      </c>
      <c r="V165">
        <f>V163*$D210</f>
        <v>9.3398246456544722</v>
      </c>
      <c r="W165">
        <f>W163*$D210</f>
        <v>11.13529537787003</v>
      </c>
      <c r="X165">
        <f>X163*$D210</f>
        <v>13.073839592428607</v>
      </c>
      <c r="Y165">
        <f>Y163*$D210</f>
        <v>15.15199264225139</v>
      </c>
      <c r="Z165">
        <f>Z163*$D210</f>
        <v>17.36627311893286</v>
      </c>
      <c r="AA165">
        <f>AA163*$D210</f>
        <v>19.713184984065787</v>
      </c>
      <c r="AB165">
        <f>AB163*$D210</f>
        <v>22.189219672963642</v>
      </c>
      <c r="AC165">
        <f>AC163*$D210</f>
        <v>24.790858170118991</v>
      </c>
      <c r="AD165">
        <f>AD163*$D210</f>
        <v>27.514573055762551</v>
      </c>
      <c r="AE165">
        <f>AE163*$D210</f>
        <v>30.356830522913373</v>
      </c>
      <c r="AF165">
        <f>AF163*$D210</f>
        <v>33.314092364336666</v>
      </c>
      <c r="AG165">
        <f>AG163*$D210</f>
        <v>36.382817928851189</v>
      </c>
      <c r="AH165">
        <f>AH163*$D210</f>
        <v>39.559466046454041</v>
      </c>
      <c r="AI165">
        <f>AI163*$D210</f>
        <v>42.84049692175585</v>
      </c>
      <c r="AJ165">
        <f>AJ163*$D210</f>
        <v>46.222373995244745</v>
      </c>
      <c r="AK165">
        <f>AK163*$D210</f>
        <v>49.701565771922695</v>
      </c>
      <c r="AL165">
        <f>AL163*$D210</f>
        <v>53.274547616882636</v>
      </c>
      <c r="AM165">
        <f>AM163*$D210</f>
        <v>56.937803517419496</v>
      </c>
      <c r="AN165">
        <f>AN163*$D210</f>
        <v>60.687827811293154</v>
      </c>
      <c r="AO165">
        <f>AO163*$D210</f>
        <v>64.521126880785161</v>
      </c>
      <c r="AP165">
        <f>AP163*$D210</f>
        <v>68.43422081221577</v>
      </c>
      <c r="AQ165">
        <f>AQ163*$D210</f>
        <v>72.423645020611431</v>
      </c>
      <c r="AR165">
        <f>AR163*$D210</f>
        <v>76.485951839236492</v>
      </c>
      <c r="AS165">
        <f>AS163*$D210</f>
        <v>80.61771207372685</v>
      </c>
      <c r="AT165">
        <f>AT163*$D210</f>
        <v>84.815516520585575</v>
      </c>
      <c r="AU165">
        <f>AU163*$D210</f>
        <v>89.075977449824606</v>
      </c>
      <c r="AV165">
        <f>AV163*$D210</f>
        <v>93.39573005155826</v>
      </c>
      <c r="AW165">
        <f>AW163*$D210</f>
        <v>97.771433846377448</v>
      </c>
      <c r="AX165">
        <f>AX163*$D210</f>
        <v>102.19977405935494</v>
      </c>
      <c r="AY165">
        <f>AY163*$D210</f>
        <v>106.67746295755478</v>
      </c>
      <c r="AZ165">
        <f>AZ163*$D210</f>
        <v>111.20124115093945</v>
      </c>
      <c r="BA165">
        <f>BA163*$D210</f>
        <v>115.76787885659033</v>
      </c>
      <c r="BB165">
        <f>BB163*$D210</f>
        <v>120.3741771261778</v>
      </c>
      <c r="BC165">
        <f>BC163*$D210</f>
        <v>125.01696903663765</v>
      </c>
      <c r="BD165">
        <f>BD163*$D210</f>
        <v>129.69312084403126</v>
      </c>
      <c r="BE165">
        <f>BE163*$D210</f>
        <v>134.39953310058635</v>
      </c>
      <c r="BF165">
        <f>BF163*$D210</f>
        <v>139.13314173493569</v>
      </c>
      <c r="BG165">
        <f>BG163*$D210</f>
        <v>143.89091909558906</v>
      </c>
      <c r="BH165">
        <f>BH163*$D210</f>
        <v>148.66987495769439</v>
      </c>
      <c r="BI165">
        <f>BI163*$D210</f>
        <v>153.46705749316121</v>
      </c>
      <c r="BJ165">
        <f>BJ163*$D210</f>
        <v>158.27955420423865</v>
      </c>
      <c r="BK165">
        <f>BK163*$D210</f>
        <v>163.1044928206579</v>
      </c>
      <c r="BL165">
        <f>BL163*$D210</f>
        <v>167.93904216046641</v>
      </c>
      <c r="BM165">
        <f>BM163*$D210</f>
        <v>172.78041295469887</v>
      </c>
      <c r="BN165">
        <f>BN163*$D210</f>
        <v>177.62585863604613</v>
      </c>
      <c r="BO165">
        <f>BO163*$D210</f>
        <v>182.47267609170046</v>
      </c>
      <c r="BP165">
        <f>BP163*$D210</f>
        <v>187.31820638057067</v>
      </c>
      <c r="BQ165">
        <f>BQ163*$D210</f>
        <v>192.15983541507796</v>
      </c>
      <c r="BR165">
        <f>BR163*$D210</f>
        <v>196.9949946077565</v>
      </c>
      <c r="BS165">
        <f>BS163*$D210</f>
        <v>201.8211614829001</v>
      </c>
      <c r="BT165">
        <f>BT163*$D210</f>
        <v>206.63586025350901</v>
      </c>
      <c r="BU165">
        <f>BU163*$D210</f>
        <v>211.43666236380631</v>
      </c>
      <c r="BV165">
        <f>BV163*$D210</f>
        <v>216.22118699760682</v>
      </c>
      <c r="BW165">
        <f>BW163*$D210</f>
        <v>220.98710155283501</v>
      </c>
      <c r="BX165">
        <f>BX163*$D210</f>
        <v>225.73212208250087</v>
      </c>
      <c r="BY165">
        <f>BY163*$D210</f>
        <v>230.45401370245682</v>
      </c>
      <c r="BZ165">
        <f>BZ163*$D210</f>
        <v>235.15059096626968</v>
      </c>
      <c r="CA165">
        <f>CA163*$D210</f>
        <v>239.81971820755422</v>
      </c>
      <c r="CB165">
        <f>CB163*$D210</f>
        <v>244.45930985012654</v>
      </c>
      <c r="CC165">
        <f>CC163*$D210</f>
        <v>249.06733068634648</v>
      </c>
      <c r="CD165">
        <f>CD163*$D210</f>
        <v>253.64179612402901</v>
      </c>
      <c r="CE165">
        <f>CE163*$D210</f>
        <v>258.18077240231537</v>
      </c>
      <c r="CF165">
        <f>CF163*$D210</f>
        <v>262.68237677690371</v>
      </c>
      <c r="CG165">
        <f>CG163*$D210</f>
        <v>267.14477767505088</v>
      </c>
      <c r="CH165">
        <f>CH163*$D210</f>
        <v>271.56619482076292</v>
      </c>
      <c r="CI165">
        <f>CI163*$D210</f>
        <v>275.94489933060402</v>
      </c>
      <c r="CJ165">
        <f>CJ163*$D210</f>
        <v>280.27921378056055</v>
      </c>
      <c r="CK165">
        <f>CK163*$D210</f>
        <v>284.56751224440472</v>
      </c>
      <c r="CL165">
        <f>CL163*$D210</f>
        <v>288.80822030401089</v>
      </c>
      <c r="CM165">
        <f>CM163*$D210</f>
        <v>292.99981503208528</v>
      </c>
      <c r="CN165">
        <f>CN163*$D210</f>
        <v>297.14082494777534</v>
      </c>
      <c r="CO165">
        <f>CO163*$D210</f>
        <v>301.22982994563381</v>
      </c>
      <c r="CP165">
        <f>CP163*$D210</f>
        <v>305.2654611984168</v>
      </c>
      <c r="CQ165">
        <f>CQ163*$D210</f>
        <v>309.24640103420251</v>
      </c>
      <c r="CR165">
        <f>CR163*$D210</f>
        <v>313.17138278832266</v>
      </c>
      <c r="CS165">
        <f>CS163*$D210</f>
        <v>317.03919063060306</v>
      </c>
      <c r="CT165">
        <f>CT163*$D210</f>
        <v>320.84865936841544</v>
      </c>
      <c r="CU165">
        <f>CU163*$D210</f>
        <v>324.59867422604782</v>
      </c>
      <c r="CV165">
        <f>CV163*$D210</f>
        <v>328.28817060090228</v>
      </c>
      <c r="CW165">
        <f>CW163*$D210</f>
        <v>331.91613379703688</v>
      </c>
      <c r="CX165">
        <f>CX163*$D210</f>
        <v>335.48159873656772</v>
      </c>
      <c r="CY165">
        <f>CY163*$D210</f>
        <v>338.98364964945387</v>
      </c>
      <c r="CZ165">
        <f>CZ163*$D210</f>
        <v>342.42141974218839</v>
      </c>
      <c r="DA165">
        <f>DA163*$D210</f>
        <v>345.79409084592214</v>
      </c>
      <c r="DB165">
        <f>DB163*$D210</f>
        <v>349.10089304454982</v>
      </c>
      <c r="DC165">
        <f>DC163*$D210</f>
        <v>352.34110428328768</v>
      </c>
      <c r="DD165">
        <f>DD163*$D210</f>
        <v>355.51404995827647</v>
      </c>
      <c r="DE165">
        <f>DE163*$D210</f>
        <v>358.6191024877424</v>
      </c>
      <c r="DF165">
        <f>DF163*$D210</f>
        <v>361.65568086525059</v>
      </c>
      <c r="DG165">
        <f>DG163*$D210</f>
        <v>364.62325019558659</v>
      </c>
      <c r="DH165">
        <f>DH163*$D210</f>
        <v>367.52132121380066</v>
      </c>
      <c r="DI165">
        <f>DI163*$D210</f>
        <v>370.34944978795164</v>
      </c>
      <c r="DJ165">
        <f>DJ163*$D210</f>
        <v>372.92779304670904</v>
      </c>
      <c r="DK165">
        <f>DK163*$D210</f>
        <v>375.25912802126567</v>
      </c>
      <c r="DL165">
        <f>DL163*$D210</f>
        <v>377.34631710387731</v>
      </c>
      <c r="DM165">
        <f>DM163*$D210</f>
        <v>379.19230510694609</v>
      </c>
      <c r="DN165">
        <f>DN163*$D210</f>
        <v>380.8001163270672</v>
      </c>
      <c r="DO165">
        <f>DO163*$D210</f>
        <v>382.17285161551973</v>
      </c>
      <c r="DP165">
        <f>DP163*$D210</f>
        <v>383.3136854566531</v>
      </c>
      <c r="DQ165">
        <f>DQ163*$D210</f>
        <v>384.22586305559344</v>
      </c>
      <c r="DR165">
        <f>DR163*$D210</f>
        <v>384.91269743666544</v>
      </c>
      <c r="DS165">
        <f>DS163*$D210</f>
        <v>385.37756655389558</v>
      </c>
      <c r="DT165">
        <f>DT163*$D210</f>
        <v>385.62391041493493</v>
      </c>
      <c r="DU165">
        <f>DU163*$D210</f>
        <v>385.65522821970859</v>
      </c>
      <c r="DV165">
        <f>DV163*$D210</f>
        <v>385.47507551507084</v>
      </c>
      <c r="DW165">
        <f>DW163*$D210</f>
        <v>385.08706136671481</v>
      </c>
      <c r="DX165">
        <f>DX163*$D210</f>
        <v>384.4948455495545</v>
      </c>
      <c r="DY165">
        <f>DY163*$D210</f>
        <v>383.7021357577695</v>
      </c>
      <c r="DZ165">
        <f>DZ163*$D210</f>
        <v>382.71268483566899</v>
      </c>
      <c r="EA165">
        <f>EA163*$D210</f>
        <v>381.53028803050495</v>
      </c>
      <c r="EB165">
        <f>EB163*$D210</f>
        <v>380.1587802683311</v>
      </c>
      <c r="EC165">
        <f>EC163*$D210</f>
        <v>378.60203345397554</v>
      </c>
      <c r="ED165">
        <f>ED163*$D210</f>
        <v>376.8639537961638</v>
      </c>
      <c r="EE165">
        <f>EE163*$D210</f>
        <v>374.94847915879791</v>
      </c>
      <c r="EF165">
        <f>EF163*$D210</f>
        <v>372.85957643936752</v>
      </c>
      <c r="EG165">
        <f>EG163*$D210</f>
        <v>370.6012389754377</v>
      </c>
      <c r="EH165">
        <f>EH163*$D210</f>
        <v>368.17748398012787</v>
      </c>
      <c r="EI165">
        <f>EI163*$D210</f>
        <v>365.59235000746469</v>
      </c>
      <c r="EJ165">
        <f>EJ163*$D210</f>
        <v>362.84989444846337</v>
      </c>
      <c r="EK165">
        <f>EK163*$D210</f>
        <v>359.95419105875845</v>
      </c>
      <c r="EL165">
        <f>EL163*$D210</f>
        <v>356.90932751857724</v>
      </c>
      <c r="EM165">
        <f>EM163*$D210</f>
        <v>353.71940302581663</v>
      </c>
      <c r="EN165">
        <f>EN163*$D210</f>
        <v>350.38852592295575</v>
      </c>
      <c r="EO165">
        <f>EO163*$D210</f>
        <v>346.92081135850492</v>
      </c>
      <c r="EP165">
        <f>EP163*$D210</f>
        <v>343.32037898366258</v>
      </c>
      <c r="EQ165">
        <f>EQ163*$D210</f>
        <v>339.59135068482169</v>
      </c>
      <c r="ER165">
        <f>ER163*$D210</f>
        <v>335.73784835253628</v>
      </c>
      <c r="ES165">
        <f>ES163*$D210</f>
        <v>331.7639916875321</v>
      </c>
      <c r="ET165">
        <f>ET163*$D210</f>
        <v>327.67389604431173</v>
      </c>
      <c r="EU165">
        <f>EU163*$D210</f>
        <v>323.47167031287984</v>
      </c>
      <c r="EV165">
        <f>EV163*$D210</f>
        <v>319.1614148390812</v>
      </c>
      <c r="EW165">
        <f>EW163*$D210</f>
        <v>314.74721938401933</v>
      </c>
      <c r="EX165">
        <f>EX163*$D210</f>
        <v>310.23316112299057</v>
      </c>
      <c r="EY165">
        <f>EY163*$D210</f>
        <v>305.62330268434459</v>
      </c>
      <c r="EZ165">
        <f>EZ163*$D210</f>
        <v>300.92169022865107</v>
      </c>
      <c r="FA165">
        <f>FA163*$D210</f>
        <v>296.13235156852625</v>
      </c>
      <c r="FB165">
        <f>FB163*$D210</f>
        <v>291.25929432944429</v>
      </c>
      <c r="FC165">
        <f>FC163*$D210</f>
        <v>286.30650415183277</v>
      </c>
      <c r="FD165">
        <f>FD163*$D210</f>
        <v>281.27794293472266</v>
      </c>
      <c r="FE165">
        <f>FE163*$D210</f>
        <v>276.17754712119887</v>
      </c>
      <c r="FF165">
        <f>FF163*$D210</f>
        <v>271.00922602586883</v>
      </c>
      <c r="FG165">
        <f>FG163*$D210</f>
        <v>265.776860204542</v>
      </c>
      <c r="FH165">
        <f>FH163*$D210</f>
        <v>260.48429986628753</v>
      </c>
      <c r="FI165">
        <f>FI163*$D210</f>
        <v>255.13536332801084</v>
      </c>
      <c r="FJ165">
        <f>FJ163*$D210</f>
        <v>249.73383551166657</v>
      </c>
      <c r="FK165">
        <f>FK163*$D210</f>
        <v>244.2834664841991</v>
      </c>
      <c r="FL165">
        <f>FL163*$D210</f>
        <v>238.78797004027862</v>
      </c>
      <c r="FM165">
        <f>FM163*$D210</f>
        <v>233.25102232787654</v>
      </c>
      <c r="FN165">
        <f>FN163*$D210</f>
        <v>227.67626051670035</v>
      </c>
      <c r="FO165">
        <f>FO163*$D210</f>
        <v>222.06728150948501</v>
      </c>
      <c r="FP165">
        <f>FP163*$D210</f>
        <v>216.4276406961153</v>
      </c>
      <c r="FQ165">
        <f>FQ163*$D210</f>
        <v>210.76085075053095</v>
      </c>
      <c r="FR165">
        <f>FR163*$D210</f>
        <v>205.07038047034456</v>
      </c>
      <c r="FS165">
        <f>FS163*$D210</f>
        <v>199.35965365908092</v>
      </c>
      <c r="FT165">
        <f>FT163*$D210</f>
        <v>193.63204805092442</v>
      </c>
      <c r="FU165">
        <f>FU163*$D210</f>
        <v>187.89089427784177</v>
      </c>
      <c r="FV165">
        <f>FV163*$D210</f>
        <v>182.13947487892548</v>
      </c>
      <c r="FW165">
        <f>FW163*$D210</f>
        <v>176.38102335178485</v>
      </c>
      <c r="FX165">
        <f>FX163*$D210</f>
        <v>170.61872324579102</v>
      </c>
      <c r="FY165">
        <f>FY163*$D210</f>
        <v>164.85570729696337</v>
      </c>
      <c r="FZ165">
        <f>FZ163*$D210</f>
        <v>159.09505660426731</v>
      </c>
      <c r="GA165">
        <f>GA163*$D210</f>
        <v>153.33979984707281</v>
      </c>
      <c r="GB165">
        <f>GB163*$D210</f>
        <v>147.59291254350822</v>
      </c>
      <c r="GC165">
        <f>GC163*$D210</f>
        <v>141.85731634942402</v>
      </c>
      <c r="GD165">
        <f>GD163*$D210</f>
        <v>136.13587839766581</v>
      </c>
      <c r="GE165">
        <f>GE163*$D210</f>
        <v>130.43141067733876</v>
      </c>
      <c r="GF165">
        <f>GF163*$D210</f>
        <v>124.74666945273006</v>
      </c>
      <c r="GG165">
        <f>GG163*$D210</f>
        <v>119.08435472153984</v>
      </c>
      <c r="GH165">
        <f>GH163*$D210</f>
        <v>113.4471097120564</v>
      </c>
      <c r="GI165">
        <f>GI163*$D210</f>
        <v>107.83752041889691</v>
      </c>
      <c r="GJ165">
        <f>GJ163*$D210</f>
        <v>102.25811517691992</v>
      </c>
      <c r="GK165">
        <f>GK163*$D210</f>
        <v>96.711364272903012</v>
      </c>
      <c r="GL165">
        <f>GL163*$D210</f>
        <v>91.199679594565012</v>
      </c>
      <c r="GM165">
        <f>GM163*$D210</f>
        <v>85.725414316499595</v>
      </c>
      <c r="GN165">
        <f>GN163*$D210</f>
        <v>80.290862622574451</v>
      </c>
      <c r="GO165">
        <f>GO163*$D210</f>
        <v>74.898259464338324</v>
      </c>
      <c r="GP165">
        <f>GP163*$D210</f>
        <v>69.549780354966671</v>
      </c>
      <c r="GQ165">
        <f>GQ163*$D210</f>
        <v>64.24754119826548</v>
      </c>
    </row>
    <row r="166" spans="1:199" x14ac:dyDescent="0.25">
      <c r="A166" s="66"/>
      <c r="C166" t="s">
        <v>162</v>
      </c>
      <c r="D166" s="34">
        <f>0.1</f>
        <v>0.1</v>
      </c>
      <c r="E166" t="s">
        <v>121</v>
      </c>
    </row>
    <row r="167" spans="1:199" x14ac:dyDescent="0.25">
      <c r="A167" s="66"/>
      <c r="C167" t="s">
        <v>163</v>
      </c>
      <c r="D167" s="18">
        <f>D164*(1+D166)</f>
        <v>0.27500000000000002</v>
      </c>
    </row>
    <row r="168" spans="1:199" x14ac:dyDescent="0.25">
      <c r="A168" s="66"/>
      <c r="C168" t="s">
        <v>158</v>
      </c>
      <c r="D168" s="18">
        <f>D156/D157</f>
        <v>85.065744601000318</v>
      </c>
    </row>
    <row r="169" spans="1:199" x14ac:dyDescent="0.25">
      <c r="A169" s="66"/>
      <c r="C169" t="s">
        <v>164</v>
      </c>
      <c r="D169" s="18">
        <f>D163/D167</f>
        <v>239.99999999999997</v>
      </c>
    </row>
    <row r="170" spans="1:199" x14ac:dyDescent="0.25">
      <c r="A170" s="66"/>
      <c r="C170" t="s">
        <v>176</v>
      </c>
      <c r="D170" s="18">
        <f>D168/D169</f>
        <v>0.35444060250416803</v>
      </c>
    </row>
    <row r="171" spans="1:199" x14ac:dyDescent="0.25">
      <c r="A171" s="66"/>
      <c r="C171" t="s">
        <v>175</v>
      </c>
      <c r="D171" s="18">
        <f>D170*D164</f>
        <v>8.8610150626042009E-2</v>
      </c>
      <c r="E171" t="s">
        <v>121</v>
      </c>
    </row>
    <row r="172" spans="1:199" x14ac:dyDescent="0.25">
      <c r="A172" s="66"/>
      <c r="C172" t="s">
        <v>167</v>
      </c>
      <c r="D172" s="18">
        <f>(D159/2)+(D171/2)</f>
        <v>16.544305075313019</v>
      </c>
      <c r="E172" t="s">
        <v>121</v>
      </c>
    </row>
    <row r="173" spans="1:199" x14ac:dyDescent="0.25">
      <c r="A173" s="66"/>
      <c r="C173" t="s">
        <v>169</v>
      </c>
      <c r="D173" s="18">
        <f>(D172/1000)*D156*2*PI()</f>
        <v>8.8426636508864895</v>
      </c>
      <c r="E173" t="s">
        <v>193</v>
      </c>
    </row>
    <row r="174" spans="1:199" x14ac:dyDescent="0.25">
      <c r="A174" s="66"/>
      <c r="C174" t="s">
        <v>170</v>
      </c>
      <c r="D174" s="18">
        <f>D164/2000</f>
        <v>1.25E-4</v>
      </c>
      <c r="E174" t="s">
        <v>193</v>
      </c>
    </row>
    <row r="175" spans="1:199" x14ac:dyDescent="0.25">
      <c r="A175" s="66"/>
      <c r="C175" t="s">
        <v>171</v>
      </c>
      <c r="D175" s="18">
        <f>PI()*POWER(D174, 2)*D173</f>
        <v>4.3406323693422646E-7</v>
      </c>
    </row>
    <row r="176" spans="1:199" x14ac:dyDescent="0.25">
      <c r="A176" s="66"/>
      <c r="C176" t="s">
        <v>172</v>
      </c>
      <c r="D176" s="34">
        <v>8960</v>
      </c>
      <c r="E176" t="s">
        <v>173</v>
      </c>
    </row>
    <row r="177" spans="1:6" x14ac:dyDescent="0.25">
      <c r="A177" s="66"/>
      <c r="C177" t="s">
        <v>174</v>
      </c>
      <c r="D177" s="18">
        <f>D176*D175</f>
        <v>3.889206602930669E-3</v>
      </c>
      <c r="E177" t="s">
        <v>374</v>
      </c>
    </row>
    <row r="178" spans="1:6" x14ac:dyDescent="0.25">
      <c r="A178" s="66"/>
      <c r="C178" t="s">
        <v>203</v>
      </c>
      <c r="D178" s="18">
        <f>(D165^2)*PI()</f>
        <v>4.9087385212340514E-8</v>
      </c>
    </row>
    <row r="179" spans="1:6" x14ac:dyDescent="0.25">
      <c r="A179" s="66"/>
      <c r="C179" t="s">
        <v>182</v>
      </c>
      <c r="D179" s="36">
        <v>1.6800000000000002E-8</v>
      </c>
      <c r="E179" t="s">
        <v>702</v>
      </c>
    </row>
    <row r="180" spans="1:6" ht="15.75" x14ac:dyDescent="0.25">
      <c r="A180" s="66"/>
      <c r="C180" t="s">
        <v>181</v>
      </c>
      <c r="D180" s="33">
        <f>D179*D173/D178</f>
        <v>3.0263732462479189</v>
      </c>
      <c r="E180" s="61" t="s">
        <v>21</v>
      </c>
    </row>
    <row r="181" spans="1:6" x14ac:dyDescent="0.25">
      <c r="A181" s="66"/>
      <c r="B181" t="s">
        <v>709</v>
      </c>
      <c r="C181" t="s">
        <v>183</v>
      </c>
      <c r="D181" s="33">
        <f>POWER(D155/POWER(3, 0.5), 2)*D180</f>
        <v>6.3049442630164991</v>
      </c>
      <c r="E181" t="s">
        <v>204</v>
      </c>
    </row>
    <row r="182" spans="1:6" x14ac:dyDescent="0.25">
      <c r="A182" s="20"/>
    </row>
    <row r="183" spans="1:6" x14ac:dyDescent="0.25">
      <c r="A183" s="20"/>
    </row>
    <row r="184" spans="1:6" x14ac:dyDescent="0.25">
      <c r="A184" s="66" t="s">
        <v>710</v>
      </c>
      <c r="B184" s="2" t="s">
        <v>41</v>
      </c>
      <c r="C184" s="2" t="s">
        <v>40</v>
      </c>
      <c r="D184" s="2">
        <f>D3</f>
        <v>16000</v>
      </c>
      <c r="E184" s="2" t="s">
        <v>59</v>
      </c>
      <c r="F184" t="s">
        <v>177</v>
      </c>
    </row>
    <row r="185" spans="1:6" x14ac:dyDescent="0.25">
      <c r="A185" s="66"/>
      <c r="B185" s="2" t="s">
        <v>37</v>
      </c>
      <c r="C185" s="60" t="s">
        <v>32</v>
      </c>
      <c r="D185" s="57">
        <f>D17</f>
        <v>22</v>
      </c>
      <c r="E185" s="2" t="s">
        <v>17</v>
      </c>
      <c r="F185" t="s">
        <v>178</v>
      </c>
    </row>
    <row r="186" spans="1:6" x14ac:dyDescent="0.25">
      <c r="A186" s="66"/>
      <c r="B186" s="2" t="s">
        <v>705</v>
      </c>
      <c r="C186" s="2" t="s">
        <v>704</v>
      </c>
      <c r="D186" s="57">
        <f>D131</f>
        <v>9.4103979964856617</v>
      </c>
      <c r="E186" s="2"/>
    </row>
    <row r="187" spans="1:6" x14ac:dyDescent="0.25">
      <c r="A187" s="66"/>
      <c r="C187" t="s">
        <v>180</v>
      </c>
      <c r="D187" s="34">
        <v>1</v>
      </c>
      <c r="E187" t="s">
        <v>186</v>
      </c>
    </row>
    <row r="188" spans="1:6" x14ac:dyDescent="0.25">
      <c r="A188" s="66"/>
      <c r="C188" t="s">
        <v>179</v>
      </c>
      <c r="D188" s="34">
        <v>21</v>
      </c>
      <c r="E188" t="s">
        <v>121</v>
      </c>
    </row>
    <row r="189" spans="1:6" x14ac:dyDescent="0.25">
      <c r="A189" s="66"/>
      <c r="C189" t="s">
        <v>184</v>
      </c>
      <c r="D189" s="34">
        <v>0.1</v>
      </c>
      <c r="E189" t="s">
        <v>193</v>
      </c>
    </row>
    <row r="190" spans="1:6" x14ac:dyDescent="0.25">
      <c r="A190" s="66"/>
      <c r="C190" t="s">
        <v>190</v>
      </c>
      <c r="D190" s="18">
        <f>D187/2000</f>
        <v>5.0000000000000001E-4</v>
      </c>
      <c r="E190" t="s">
        <v>193</v>
      </c>
    </row>
    <row r="191" spans="1:6" x14ac:dyDescent="0.25">
      <c r="A191" s="66"/>
      <c r="C191" t="s">
        <v>185</v>
      </c>
      <c r="D191" s="18">
        <f>(D188/1000)*D186*2*PI()</f>
        <v>1.2416727629508495</v>
      </c>
      <c r="E191" t="s">
        <v>193</v>
      </c>
    </row>
    <row r="192" spans="1:6" x14ac:dyDescent="0.25">
      <c r="A192" s="66"/>
      <c r="C192" t="s">
        <v>170</v>
      </c>
      <c r="D192" s="18">
        <f>D187/2000</f>
        <v>5.0000000000000001E-4</v>
      </c>
      <c r="E192" t="s">
        <v>193</v>
      </c>
    </row>
    <row r="193" spans="1:5" x14ac:dyDescent="0.25">
      <c r="A193" s="66"/>
      <c r="C193" t="s">
        <v>171</v>
      </c>
      <c r="D193" s="18">
        <f>PI()*POWER(D192, 2)*D191</f>
        <v>9.7520750756223232E-7</v>
      </c>
      <c r="E193" t="s">
        <v>362</v>
      </c>
    </row>
    <row r="194" spans="1:5" x14ac:dyDescent="0.25">
      <c r="A194" s="66"/>
      <c r="C194" t="s">
        <v>187</v>
      </c>
      <c r="D194" s="18">
        <f>POWER(2*D199/(4*PI()*(0.0000001)*2*PI()*D184), 0.5)</f>
        <v>5.157209585242166E-4</v>
      </c>
      <c r="E194" t="s">
        <v>193</v>
      </c>
    </row>
    <row r="195" spans="1:5" x14ac:dyDescent="0.25">
      <c r="A195" s="66"/>
      <c r="C195" t="s">
        <v>188</v>
      </c>
      <c r="D195" s="18">
        <f>1000*D194</f>
        <v>0.51572095852421662</v>
      </c>
      <c r="E195" t="s">
        <v>121</v>
      </c>
    </row>
    <row r="196" spans="1:5" x14ac:dyDescent="0.25">
      <c r="A196" s="66"/>
      <c r="C196" t="s">
        <v>189</v>
      </c>
      <c r="D196" s="18">
        <f>POWER(D190, 2)*PI()</f>
        <v>7.8539816339744823E-7</v>
      </c>
      <c r="E196" t="s">
        <v>194</v>
      </c>
    </row>
    <row r="197" spans="1:5" x14ac:dyDescent="0.25">
      <c r="A197" s="66"/>
      <c r="C197" t="s">
        <v>191</v>
      </c>
      <c r="D197" s="18">
        <f>POWER((D190-D194), 2)*PI()</f>
        <v>7.7644002793377189E-10</v>
      </c>
      <c r="E197" t="s">
        <v>194</v>
      </c>
    </row>
    <row r="198" spans="1:5" x14ac:dyDescent="0.25">
      <c r="A198" s="66"/>
      <c r="C198" t="s">
        <v>192</v>
      </c>
      <c r="D198" s="18">
        <f>D196-D197</f>
        <v>7.8462172336951441E-7</v>
      </c>
      <c r="E198" t="s">
        <v>194</v>
      </c>
    </row>
    <row r="199" spans="1:5" x14ac:dyDescent="0.25">
      <c r="A199" s="66"/>
      <c r="C199" t="s">
        <v>182</v>
      </c>
      <c r="D199" s="33">
        <v>1.6800000000000002E-8</v>
      </c>
      <c r="E199" t="s">
        <v>702</v>
      </c>
    </row>
    <row r="200" spans="1:5" x14ac:dyDescent="0.25">
      <c r="A200" s="66"/>
      <c r="C200" t="s">
        <v>195</v>
      </c>
      <c r="D200" s="33">
        <f>D191+D189</f>
        <v>1.3416727629508496</v>
      </c>
      <c r="E200" t="s">
        <v>193</v>
      </c>
    </row>
    <row r="201" spans="1:5" x14ac:dyDescent="0.25">
      <c r="A201" s="66"/>
      <c r="C201" t="s">
        <v>196</v>
      </c>
      <c r="D201" s="33">
        <f>2*D190*PI()*D191</f>
        <v>3.9008300302489298E-3</v>
      </c>
      <c r="E201" t="s">
        <v>194</v>
      </c>
    </row>
    <row r="202" spans="1:5" x14ac:dyDescent="0.25">
      <c r="A202" s="66"/>
      <c r="C202" t="s">
        <v>197</v>
      </c>
      <c r="D202" s="33">
        <f>D199*D191/D198</f>
        <v>2.6586190257378708E-2</v>
      </c>
      <c r="E202" t="s">
        <v>21</v>
      </c>
    </row>
    <row r="203" spans="1:5" x14ac:dyDescent="0.25">
      <c r="A203" s="66"/>
      <c r="C203" t="s">
        <v>198</v>
      </c>
      <c r="D203" s="33">
        <f>D199*D189/D198</f>
        <v>2.1411591725823413E-3</v>
      </c>
      <c r="E203" t="s">
        <v>21</v>
      </c>
    </row>
    <row r="204" spans="1:5" x14ac:dyDescent="0.25">
      <c r="A204" s="66"/>
      <c r="C204" t="s">
        <v>199</v>
      </c>
      <c r="D204" s="33">
        <f>D202+D203</f>
        <v>2.8727349429961049E-2</v>
      </c>
      <c r="E204" t="s">
        <v>21</v>
      </c>
    </row>
    <row r="205" spans="1:5" x14ac:dyDescent="0.25">
      <c r="A205" s="66"/>
      <c r="C205" t="s">
        <v>706</v>
      </c>
      <c r="D205" s="33">
        <f>POWER(D185/POWER(3, 0.5), 2)*D202</f>
        <v>4.2892386948570982</v>
      </c>
      <c r="E205" t="s">
        <v>19</v>
      </c>
    </row>
    <row r="206" spans="1:5" x14ac:dyDescent="0.25">
      <c r="A206" s="66"/>
      <c r="C206" t="s">
        <v>200</v>
      </c>
      <c r="D206" s="33">
        <f>POWER(D185/POWER(3, 0.5), 2)*D203</f>
        <v>0.34544034650995109</v>
      </c>
      <c r="E206" t="s">
        <v>19</v>
      </c>
    </row>
    <row r="207" spans="1:5" x14ac:dyDescent="0.25">
      <c r="A207" s="66"/>
      <c r="C207" t="s">
        <v>201</v>
      </c>
      <c r="D207" s="33">
        <f>D205+D206</f>
        <v>4.6346790413670496</v>
      </c>
      <c r="E207" t="s">
        <v>19</v>
      </c>
    </row>
    <row r="208" spans="1:5" x14ac:dyDescent="0.25">
      <c r="A208" s="66"/>
      <c r="C208" t="s">
        <v>202</v>
      </c>
      <c r="D208" s="37">
        <f>D205/D201</f>
        <v>1099.5707738087174</v>
      </c>
      <c r="E208" t="s">
        <v>703</v>
      </c>
    </row>
    <row r="209" spans="1:107" x14ac:dyDescent="0.25">
      <c r="A209" s="65"/>
      <c r="D209" s="37"/>
    </row>
    <row r="210" spans="1:107" x14ac:dyDescent="0.25">
      <c r="A210" s="66" t="s">
        <v>909</v>
      </c>
      <c r="B210" t="s">
        <v>867</v>
      </c>
      <c r="D210">
        <f>D153</f>
        <v>8.5</v>
      </c>
    </row>
    <row r="211" spans="1:107" x14ac:dyDescent="0.25">
      <c r="A211" s="66"/>
      <c r="B211" t="s">
        <v>866</v>
      </c>
      <c r="D211">
        <f>D150</f>
        <v>3.5</v>
      </c>
      <c r="E211" s="7" t="s">
        <v>21</v>
      </c>
    </row>
    <row r="212" spans="1:107" x14ac:dyDescent="0.25">
      <c r="A212" s="66"/>
      <c r="B212" t="s">
        <v>869</v>
      </c>
      <c r="D212" s="1">
        <f>D79</f>
        <v>1.1999999999999999E-6</v>
      </c>
      <c r="E212" t="s">
        <v>20</v>
      </c>
    </row>
    <row r="213" spans="1:107" x14ac:dyDescent="0.25">
      <c r="A213" s="66"/>
      <c r="B213" t="s">
        <v>878</v>
      </c>
      <c r="D213">
        <f>D146</f>
        <v>5.0000000000000004E-6</v>
      </c>
      <c r="E213" t="s">
        <v>142</v>
      </c>
    </row>
    <row r="214" spans="1:107" x14ac:dyDescent="0.25">
      <c r="A214" s="66"/>
      <c r="B214" t="s">
        <v>880</v>
      </c>
      <c r="D214" s="1">
        <f>D148</f>
        <v>4.3951562500000022E-5</v>
      </c>
      <c r="E214" t="s">
        <v>142</v>
      </c>
    </row>
    <row r="215" spans="1:107" x14ac:dyDescent="0.25">
      <c r="A215" s="66"/>
      <c r="B215" t="s">
        <v>879</v>
      </c>
      <c r="D215">
        <f>D149</f>
        <v>0.1</v>
      </c>
      <c r="E215" s="7" t="s">
        <v>21</v>
      </c>
    </row>
    <row r="216" spans="1:107" x14ac:dyDescent="0.25">
      <c r="A216" s="66"/>
      <c r="B216" t="s">
        <v>902</v>
      </c>
      <c r="C216" t="s">
        <v>907</v>
      </c>
      <c r="D216">
        <f>D17</f>
        <v>22</v>
      </c>
      <c r="E216" s="7"/>
    </row>
    <row r="217" spans="1:107" x14ac:dyDescent="0.25">
      <c r="A217" s="66"/>
      <c r="B217" t="s">
        <v>898</v>
      </c>
      <c r="D217">
        <f>D3</f>
        <v>16000</v>
      </c>
    </row>
    <row r="218" spans="1:107" x14ac:dyDescent="0.25">
      <c r="A218" s="66"/>
      <c r="B218" t="s">
        <v>899</v>
      </c>
      <c r="D218">
        <f>D7</f>
        <v>44.1</v>
      </c>
    </row>
    <row r="219" spans="1:107" x14ac:dyDescent="0.25">
      <c r="A219" s="66"/>
      <c r="B219" t="s">
        <v>865</v>
      </c>
      <c r="D219" s="18">
        <f>D211/D210</f>
        <v>0.41176470588235292</v>
      </c>
      <c r="E219" s="7" t="s">
        <v>21</v>
      </c>
    </row>
    <row r="220" spans="1:107" x14ac:dyDescent="0.25">
      <c r="A220" s="66"/>
      <c r="B220" t="s">
        <v>868</v>
      </c>
      <c r="D220" s="18">
        <f>D212*D210</f>
        <v>1.0199999999999999E-5</v>
      </c>
      <c r="E220" t="s">
        <v>20</v>
      </c>
    </row>
    <row r="221" spans="1:107" x14ac:dyDescent="0.25">
      <c r="A221" s="66"/>
      <c r="B221" t="s">
        <v>667</v>
      </c>
      <c r="D221" s="33">
        <f>1/(D217*4*100)</f>
        <v>1.5625000000000001E-7</v>
      </c>
      <c r="E221" t="s">
        <v>233</v>
      </c>
    </row>
    <row r="222" spans="1:107" x14ac:dyDescent="0.25">
      <c r="A222" s="66"/>
      <c r="B222" t="s">
        <v>809</v>
      </c>
      <c r="C222" t="s">
        <v>870</v>
      </c>
      <c r="E222" t="s">
        <v>233</v>
      </c>
      <c r="F222">
        <v>0</v>
      </c>
      <c r="G222" s="1">
        <f>F222+$D221</f>
        <v>1.5625000000000001E-7</v>
      </c>
      <c r="H222" s="1">
        <f>G222+$D221</f>
        <v>3.1250000000000003E-7</v>
      </c>
      <c r="I222" s="1">
        <f>H222+$D221</f>
        <v>4.6875000000000006E-7</v>
      </c>
      <c r="J222" s="1">
        <f>I222+$D221</f>
        <v>6.2500000000000005E-7</v>
      </c>
      <c r="K222" s="1">
        <f>J222+$D221</f>
        <v>7.8125000000000004E-7</v>
      </c>
      <c r="L222" s="1">
        <f>K222+$D221</f>
        <v>9.3750000000000002E-7</v>
      </c>
      <c r="M222" s="1">
        <f>L222+$D221</f>
        <v>1.0937500000000001E-6</v>
      </c>
      <c r="N222" s="1">
        <f>M222+$D221</f>
        <v>1.2500000000000001E-6</v>
      </c>
      <c r="O222" s="1">
        <f>N222+$D221</f>
        <v>1.4062500000000001E-6</v>
      </c>
      <c r="P222" s="1">
        <f>O222+$D221</f>
        <v>1.5625000000000001E-6</v>
      </c>
      <c r="Q222" s="1">
        <f>P222+$D221</f>
        <v>1.7187500000000001E-6</v>
      </c>
      <c r="R222" s="1">
        <f>Q222+$D221</f>
        <v>1.875E-6</v>
      </c>
      <c r="S222" s="1">
        <f>R222+$D221</f>
        <v>2.0312500000000002E-6</v>
      </c>
      <c r="T222" s="1">
        <f>S222+$D221</f>
        <v>2.1875000000000002E-6</v>
      </c>
      <c r="U222" s="1">
        <f>T222+$D221</f>
        <v>2.3437500000000002E-6</v>
      </c>
      <c r="V222" s="1">
        <f>U222+$D221</f>
        <v>2.5000000000000002E-6</v>
      </c>
      <c r="W222" s="1">
        <f>V222+$D221</f>
        <v>2.6562500000000002E-6</v>
      </c>
      <c r="X222" s="1">
        <f>W222+$D221</f>
        <v>2.8125000000000002E-6</v>
      </c>
      <c r="Y222" s="1">
        <f>X222+$D221</f>
        <v>2.9687500000000002E-6</v>
      </c>
      <c r="Z222" s="1">
        <f>Y222+$D221</f>
        <v>3.1250000000000001E-6</v>
      </c>
      <c r="AA222" s="1">
        <f>Z222+$D221</f>
        <v>3.2812500000000001E-6</v>
      </c>
      <c r="AB222" s="1">
        <f>AA222+$D221</f>
        <v>3.4375000000000001E-6</v>
      </c>
      <c r="AC222" s="1">
        <f>AB222+$D221</f>
        <v>3.5937500000000001E-6</v>
      </c>
      <c r="AD222" s="1">
        <f>AC222+$D221</f>
        <v>3.7500000000000001E-6</v>
      </c>
      <c r="AE222" s="1">
        <f>AD222+$D221</f>
        <v>3.9062500000000001E-6</v>
      </c>
      <c r="AF222" s="1">
        <f>AE222+$D221</f>
        <v>4.0625000000000005E-6</v>
      </c>
      <c r="AG222" s="1">
        <f>AF222+$D221</f>
        <v>4.2187500000000009E-6</v>
      </c>
      <c r="AH222" s="1">
        <f>AG222+$D221</f>
        <v>4.3750000000000013E-6</v>
      </c>
      <c r="AI222" s="1">
        <f>AH222+$D221</f>
        <v>4.5312500000000017E-6</v>
      </c>
      <c r="AJ222" s="1">
        <f>AI222+$D221</f>
        <v>4.6875000000000021E-6</v>
      </c>
      <c r="AK222" s="1">
        <f>AJ222+$D221</f>
        <v>4.8437500000000025E-6</v>
      </c>
      <c r="AL222" s="1">
        <f>AK222+$D221</f>
        <v>5.000000000000003E-6</v>
      </c>
      <c r="AM222" s="1">
        <f>AL222+$D221</f>
        <v>5.1562500000000034E-6</v>
      </c>
      <c r="AN222" s="1">
        <f>AM222+$D221</f>
        <v>5.3125000000000038E-6</v>
      </c>
      <c r="AO222" s="1">
        <f>AN222+$D221</f>
        <v>5.4687500000000042E-6</v>
      </c>
      <c r="AP222" s="1">
        <f>AO222+$D221</f>
        <v>5.6250000000000046E-6</v>
      </c>
      <c r="AQ222" s="1">
        <f>AP222+$D221</f>
        <v>5.781250000000005E-6</v>
      </c>
      <c r="AR222" s="1">
        <f>AQ222+$D221</f>
        <v>5.9375000000000054E-6</v>
      </c>
      <c r="AS222" s="1">
        <f>AR222+$D221</f>
        <v>6.0937500000000058E-6</v>
      </c>
      <c r="AT222" s="1">
        <f>AS222+$D221</f>
        <v>6.2500000000000062E-6</v>
      </c>
      <c r="AU222" s="1">
        <f>AT222+$D221</f>
        <v>6.4062500000000066E-6</v>
      </c>
      <c r="AV222" s="1">
        <f>AU222+$D221</f>
        <v>6.562500000000007E-6</v>
      </c>
      <c r="AW222" s="1">
        <f>AV222+$D221</f>
        <v>6.7187500000000075E-6</v>
      </c>
      <c r="AX222" s="1">
        <f>AW222+$D221</f>
        <v>6.8750000000000079E-6</v>
      </c>
      <c r="AY222" s="1">
        <f>AX222+$D221</f>
        <v>7.0312500000000083E-6</v>
      </c>
      <c r="AZ222" s="1">
        <f>AY222+$D221</f>
        <v>7.1875000000000087E-6</v>
      </c>
      <c r="BA222" s="1">
        <f>AZ222+$D221</f>
        <v>7.3437500000000091E-6</v>
      </c>
      <c r="BB222" s="1">
        <f>BA222+$D221</f>
        <v>7.5000000000000095E-6</v>
      </c>
      <c r="BC222" s="1">
        <f>BB222+$D221</f>
        <v>7.6562500000000099E-6</v>
      </c>
      <c r="BD222" s="1">
        <f>BC222+$D221</f>
        <v>7.8125000000000103E-6</v>
      </c>
      <c r="BE222" s="1">
        <f>BD222+$D221</f>
        <v>7.9687500000000107E-6</v>
      </c>
      <c r="BF222" s="1">
        <f>BE222+$D221</f>
        <v>8.1250000000000111E-6</v>
      </c>
      <c r="BG222" s="1">
        <f>BF222+$D221</f>
        <v>8.2812500000000116E-6</v>
      </c>
      <c r="BH222" s="1">
        <f>BG222+$D221</f>
        <v>8.437500000000012E-6</v>
      </c>
      <c r="BI222" s="1">
        <f>BH222+$D221</f>
        <v>8.5937500000000124E-6</v>
      </c>
      <c r="BJ222" s="1">
        <f>BI222+$D221</f>
        <v>8.7500000000000128E-6</v>
      </c>
      <c r="BK222" s="1">
        <f>BJ222+$D221</f>
        <v>8.9062500000000132E-6</v>
      </c>
      <c r="BL222" s="1">
        <f>BK222+$D221</f>
        <v>9.0625000000000136E-6</v>
      </c>
      <c r="BM222" s="1">
        <f>BL222+$D221</f>
        <v>9.218750000000014E-6</v>
      </c>
      <c r="BN222" s="1">
        <f>BM222+$D221</f>
        <v>9.3750000000000144E-6</v>
      </c>
      <c r="BO222" s="1">
        <f>BN222+$D221</f>
        <v>9.5312500000000148E-6</v>
      </c>
      <c r="BP222" s="1">
        <f>BO222+$D221</f>
        <v>9.6875000000000152E-6</v>
      </c>
      <c r="BQ222" s="1">
        <f>BP222+$D221</f>
        <v>9.8437500000000157E-6</v>
      </c>
      <c r="BR222" s="1">
        <f>BQ222+$D221</f>
        <v>1.0000000000000016E-5</v>
      </c>
      <c r="BS222" s="1">
        <f>BR222+$D221</f>
        <v>1.0156250000000016E-5</v>
      </c>
      <c r="BT222" s="1">
        <f>BS222+$D221</f>
        <v>1.0312500000000017E-5</v>
      </c>
      <c r="BU222" s="1">
        <f>BT222+$D221</f>
        <v>1.0468750000000017E-5</v>
      </c>
      <c r="BV222" s="1">
        <f>BU222+$D221</f>
        <v>1.0625000000000018E-5</v>
      </c>
      <c r="BW222" s="1">
        <f>BV222+$D221</f>
        <v>1.0781250000000018E-5</v>
      </c>
      <c r="BX222" s="1">
        <f>BW222+$D221</f>
        <v>1.0937500000000019E-5</v>
      </c>
      <c r="BY222" s="1">
        <f>BX222+$D221</f>
        <v>1.1093750000000019E-5</v>
      </c>
      <c r="BZ222" s="1">
        <f>BY222+$D221</f>
        <v>1.1250000000000019E-5</v>
      </c>
      <c r="CA222" s="1">
        <f>BZ222+$D221</f>
        <v>1.140625000000002E-5</v>
      </c>
      <c r="CB222" s="1">
        <f>CA222+$D221</f>
        <v>1.156250000000002E-5</v>
      </c>
      <c r="CC222" s="1">
        <f>CB222+$D221</f>
        <v>1.1718750000000021E-5</v>
      </c>
      <c r="CD222" s="1">
        <f>CC222+$D221</f>
        <v>1.1875000000000021E-5</v>
      </c>
      <c r="CE222" s="1">
        <f>CD222+$D221</f>
        <v>1.2031250000000021E-5</v>
      </c>
      <c r="CF222" s="1">
        <f>CE222+$D221</f>
        <v>1.2187500000000022E-5</v>
      </c>
      <c r="CG222" s="1">
        <f>CF222+$D221</f>
        <v>1.2343750000000022E-5</v>
      </c>
      <c r="CH222" s="1">
        <f>CG222+$D221</f>
        <v>1.2500000000000023E-5</v>
      </c>
      <c r="CI222" s="1">
        <f>CH222+$D221</f>
        <v>1.2656250000000023E-5</v>
      </c>
      <c r="CJ222" s="1">
        <f>CI222+$D221</f>
        <v>1.2812500000000023E-5</v>
      </c>
      <c r="CK222" s="1">
        <f>CJ222+$D221</f>
        <v>1.2968750000000024E-5</v>
      </c>
      <c r="CL222" s="1">
        <f>CK222+$D221</f>
        <v>1.3125000000000024E-5</v>
      </c>
      <c r="CM222" s="1">
        <f>CL222+$D221</f>
        <v>1.3281250000000025E-5</v>
      </c>
      <c r="CN222" s="1">
        <f>CM222+$D221</f>
        <v>1.3437500000000025E-5</v>
      </c>
      <c r="CO222" s="1">
        <f>CN222+$D221</f>
        <v>1.3593750000000025E-5</v>
      </c>
      <c r="CP222" s="1">
        <f>CO222+$D221</f>
        <v>1.3750000000000026E-5</v>
      </c>
      <c r="CQ222" s="1">
        <f>CP222+$D221</f>
        <v>1.3906250000000026E-5</v>
      </c>
      <c r="CR222" s="1">
        <f>CQ222+$D221</f>
        <v>1.4062500000000027E-5</v>
      </c>
      <c r="CS222" s="1">
        <f>CR222+$D221</f>
        <v>1.4218750000000027E-5</v>
      </c>
      <c r="CT222" s="1">
        <f>CS222+$D221</f>
        <v>1.4375000000000028E-5</v>
      </c>
      <c r="CU222" s="1">
        <f>CT222+$D221</f>
        <v>1.4531250000000028E-5</v>
      </c>
      <c r="CV222" s="1">
        <f>CU222+$D221</f>
        <v>1.4687500000000028E-5</v>
      </c>
      <c r="CW222" s="1">
        <f>CV222+$D221</f>
        <v>1.4843750000000029E-5</v>
      </c>
      <c r="CX222" s="1">
        <f>CW222+$D221</f>
        <v>1.5000000000000029E-5</v>
      </c>
      <c r="CY222" s="1">
        <f>CX222+$D221</f>
        <v>1.515625000000003E-5</v>
      </c>
      <c r="CZ222" s="1">
        <f>CY222+$D221</f>
        <v>1.531250000000003E-5</v>
      </c>
      <c r="DA222" s="1">
        <f>CZ222+$D221</f>
        <v>1.546875000000003E-5</v>
      </c>
      <c r="DB222" s="1">
        <f>DA222+$D221</f>
        <v>1.5625000000000031E-5</v>
      </c>
      <c r="DC222" s="1"/>
    </row>
    <row r="223" spans="1:107" x14ac:dyDescent="0.25">
      <c r="A223" s="66"/>
      <c r="B223" t="s">
        <v>871</v>
      </c>
      <c r="C223" t="s">
        <v>872</v>
      </c>
      <c r="E223" t="s">
        <v>18</v>
      </c>
      <c r="F223">
        <f>D218</f>
        <v>44.1</v>
      </c>
      <c r="G223">
        <f>$F223</f>
        <v>44.1</v>
      </c>
      <c r="H223">
        <f>$F223</f>
        <v>44.1</v>
      </c>
      <c r="I223">
        <f>$F223</f>
        <v>44.1</v>
      </c>
      <c r="J223">
        <f>$F223</f>
        <v>44.1</v>
      </c>
      <c r="K223">
        <f>$F223</f>
        <v>44.1</v>
      </c>
      <c r="L223">
        <f t="shared" ref="L223:BW223" si="21">$F223</f>
        <v>44.1</v>
      </c>
      <c r="M223">
        <f t="shared" si="21"/>
        <v>44.1</v>
      </c>
      <c r="N223">
        <f t="shared" si="21"/>
        <v>44.1</v>
      </c>
      <c r="O223">
        <f t="shared" si="21"/>
        <v>44.1</v>
      </c>
      <c r="P223">
        <f t="shared" si="21"/>
        <v>44.1</v>
      </c>
      <c r="Q223">
        <f t="shared" si="21"/>
        <v>44.1</v>
      </c>
      <c r="R223">
        <f t="shared" si="21"/>
        <v>44.1</v>
      </c>
      <c r="S223">
        <f t="shared" si="21"/>
        <v>44.1</v>
      </c>
      <c r="T223">
        <f t="shared" si="21"/>
        <v>44.1</v>
      </c>
      <c r="U223">
        <f t="shared" si="21"/>
        <v>44.1</v>
      </c>
      <c r="V223">
        <f t="shared" si="21"/>
        <v>44.1</v>
      </c>
      <c r="W223">
        <f t="shared" si="21"/>
        <v>44.1</v>
      </c>
      <c r="X223">
        <f t="shared" si="21"/>
        <v>44.1</v>
      </c>
      <c r="Y223">
        <f t="shared" si="21"/>
        <v>44.1</v>
      </c>
      <c r="Z223">
        <f t="shared" si="21"/>
        <v>44.1</v>
      </c>
      <c r="AA223">
        <f t="shared" si="21"/>
        <v>44.1</v>
      </c>
      <c r="AB223">
        <f t="shared" si="21"/>
        <v>44.1</v>
      </c>
      <c r="AC223">
        <f t="shared" si="21"/>
        <v>44.1</v>
      </c>
      <c r="AD223">
        <f t="shared" si="21"/>
        <v>44.1</v>
      </c>
      <c r="AE223">
        <f t="shared" si="21"/>
        <v>44.1</v>
      </c>
      <c r="AF223">
        <f t="shared" si="21"/>
        <v>44.1</v>
      </c>
      <c r="AG223">
        <f t="shared" si="21"/>
        <v>44.1</v>
      </c>
      <c r="AH223">
        <f t="shared" si="21"/>
        <v>44.1</v>
      </c>
      <c r="AI223">
        <f t="shared" si="21"/>
        <v>44.1</v>
      </c>
      <c r="AJ223">
        <f t="shared" si="21"/>
        <v>44.1</v>
      </c>
      <c r="AK223">
        <f t="shared" si="21"/>
        <v>44.1</v>
      </c>
      <c r="AL223">
        <f t="shared" si="21"/>
        <v>44.1</v>
      </c>
      <c r="AM223">
        <f t="shared" si="21"/>
        <v>44.1</v>
      </c>
      <c r="AN223">
        <f t="shared" si="21"/>
        <v>44.1</v>
      </c>
      <c r="AO223">
        <f t="shared" si="21"/>
        <v>44.1</v>
      </c>
      <c r="AP223">
        <f t="shared" si="21"/>
        <v>44.1</v>
      </c>
      <c r="AQ223">
        <f t="shared" si="21"/>
        <v>44.1</v>
      </c>
      <c r="AR223">
        <f t="shared" si="21"/>
        <v>44.1</v>
      </c>
      <c r="AS223">
        <f t="shared" si="21"/>
        <v>44.1</v>
      </c>
      <c r="AT223">
        <f t="shared" si="21"/>
        <v>44.1</v>
      </c>
      <c r="AU223">
        <f t="shared" si="21"/>
        <v>44.1</v>
      </c>
      <c r="AV223">
        <f t="shared" si="21"/>
        <v>44.1</v>
      </c>
      <c r="AW223">
        <f t="shared" si="21"/>
        <v>44.1</v>
      </c>
      <c r="AX223">
        <f t="shared" si="21"/>
        <v>44.1</v>
      </c>
      <c r="AY223">
        <f t="shared" si="21"/>
        <v>44.1</v>
      </c>
      <c r="AZ223">
        <f t="shared" si="21"/>
        <v>44.1</v>
      </c>
      <c r="BA223">
        <f t="shared" si="21"/>
        <v>44.1</v>
      </c>
      <c r="BB223">
        <f t="shared" si="21"/>
        <v>44.1</v>
      </c>
      <c r="BC223">
        <f t="shared" si="21"/>
        <v>44.1</v>
      </c>
      <c r="BD223">
        <f t="shared" si="21"/>
        <v>44.1</v>
      </c>
      <c r="BE223">
        <f t="shared" si="21"/>
        <v>44.1</v>
      </c>
      <c r="BF223">
        <f t="shared" si="21"/>
        <v>44.1</v>
      </c>
      <c r="BG223">
        <f t="shared" si="21"/>
        <v>44.1</v>
      </c>
      <c r="BH223">
        <f t="shared" si="21"/>
        <v>44.1</v>
      </c>
      <c r="BI223">
        <f t="shared" si="21"/>
        <v>44.1</v>
      </c>
      <c r="BJ223">
        <f t="shared" si="21"/>
        <v>44.1</v>
      </c>
      <c r="BK223">
        <f t="shared" si="21"/>
        <v>44.1</v>
      </c>
      <c r="BL223">
        <f t="shared" si="21"/>
        <v>44.1</v>
      </c>
      <c r="BM223">
        <f t="shared" si="21"/>
        <v>44.1</v>
      </c>
      <c r="BN223">
        <f t="shared" si="21"/>
        <v>44.1</v>
      </c>
      <c r="BO223">
        <f t="shared" si="21"/>
        <v>44.1</v>
      </c>
      <c r="BP223">
        <f t="shared" si="21"/>
        <v>44.1</v>
      </c>
      <c r="BQ223">
        <f t="shared" si="21"/>
        <v>44.1</v>
      </c>
      <c r="BR223">
        <f t="shared" si="21"/>
        <v>44.1</v>
      </c>
      <c r="BS223">
        <f t="shared" si="21"/>
        <v>44.1</v>
      </c>
      <c r="BT223">
        <f t="shared" si="21"/>
        <v>44.1</v>
      </c>
      <c r="BU223">
        <f t="shared" si="21"/>
        <v>44.1</v>
      </c>
      <c r="BV223">
        <f t="shared" si="21"/>
        <v>44.1</v>
      </c>
      <c r="BW223">
        <f t="shared" si="21"/>
        <v>44.1</v>
      </c>
      <c r="BX223">
        <f t="shared" ref="BX223:DB223" si="22">$F223</f>
        <v>44.1</v>
      </c>
      <c r="BY223">
        <f t="shared" si="22"/>
        <v>44.1</v>
      </c>
      <c r="BZ223">
        <f t="shared" si="22"/>
        <v>44.1</v>
      </c>
      <c r="CA223">
        <f t="shared" si="22"/>
        <v>44.1</v>
      </c>
      <c r="CB223">
        <f t="shared" si="22"/>
        <v>44.1</v>
      </c>
      <c r="CC223">
        <f t="shared" si="22"/>
        <v>44.1</v>
      </c>
      <c r="CD223">
        <f t="shared" si="22"/>
        <v>44.1</v>
      </c>
      <c r="CE223">
        <f t="shared" si="22"/>
        <v>44.1</v>
      </c>
      <c r="CF223">
        <f t="shared" si="22"/>
        <v>44.1</v>
      </c>
      <c r="CG223">
        <f t="shared" si="22"/>
        <v>44.1</v>
      </c>
      <c r="CH223">
        <f t="shared" si="22"/>
        <v>44.1</v>
      </c>
      <c r="CI223">
        <f t="shared" si="22"/>
        <v>44.1</v>
      </c>
      <c r="CJ223">
        <f t="shared" si="22"/>
        <v>44.1</v>
      </c>
      <c r="CK223">
        <f t="shared" si="22"/>
        <v>44.1</v>
      </c>
      <c r="CL223">
        <f t="shared" si="22"/>
        <v>44.1</v>
      </c>
      <c r="CM223">
        <f t="shared" si="22"/>
        <v>44.1</v>
      </c>
      <c r="CN223">
        <f t="shared" si="22"/>
        <v>44.1</v>
      </c>
      <c r="CO223">
        <f t="shared" si="22"/>
        <v>44.1</v>
      </c>
      <c r="CP223">
        <f t="shared" si="22"/>
        <v>44.1</v>
      </c>
      <c r="CQ223">
        <f t="shared" si="22"/>
        <v>44.1</v>
      </c>
      <c r="CR223">
        <f t="shared" si="22"/>
        <v>44.1</v>
      </c>
      <c r="CS223">
        <f t="shared" si="22"/>
        <v>44.1</v>
      </c>
      <c r="CT223">
        <f t="shared" si="22"/>
        <v>44.1</v>
      </c>
      <c r="CU223">
        <f t="shared" si="22"/>
        <v>44.1</v>
      </c>
      <c r="CV223">
        <f t="shared" si="22"/>
        <v>44.1</v>
      </c>
      <c r="CW223">
        <f t="shared" si="22"/>
        <v>44.1</v>
      </c>
      <c r="CX223">
        <f t="shared" si="22"/>
        <v>44.1</v>
      </c>
      <c r="CY223">
        <f t="shared" si="22"/>
        <v>44.1</v>
      </c>
      <c r="CZ223">
        <f t="shared" si="22"/>
        <v>44.1</v>
      </c>
      <c r="DA223">
        <f t="shared" si="22"/>
        <v>44.1</v>
      </c>
      <c r="DB223">
        <f t="shared" si="22"/>
        <v>44.1</v>
      </c>
    </row>
    <row r="224" spans="1:107" x14ac:dyDescent="0.25">
      <c r="A224" s="66"/>
      <c r="B224" t="s">
        <v>862</v>
      </c>
      <c r="C224" t="s">
        <v>873</v>
      </c>
      <c r="E224" t="s">
        <v>17</v>
      </c>
      <c r="F224">
        <v>0</v>
      </c>
      <c r="G224">
        <f>F224 + $D221 * ((F223 - ($D215 + $D219)*F224 + ($D219*F225) - F226) /$D213)</f>
        <v>1.378125</v>
      </c>
      <c r="H224">
        <f t="shared" ref="H224:BS224" si="23">G224 + $D221 * ((G223 - ($D215 + $D219)*G224 + ($D219*G225) - G226) /$D213)</f>
        <v>2.7342101332720592</v>
      </c>
      <c r="I224">
        <f t="shared" si="23"/>
        <v>4.0679741160713254</v>
      </c>
      <c r="J224">
        <f t="shared" si="23"/>
        <v>5.3791521920673038</v>
      </c>
      <c r="K224">
        <f t="shared" si="23"/>
        <v>6.667495998841547</v>
      </c>
      <c r="L224">
        <f t="shared" si="23"/>
        <v>7.9327734278762509</v>
      </c>
      <c r="M224">
        <f t="shared" si="23"/>
        <v>9.1747684782163468</v>
      </c>
      <c r="N224">
        <f t="shared" si="23"/>
        <v>10.393281103988029</v>
      </c>
      <c r="O224">
        <f t="shared" si="23"/>
        <v>11.588127055956901</v>
      </c>
      <c r="P224">
        <f t="shared" si="23"/>
        <v>12.759137717309027</v>
      </c>
      <c r="Q224">
        <f t="shared" si="23"/>
        <v>13.906159933838229</v>
      </c>
      <c r="R224">
        <f t="shared" si="23"/>
        <v>15.029055838722893</v>
      </c>
      <c r="S224">
        <f t="shared" si="23"/>
        <v>16.127702672075397</v>
      </c>
      <c r="T224">
        <f t="shared" si="23"/>
        <v>17.201992595446981</v>
      </c>
      <c r="U224">
        <f t="shared" si="23"/>
        <v>18.251832501470588</v>
      </c>
      <c r="V224">
        <f t="shared" si="23"/>
        <v>19.277143818823692</v>
      </c>
      <c r="W224">
        <f t="shared" si="23"/>
        <v>20.277862312692662</v>
      </c>
      <c r="X224">
        <f t="shared" si="23"/>
        <v>21.253937880919544</v>
      </c>
      <c r="Y224">
        <f t="shared" si="23"/>
        <v>22.205334346011458</v>
      </c>
      <c r="Z224">
        <f t="shared" si="23"/>
        <v>23.132029243192022</v>
      </c>
      <c r="AA224">
        <f t="shared" si="23"/>
        <v>24.03401360467333</v>
      </c>
      <c r="AB224">
        <f t="shared" si="23"/>
        <v>24.911291740326053</v>
      </c>
      <c r="AC224">
        <f t="shared" si="23"/>
        <v>25.763881014924241</v>
      </c>
      <c r="AD224">
        <f t="shared" si="23"/>
        <v>26.591811622140227</v>
      </c>
      <c r="AE224">
        <f t="shared" si="23"/>
        <v>27.395126355463916</v>
      </c>
      <c r="AF224">
        <f t="shared" si="23"/>
        <v>28.173880376219458</v>
      </c>
      <c r="AG224">
        <f t="shared" si="23"/>
        <v>28.928140978850958</v>
      </c>
      <c r="AH224">
        <f t="shared" si="23"/>
        <v>29.657987353647513</v>
      </c>
      <c r="AI224">
        <f t="shared" si="23"/>
        <v>30.363510347076396</v>
      </c>
      <c r="AJ224">
        <f t="shared" si="23"/>
        <v>31.044812219891643</v>
      </c>
      <c r="AK224">
        <f t="shared" si="23"/>
        <v>31.702006403183745</v>
      </c>
      <c r="AL224">
        <f t="shared" si="23"/>
        <v>32.335217252534491</v>
      </c>
      <c r="AM224">
        <f t="shared" si="23"/>
        <v>32.944579800439243</v>
      </c>
      <c r="AN224">
        <f t="shared" si="23"/>
        <v>33.530239507157219</v>
      </c>
      <c r="AO224">
        <f t="shared" si="23"/>
        <v>34.092352010148495</v>
      </c>
      <c r="AP224">
        <f t="shared" si="23"/>
        <v>34.631082872254538</v>
      </c>
      <c r="AQ224">
        <f t="shared" si="23"/>
        <v>35.146607328777179</v>
      </c>
      <c r="AR224">
        <f t="shared" si="23"/>
        <v>35.639110033608951</v>
      </c>
      <c r="AS224">
        <f t="shared" si="23"/>
        <v>36.108784804565644</v>
      </c>
      <c r="AT224">
        <f t="shared" si="23"/>
        <v>36.555834368069881</v>
      </c>
      <c r="AU224">
        <f t="shared" si="23"/>
        <v>36.980470103332401</v>
      </c>
      <c r="AV224">
        <f t="shared" si="23"/>
        <v>37.382911786175534</v>
      </c>
      <c r="AW224">
        <f t="shared" si="23"/>
        <v>37.763387332641159</v>
      </c>
      <c r="AX224">
        <f t="shared" si="23"/>
        <v>38.122132542523204</v>
      </c>
      <c r="AY224">
        <f t="shared" si="23"/>
        <v>38.459390842962463</v>
      </c>
      <c r="AZ224">
        <f t="shared" si="23"/>
        <v>38.775413032239115</v>
      </c>
      <c r="BA224">
        <f t="shared" si="23"/>
        <v>39.070457023896104</v>
      </c>
      <c r="BB224">
        <f t="shared" si="23"/>
        <v>39.344787591324007</v>
      </c>
      <c r="BC224">
        <f t="shared" si="23"/>
        <v>39.598676112935749</v>
      </c>
      <c r="BD224">
        <f t="shared" si="23"/>
        <v>39.832400318056933</v>
      </c>
      <c r="BE224">
        <f t="shared" si="23"/>
        <v>40.046244033655199</v>
      </c>
      <c r="BF224">
        <f t="shared" si="23"/>
        <v>40.240496932029487</v>
      </c>
      <c r="BG224">
        <f t="shared" si="23"/>
        <v>40.415454279577517</v>
      </c>
      <c r="BH224">
        <f t="shared" si="23"/>
        <v>40.571416686757388</v>
      </c>
      <c r="BI224">
        <f t="shared" si="23"/>
        <v>40.70868985935644</v>
      </c>
      <c r="BJ224">
        <f t="shared" si="23"/>
        <v>40.827584351178182</v>
      </c>
      <c r="BK224">
        <f t="shared" si="23"/>
        <v>40.928415318255261</v>
      </c>
      <c r="BL224">
        <f t="shared" si="23"/>
        <v>41.011502274694074</v>
      </c>
      <c r="BM224">
        <f t="shared" si="23"/>
        <v>41.077168850253756</v>
      </c>
      <c r="BN224">
        <f t="shared" si="23"/>
        <v>41.125742549759885</v>
      </c>
      <c r="BO224">
        <f t="shared" si="23"/>
        <v>41.15755451445046</v>
      </c>
      <c r="BP224">
        <f t="shared" si="23"/>
        <v>41.172939285349052</v>
      </c>
      <c r="BQ224">
        <f t="shared" si="23"/>
        <v>41.172234568757467</v>
      </c>
      <c r="BR224">
        <f t="shared" si="23"/>
        <v>41.155781003957529</v>
      </c>
      <c r="BS224">
        <f t="shared" si="23"/>
        <v>41.123921933208941</v>
      </c>
      <c r="BT224">
        <f t="shared" ref="BT224:DB224" si="24">BS224 + $D221 * ((BS223 - ($D215 + $D219)*BS224 + ($D219*BS225) - BS226) /$D213)</f>
        <v>41.077003174127526</v>
      </c>
      <c r="BU224">
        <f t="shared" si="24"/>
        <v>41.015372794525483</v>
      </c>
      <c r="BV224">
        <f t="shared" si="24"/>
        <v>40.939380889792602</v>
      </c>
      <c r="BW224">
        <f t="shared" si="24"/>
        <v>40.84937936289473</v>
      </c>
      <c r="BX224">
        <f t="shared" si="24"/>
        <v>40.74572170706319</v>
      </c>
      <c r="BY224">
        <f t="shared" si="24"/>
        <v>40.628762791246068</v>
      </c>
      <c r="BZ224">
        <f t="shared" si="24"/>
        <v>40.498858648389728</v>
      </c>
      <c r="CA224">
        <f t="shared" si="24"/>
        <v>40.356366266616263</v>
      </c>
      <c r="CB224">
        <f t="shared" si="24"/>
        <v>40.201643383359922</v>
      </c>
      <c r="CC224">
        <f t="shared" si="24"/>
        <v>40.035048282522993</v>
      </c>
      <c r="CD224">
        <f t="shared" si="24"/>
        <v>39.856939594708891</v>
      </c>
      <c r="CE224">
        <f t="shared" si="24"/>
        <v>39.667676100587791</v>
      </c>
      <c r="CF224">
        <f t="shared" si="24"/>
        <v>39.467616537447384</v>
      </c>
      <c r="CG224">
        <f t="shared" si="24"/>
        <v>39.257119408978824</v>
      </c>
      <c r="CH224">
        <f t="shared" si="24"/>
        <v>39.036542798345437</v>
      </c>
      <c r="CI224">
        <f t="shared" si="24"/>
        <v>38.806244184579157</v>
      </c>
      <c r="CJ224">
        <f t="shared" si="24"/>
        <v>38.566580262347159</v>
      </c>
      <c r="CK224">
        <f t="shared" si="24"/>
        <v>38.317906765128647</v>
      </c>
      <c r="CL224">
        <f t="shared" si="24"/>
        <v>38.06057829183932</v>
      </c>
      <c r="CM224">
        <f t="shared" si="24"/>
        <v>37.79494813693853</v>
      </c>
      <c r="CN224">
        <f t="shared" si="24"/>
        <v>37.521368124051705</v>
      </c>
      <c r="CO224">
        <f t="shared" si="24"/>
        <v>37.240188443138301</v>
      </c>
      <c r="CP224">
        <f t="shared" si="24"/>
        <v>36.951757491233003</v>
      </c>
      <c r="CQ224">
        <f t="shared" si="24"/>
        <v>36.656421716785637</v>
      </c>
      <c r="CR224">
        <f t="shared" si="24"/>
        <v>36.354525467622885</v>
      </c>
      <c r="CS224">
        <f t="shared" si="24"/>
        <v>36.046410842552646</v>
      </c>
      <c r="CT224">
        <f t="shared" si="24"/>
        <v>35.732417546629421</v>
      </c>
      <c r="CU224">
        <f t="shared" si="24"/>
        <v>35.412882750097097</v>
      </c>
      <c r="CV224">
        <f t="shared" si="24"/>
        <v>35.088140951023071</v>
      </c>
      <c r="CW224">
        <f t="shared" si="24"/>
        <v>34.758523841635558</v>
      </c>
      <c r="CX224">
        <f t="shared" si="24"/>
        <v>34.424360178373746</v>
      </c>
      <c r="CY224">
        <f t="shared" si="24"/>
        <v>34.085975655658288</v>
      </c>
      <c r="CZ224">
        <f t="shared" si="24"/>
        <v>33.743692783387587</v>
      </c>
      <c r="DA224">
        <f t="shared" si="24"/>
        <v>33.397830768163168</v>
      </c>
      <c r="DB224">
        <f t="shared" si="24"/>
        <v>33.048705398245446</v>
      </c>
    </row>
    <row r="225" spans="1:107" x14ac:dyDescent="0.25">
      <c r="A225" s="66"/>
      <c r="B225" t="s">
        <v>874</v>
      </c>
      <c r="C225" t="s">
        <v>875</v>
      </c>
      <c r="E225" t="s">
        <v>17</v>
      </c>
      <c r="F225">
        <v>0</v>
      </c>
      <c r="G225" s="1">
        <f>F225 + $D221 * (($D219*(F224 - F225) + F226) /$D214)</f>
        <v>0</v>
      </c>
      <c r="H225" s="1">
        <f>G225 + $D221 * (($D219*(G224 - G225) + G226) /$D214)</f>
        <v>2.01736014538063E-3</v>
      </c>
      <c r="I225" s="1">
        <f>H225 + $D221 * (($D219*(H224 - H225) + H226) /$D214)</f>
        <v>6.0919150072537096E-3</v>
      </c>
      <c r="J225" s="1">
        <f>I225 + $D221 * (($D219*(I224 - I225) + I226) /$D214)</f>
        <v>1.2261718969433602E-2</v>
      </c>
      <c r="K225" s="1">
        <f>J225 + $D221 * (($D219*(J224 - J225) + J226) /$D214)</f>
        <v>2.0563055540294584E-2</v>
      </c>
      <c r="L225" s="1">
        <f>K225 + $D221 * (($D219*(K224 - K225) + K226) /$D214)</f>
        <v>3.1030447452574807E-2</v>
      </c>
      <c r="M225" s="1">
        <f>L225 + $D221 * (($D219*(L224 - L225) + L226) /$D214)</f>
        <v>4.3696667532667668E-2</v>
      </c>
      <c r="N225" s="1">
        <f>M225 + $D221 * (($D219*(M224 - M225) + M226) /$D214)</f>
        <v>5.8592750320838376E-2</v>
      </c>
      <c r="O225" s="1">
        <f>N225 + $D221 * (($D219*(N224 - N225) + N226) /$D214)</f>
        <v>7.5748004423711893E-2</v>
      </c>
      <c r="P225" s="1">
        <f>O225 + $D221 * (($D219*(O224 - O225) + O226) /$D214)</f>
        <v>9.5190025580298626E-2</v>
      </c>
      <c r="Q225" s="1">
        <f>P225 + $D221 * (($D219*(P224 - P225) + P226) /$D214)</f>
        <v>0.11694471042275532</v>
      </c>
      <c r="R225" s="1">
        <f>Q225 + $D221 * (($D219*(Q224 - Q225) + Q226) /$D214)</f>
        <v>0.14103627091302123</v>
      </c>
      <c r="S225" s="1">
        <f>R225 + $D221 * (($D219*(R224 - R225) + R226) /$D214)</f>
        <v>0.16748724943642268</v>
      </c>
      <c r="T225" s="1">
        <f>S225 + $D221 * (($D219*(S224 - S225) + S226) /$D214)</f>
        <v>0.19631853453330406</v>
      </c>
      <c r="U225" s="1">
        <f>T225 + $D221 * (($D219*(T224 - T225) + T226) /$D214)</f>
        <v>0.22754937724971738</v>
      </c>
      <c r="V225" s="1">
        <f>U225 + $D221 * (($D219*(U224 - U225) + U226) /$D214)</f>
        <v>0.26119740808818881</v>
      </c>
      <c r="W225" s="1">
        <f>V225 + $D221 * (($D219*(V224 - V225) + V226) /$D214)</f>
        <v>0.29727865453957558</v>
      </c>
      <c r="X225" s="1">
        <f>W225 + $D221 * (($D219*(W224 - W225) + W226) /$D214)</f>
        <v>0.33580755917703342</v>
      </c>
      <c r="Y225" s="1">
        <f>X225 + $D221 * (($D219*(X224 - X225) + X226) /$D214)</f>
        <v>0.37679699829312996</v>
      </c>
      <c r="Z225" s="1">
        <f>Y225 + $D221 * (($D219*(Y224 - Y225) + Y226) /$D214)</f>
        <v>0.42025830106116574</v>
      </c>
      <c r="AA225" s="1">
        <f>Z225 + $D221 * (($D219*(Z224 - Z225) + Z226) /$D214)</f>
        <v>0.46620126920179988</v>
      </c>
      <c r="AB225" s="1">
        <f>AA225 + $D221 * (($D219*(AA224 - AA225) + AA226) /$D214)</f>
        <v>0.51463419713612224</v>
      </c>
      <c r="AC225" s="1">
        <f>AB225 + $D221 * (($D219*(AB224 - AB225) + AB226) /$D214)</f>
        <v>0.56556389260636786</v>
      </c>
      <c r="AD225" s="1">
        <f>AC225 + $D221 * (($D219*(AC224 - AC225) + AC226) /$D214)</f>
        <v>0.61899569774553409</v>
      </c>
      <c r="AE225" s="1">
        <f>AD225 + $D221 * (($D219*(AD224 - AD225) + AD226) /$D214)</f>
        <v>0.67493351057723061</v>
      </c>
      <c r="AF225" s="1">
        <f>AE225 + $D221 * (($D219*(AE224 - AE225) + AE226) /$D214)</f>
        <v>0.73337980692717641</v>
      </c>
      <c r="AG225" s="1">
        <f>AF225 + $D221 * (($D219*(AF224 - AF225) + AF226) /$D214)</f>
        <v>0.79433566272784506</v>
      </c>
      <c r="AH225" s="1">
        <f>AG225 + $D221 * (($D219*(AG224 - AG225) + AG226) /$D214)</f>
        <v>0.85780077669785859</v>
      </c>
      <c r="AI225" s="1">
        <f>AH225 + $D221 * (($D219*(AH224 - AH225) + AH226) /$D214)</f>
        <v>0.92377349337783643</v>
      </c>
      <c r="AJ225" s="1">
        <f>AI225 + $D221 * (($D219*(AI224 - AI225) + AI226) /$D214)</f>
        <v>0.99225082650451879</v>
      </c>
      <c r="AK225" s="1">
        <f>AJ225 + $D221 * (($D219*(AJ224 - AJ225) + AJ226) /$D214)</f>
        <v>1.0632284827051073</v>
      </c>
      <c r="AL225" s="1">
        <f>AK225 + $D221 * (($D219*(AK224 - AK225) + AK226) /$D214)</f>
        <v>1.1367008854938938</v>
      </c>
      <c r="AM225" s="1">
        <f>AL225 + $D221 * (($D219*(AL224 - AL225) + AL226) /$D214)</f>
        <v>1.2126611995533858</v>
      </c>
      <c r="AN225" s="1">
        <f>AM225 + $D221 * (($D219*(AM224 - AM225) + AM226) /$D214)</f>
        <v>1.2911013552822805</v>
      </c>
      <c r="AO225" s="1">
        <f>AN225 + $D221 * (($D219*(AN224 - AN225) + AN226) /$D214)</f>
        <v>1.3720120735927908</v>
      </c>
      <c r="AP225" s="1">
        <f>AO225 + $D221 * (($D219*(AO224 - AO225) + AO226) /$D214)</f>
        <v>1.4553828909399833</v>
      </c>
      <c r="AQ225" s="1">
        <f>AP225 + $D221 * (($D219*(AP224 - AP225) + AP226) /$D214)</f>
        <v>1.5412021845659567</v>
      </c>
      <c r="AR225" s="1">
        <f>AQ225 + $D221 * (($D219*(AQ224 - AQ225) + AQ226) /$D214)</f>
        <v>1.629457197941852</v>
      </c>
      <c r="AS225" s="1">
        <f>AR225 + $D221 * (($D219*(AR224 - AR225) + AR226) /$D214)</f>
        <v>1.7201340663908724</v>
      </c>
      <c r="AT225" s="1">
        <f>AS225 + $D221 * (($D219*(AS224 - AS225) + AS226) /$D214)</f>
        <v>1.8132178428756669</v>
      </c>
      <c r="AU225" s="1">
        <f>AT225 + $D221 * (($D219*(AT224 - AT225) + AT226) /$D214)</f>
        <v>1.9086925239336223</v>
      </c>
      <c r="AV225" s="1">
        <f>AU225 + $D221 * (($D219*(AU224 - AU225) + AU226) /$D214)</f>
        <v>2.0065410757438058</v>
      </c>
      <c r="AW225" s="1">
        <f>AV225 + $D221 * (($D219*(AV224 - AV225) + AV226) /$D214)</f>
        <v>2.1067454603094942</v>
      </c>
      <c r="AX225" s="1">
        <f>AW225 + $D221 * (($D219*(AW224 - AW225) + AW226) /$D214)</f>
        <v>2.209286661740439</v>
      </c>
      <c r="AY225" s="1">
        <f>AX225 + $D221 * (($D219*(AX224 - AX225) + AX226) /$D214)</f>
        <v>2.3141447126192167</v>
      </c>
      <c r="AZ225" s="1">
        <f>AY225 + $D221 * (($D219*(AY224 - AY225) + AY226) /$D214)</f>
        <v>2.4212987204362415</v>
      </c>
      <c r="BA225" s="1">
        <f>AZ225 + $D221 * (($D219*(AZ224 - AZ225) + AZ226) /$D214)</f>
        <v>2.5307268940782213</v>
      </c>
      <c r="BB225" s="1">
        <f>BA225 + $D221 * (($D219*(BA224 - BA225) + BA226) /$D214)</f>
        <v>2.6424065703550794</v>
      </c>
      <c r="BC225" s="1">
        <f>BB225 + $D221 * (($D219*(BB224 - BB225) + BB226) /$D214)</f>
        <v>2.7563142405505778</v>
      </c>
      <c r="BD225" s="1">
        <f>BC225 + $D221 * (($D219*(BC224 - BC225) + BC226) /$D214)</f>
        <v>2.8724255769821201</v>
      </c>
      <c r="BE225" s="1">
        <f>BD225 + $D221 * (($D219*(BD224 - BD225) + BD226) /$D214)</f>
        <v>2.9907154595554419</v>
      </c>
      <c r="BF225" s="1">
        <f>BE225 + $D221 * (($D219*(BE224 - BE225) + BE226) /$D214)</f>
        <v>3.1111580023001446</v>
      </c>
      <c r="BG225" s="1">
        <f>BF225 + $D221 * (($D219*(BF224 - BF225) + BF226) /$D214)</f>
        <v>3.233726579872259</v>
      </c>
      <c r="BH225" s="1">
        <f>BG225 + $D221 * (($D219*(BG224 - BG225) + BG226) /$D214)</f>
        <v>3.3583938540102887</v>
      </c>
      <c r="BI225" s="1">
        <f>BH225 + $D221 * (($D219*(BH224 - BH225) + BH226) /$D214)</f>
        <v>3.4851317999314184</v>
      </c>
      <c r="BJ225" s="1">
        <f>BI225 + $D221 * (($D219*(BI224 - BI225) + BI226) /$D214)</f>
        <v>3.6139117326548309</v>
      </c>
      <c r="BK225" s="1">
        <f>BJ225 + $D221 * (($D219*(BJ224 - BJ225) + BJ226) /$D214)</f>
        <v>3.7447043332393362</v>
      </c>
      <c r="BL225" s="1">
        <f>BK225 + $D221 * (($D219*(BK224 - BK225) + BK226) /$D214)</f>
        <v>3.877479674922768</v>
      </c>
      <c r="BM225" s="1">
        <f>BL225 + $D221 * (($D219*(BL224 - BL225) + BL226) /$D214)</f>
        <v>4.0122072491508627</v>
      </c>
      <c r="BN225" s="1">
        <f>BM225 + $D221 * (($D219*(BM224 - BM225) + BM226) /$D214)</f>
        <v>4.1488559914836101</v>
      </c>
      <c r="BO225" s="1">
        <f>BN225 + $D221 * (($D219*(BN224 - BN225) + BN226) /$D214)</f>
        <v>4.2873943073673084</v>
      </c>
      <c r="BP225" s="1">
        <f>BO225 + $D221 * (($D219*(BO224 - BO225) + BO226) /$D214)</f>
        <v>4.4277900977608526</v>
      </c>
      <c r="BQ225" s="1">
        <f>BP225 + $D221 * (($D219*(BP224 - BP225) + BP226) /$D214)</f>
        <v>4.57001078460502</v>
      </c>
      <c r="BR225" s="1">
        <f>BQ225 + $D221 * (($D219*(BQ224 - BQ225) + BQ226) /$D214)</f>
        <v>4.7140233361238169</v>
      </c>
      <c r="BS225" s="1">
        <f>BR225 + $D221 * (($D219*(BR224 - BR225) + BR226) /$D214)</f>
        <v>4.8597942919471988</v>
      </c>
      <c r="BT225" s="1">
        <f>BS225 + $D221 * (($D219*(BS224 - BS225) + BS226) /$D214)</f>
        <v>5.0072897880447647</v>
      </c>
      <c r="BU225" s="1">
        <f>BT225 + $D221 * (($D219*(BT224 - BT225) + BT226) /$D214)</f>
        <v>5.1564755814602874</v>
      </c>
      <c r="BV225" s="1">
        <f>BU225 + $D221 * (($D219*(BU224 - BU225) + BU226) /$D214)</f>
        <v>5.3073170748372283</v>
      </c>
      <c r="BW225" s="1">
        <f>BV225 + $D221 * (($D219*(BV224 - BV225) + BV226) /$D214)</f>
        <v>5.4597793407256452</v>
      </c>
      <c r="BX225" s="1">
        <f>BW225 + $D221 * (($D219*(BW224 - BW225) + BW226) /$D214)</f>
        <v>5.6138271456611912</v>
      </c>
      <c r="BY225" s="1">
        <f>BX225 + $D221 * (($D219*(BX224 - BX225) + BX226) /$D214)</f>
        <v>5.7694249740071744</v>
      </c>
      <c r="BZ225" s="1">
        <f>BY225 + $D221 * (($D219*(BY224 - BY225) + BY226) /$D214)</f>
        <v>5.9265370515509126</v>
      </c>
      <c r="CA225" s="1">
        <f>BZ225 + $D221 * (($D219*(BZ224 - BZ225) + BZ226) /$D214)</f>
        <v>6.0851273688459173</v>
      </c>
      <c r="CB225" s="1">
        <f>CA225 + $D221 * (($D219*(CA224 - CA225) + CA226) /$D214)</f>
        <v>6.2451597042916891</v>
      </c>
      <c r="CC225" s="1">
        <f>CB225 + $D221 * (($D219*(CB224 - CB225) + CB226) /$D214)</f>
        <v>6.406597646943208</v>
      </c>
      <c r="CD225" s="1">
        <f>CC225 + $D221 * (($D219*(CC224 - CC225) + CC226) /$D214)</f>
        <v>6.5694046190424613</v>
      </c>
      <c r="CE225" s="1">
        <f>CD225 + $D221 * (($D219*(CD224 - CD225) + CD226) /$D214)</f>
        <v>6.7335438982646316</v>
      </c>
      <c r="CF225" s="1">
        <f>CE225 + $D221 * (($D219*(CE224 - CE225) + CE226) /$D214)</f>
        <v>6.8989786396718422</v>
      </c>
      <c r="CG225" s="1">
        <f>CF225 + $D221 * (($D219*(CF224 - CF225) + CF226) /$D214)</f>
        <v>7.0656718973676345</v>
      </c>
      <c r="CH225" s="1">
        <f>CG225 + $D221 * (($D219*(CG224 - CG225) + CG226) /$D214)</f>
        <v>7.2335866458456133</v>
      </c>
      <c r="CI225" s="1">
        <f>CH225 + $D221 * (($D219*(CH224 - CH225) + CH226) /$D214)</f>
        <v>7.4026858010259842</v>
      </c>
      <c r="CJ225" s="1">
        <f>CI225 + $D221 * (($D219*(CI224 - CI225) + CI226) /$D214)</f>
        <v>7.5729322409739597</v>
      </c>
      <c r="CK225" s="1">
        <f>CJ225 + $D221 * (($D219*(CJ224 - CJ225) + CJ226) /$D214)</f>
        <v>7.744288826294297</v>
      </c>
      <c r="CL225" s="1">
        <f>CK225 + $D221 * (($D219*(CK224 - CK225) + CK226) /$D214)</f>
        <v>7.9167184201964815</v>
      </c>
      <c r="CM225" s="1">
        <f>CL225 + $D221 * (($D219*(CL224 - CL225) + CL226) /$D214)</f>
        <v>8.0901839082253542</v>
      </c>
      <c r="CN225" s="1">
        <f>CM225 + $D221 * (($D219*(CM224 - CM225) + CM226) /$D214)</f>
        <v>8.2646482176522245</v>
      </c>
      <c r="CO225" s="1">
        <f>CN225 + $D221 * (($D219*(CN224 - CN225) + CN226) /$D214)</f>
        <v>8.4400743365218034</v>
      </c>
      <c r="CP225" s="1">
        <f>CO225 + $D221 * (($D219*(CO224 - CO225) + CO226) /$D214)</f>
        <v>8.6164253323505058</v>
      </c>
      <c r="CQ225" s="1">
        <f>CP225 + $D221 * (($D219*(CP224 - CP225) + CP226) /$D214)</f>
        <v>8.7936643704719906</v>
      </c>
      <c r="CR225" s="1">
        <f>CQ225 + $D221 * (($D219*(CQ224 - CQ225) + CQ226) /$D214)</f>
        <v>8.9717547320260067</v>
      </c>
      <c r="CS225" s="1">
        <f>CR225 + $D221 * (($D219*(CR224 - CR225) + CR226) /$D214)</f>
        <v>9.1506598315869052</v>
      </c>
      <c r="CT225" s="1">
        <f>CS225 + $D221 * (($D219*(CS224 - CS225) + CS226) /$D214)</f>
        <v>9.3303432344284136</v>
      </c>
      <c r="CU225" s="1">
        <f>CT225 + $D221 * (($D219*(CT224 - CT225) + CT226) /$D214)</f>
        <v>9.5107686734215218</v>
      </c>
      <c r="CV225" s="1">
        <f>CU225 + $D221 * (($D219*(CU224 - CU225) + CU226) /$D214)</f>
        <v>9.6919000655625833</v>
      </c>
      <c r="CW225" s="1">
        <f>CV225 + $D221 * (($D219*(CV224 - CV225) + CV226) /$D214)</f>
        <v>9.8737015281289668</v>
      </c>
      <c r="CX225" s="1">
        <f>CW225 + $D221 * (($D219*(CW224 - CW225) + CW226) /$D214)</f>
        <v>10.056137394459851</v>
      </c>
      <c r="CY225" s="1">
        <f>CX225 + $D221 * (($D219*(CX224 - CX225) + CX226) /$D214)</f>
        <v>10.23917222935998</v>
      </c>
      <c r="CZ225" s="1">
        <f>CY225 + $D221 * (($D219*(CY224 - CY225) + CY226) /$D214)</f>
        <v>10.422770844124445</v>
      </c>
      <c r="DA225" s="1">
        <f>CZ225 + $D221 * (($D219*(CZ224 - CZ225) + CZ226) /$D214)</f>
        <v>10.606898311182793</v>
      </c>
      <c r="DB225" s="1">
        <f>DA225 + $D221 * (($D219*(DA224 - DA225) + DA226) /$D214)</f>
        <v>10.791519978360974</v>
      </c>
      <c r="DC225" s="1"/>
    </row>
    <row r="226" spans="1:107" x14ac:dyDescent="0.25">
      <c r="A226" s="66"/>
      <c r="B226" t="s">
        <v>876</v>
      </c>
      <c r="C226" t="s">
        <v>877</v>
      </c>
      <c r="E226" t="s">
        <v>18</v>
      </c>
      <c r="F226">
        <v>0</v>
      </c>
      <c r="G226">
        <f>F226 + $D221 * ((F224 -F225) / $D220)</f>
        <v>0</v>
      </c>
      <c r="H226">
        <f>G226 + $D221 * ((G224 -G225) / $D220)</f>
        <v>2.1110983455882356E-2</v>
      </c>
      <c r="I226">
        <f>H226 + $D221 * ((H224 -H225) / $D220)</f>
        <v>6.2964426671670945E-2</v>
      </c>
      <c r="J226">
        <f>I226 + $D221 * ((I224 -I225) / $D220)</f>
        <v>0.12518688685953971</v>
      </c>
      <c r="K226">
        <f>J226 + $D221 * ((J224 -J225) / $D220)</f>
        <v>0.20740028258714191</v>
      </c>
      <c r="L226">
        <f>K226 + $D221 * ((K224 -K225) / $D220)</f>
        <v>0.30922217203722241</v>
      </c>
      <c r="M226">
        <f>L226 + $D221 * ((L224 -L225) / $D220)</f>
        <v>0.43026602896773219</v>
      </c>
      <c r="N226">
        <f>M226 + $D221 * ((M224 -M225) / $D220)</f>
        <v>0.57014151626374443</v>
      </c>
      <c r="O226">
        <f>N226 + $D221 * ((N224 -N225) / $D220)</f>
        <v>0.72845475697555806</v>
      </c>
      <c r="P226">
        <f>O226 + $D221 * ((O224 -O225) / $D220)</f>
        <v>0.90480860274046604</v>
      </c>
      <c r="Q226">
        <f>P226 + $D221 * ((P224 -P225) / $D220)</f>
        <v>1.0988028994887615</v>
      </c>
      <c r="R226">
        <f>Q226 + $D221 * ((Q224 -Q225) / $D220)</f>
        <v>1.3100347503376506</v>
      </c>
      <c r="S226">
        <f>R226 + $D221 * ((R224 -R225) / $D220)</f>
        <v>1.5380987755798361</v>
      </c>
      <c r="T226">
        <f>S226 + $D221 * ((S224 -S225) / $D220)</f>
        <v>1.7825873696766341</v>
      </c>
      <c r="U226">
        <f>T226 + $D221 * ((T224 -T225) / $D220)</f>
        <v>2.0430909551685716</v>
      </c>
      <c r="V226">
        <f>U226 + $D221 * ((U224 -U225) / $D220)</f>
        <v>2.3191982334195043</v>
      </c>
      <c r="W226">
        <f>V226 + $D221 * ((V224 -V225) / $D220)</f>
        <v>2.6104964321133695</v>
      </c>
      <c r="X226">
        <f>W226 + $D221 * ((W224 -W225) / $D220)</f>
        <v>2.9165715494257638</v>
      </c>
      <c r="Y226">
        <f>X226 + $D221 * ((X224 -X225) / $D220)</f>
        <v>3.237008594795594</v>
      </c>
      <c r="Z226">
        <f>Y226 + $D221 * ((Y224 -Y225) / $D220)</f>
        <v>3.5713918262251028</v>
      </c>
      <c r="AA226">
        <f>Z226 + $D221 * ((Z224 -Z225) / $D220)</f>
        <v>3.9193049840396075</v>
      </c>
      <c r="AB226">
        <f>AA226 + $D221 * ((AA224 -AA225) / $D220)</f>
        <v>4.2803315210413162</v>
      </c>
      <c r="AC226">
        <f>AB226 + $D221 * ((AB224 -AB225) / $D220)</f>
        <v>4.6540548289945933</v>
      </c>
      <c r="AD226">
        <f>AC226 + $D221 * ((AC224 -AC225) / $D220)</f>
        <v>5.0400584613830413</v>
      </c>
      <c r="AE226">
        <f>AD226 + $D221 * ((AD224 -AD225) / $D220)</f>
        <v>5.4379263523817345</v>
      </c>
      <c r="AF226">
        <f>AE226 + $D221 * ((AE224 -AE225) / $D220)</f>
        <v>5.8472430319909057</v>
      </c>
      <c r="AG226">
        <f>AF226 + $D221 * ((AF224 -AF225) / $D220)</f>
        <v>6.2675938372803097</v>
      </c>
      <c r="AH226">
        <f>AG226 + $D221 * ((AG224 -AG225) / $D220)</f>
        <v>6.6985651196964113</v>
      </c>
      <c r="AI226">
        <f>AH226 + $D221 * ((AH224 -AH225) / $D220)</f>
        <v>7.1397444483874297</v>
      </c>
      <c r="AJ226">
        <f>AI226 + $D221 * ((AI224 -AI225) / $D220)</f>
        <v>7.5907208095041359</v>
      </c>
      <c r="AK226">
        <f>AJ226 + $D221 * ((AJ224 -AJ225) / $D220)</f>
        <v>8.051084801437149</v>
      </c>
      <c r="AL226">
        <f>AK226 + $D221 * ((AK224 -AK225) / $D220)</f>
        <v>8.5204288259542853</v>
      </c>
      <c r="AM226">
        <f>AL226 + $D221 * ((AL224 -AL225) / $D220)</f>
        <v>8.9983472752042939</v>
      </c>
      <c r="AN226">
        <f>AM226 + $D221 * ((AM224 -AM225) / $D220)</f>
        <v>9.4844367145561002</v>
      </c>
      <c r="AO226">
        <f>AN226 + $D221 * ((AN224 -AN225) / $D220)</f>
        <v>9.9782960612453611</v>
      </c>
      <c r="AP226">
        <f>AO226 + $D221 * ((AO224 -AO225) / $D220)</f>
        <v>10.479526758802894</v>
      </c>
      <c r="AQ226">
        <f>AP226 + $D221 * ((AP224 -AP225) / $D220)</f>
        <v>10.987732947242149</v>
      </c>
      <c r="AR226">
        <f>AQ226 + $D221 * ((AQ224 -AQ225) / $D220)</f>
        <v>11.502521628985582</v>
      </c>
      <c r="AS226">
        <f>AR226 + $D221 * ((AR224 -AR225) / $D220)</f>
        <v>12.023502830512346</v>
      </c>
      <c r="AT226">
        <f>AS226 + $D221 * ((AS224 -AS225) / $D220)</f>
        <v>12.550289759712328</v>
      </c>
      <c r="AU226">
        <f>AT226 + $D221 * ((AT224 -AT225) / $D220)</f>
        <v>13.082498958934053</v>
      </c>
      <c r="AV226">
        <f>AU226 + $D221 * ((AU224 -AU225) / $D220)</f>
        <v>13.619750453716509</v>
      </c>
      <c r="AW226">
        <f>AV226 + $D221 * ((AV224 -AV225) / $D220)</f>
        <v>14.161667897197388</v>
      </c>
      <c r="AX226">
        <f>AW226 + $D221 * ((AW224 -AW225) / $D220)</f>
        <v>14.707878710192665</v>
      </c>
      <c r="AY226">
        <f>AX226 + $D221 * ((AX224 -AX225) / $D220)</f>
        <v>15.258014216944852</v>
      </c>
      <c r="AZ226">
        <f>AY226 + $D221 * ((AY224 -AY225) / $D220)</f>
        <v>15.811709776539571</v>
      </c>
      <c r="BA226">
        <f>AZ226 + $D221 * ((AZ224 -AZ225) / $D220)</f>
        <v>16.368604909992435</v>
      </c>
      <c r="BB226">
        <f>BA226 + $D221 * ((BA224 -BA225) / $D220)</f>
        <v>16.928343423010478</v>
      </c>
      <c r="BC226">
        <f>BB226 + $D221 * ((BB224 -BB225) / $D220)</f>
        <v>17.490573524434634</v>
      </c>
      <c r="BD226">
        <f>BC226 + $D221 * ((BC224 -BC225) / $D220)</f>
        <v>18.054947940371907</v>
      </c>
      <c r="BE226">
        <f>BD226 + $D221 * ((BD224 -BD225) / $D220)</f>
        <v>18.621124024028077</v>
      </c>
      <c r="BF226">
        <f>BE226 + $D221 * ((BE224 -BE225) / $D220)</f>
        <v>19.188763861253872</v>
      </c>
      <c r="BG226">
        <f>BF226 + $D221 * ((BF224 -BF225) / $D220)</f>
        <v>19.757534371819578</v>
      </c>
      <c r="BH226">
        <f>BG226 + $D221 * ((BG224 -BG225) / $D220)</f>
        <v>20.327107406435161</v>
      </c>
      <c r="BI226">
        <f>BH226 + $D221 * ((BH224 -BH225) / $D220)</f>
        <v>20.89715983953484</v>
      </c>
      <c r="BJ226">
        <f>BI226 + $D221 * ((BI224 -BI225) / $D220)</f>
        <v>21.467373657847112</v>
      </c>
      <c r="BK226">
        <f>BJ226 + $D221 * ((BJ224 -BJ225) / $D220)</f>
        <v>22.03743604477302</v>
      </c>
      <c r="BL226">
        <f>BK226 + $D221 * ((BK224 -BK225) / $D220)</f>
        <v>22.607039460597406</v>
      </c>
      <c r="BM226">
        <f>BL226 + $D221 * ((BL224 -BL225) / $D220)</f>
        <v>23.175881718559587</v>
      </c>
      <c r="BN226">
        <f>BM226 + $D221 * ((BM224 -BM225) / $D220)</f>
        <v>23.743666056811776</v>
      </c>
      <c r="BO226">
        <f>BN226 + $D221 * ((BN224 -BN225) / $D220)</f>
        <v>24.310101206295176</v>
      </c>
      <c r="BP226">
        <f>BO226 + $D221 * ((BO224 -BO225) / $D220)</f>
        <v>24.874901454565446</v>
      </c>
      <c r="BQ226">
        <f>BP226 + $D221 * ((BP224 -BP225) / $D220)</f>
        <v>25.437786705600804</v>
      </c>
      <c r="BR226">
        <f>BQ226 + $D221 * ((BQ224 -BQ225) / $D220)</f>
        <v>25.998482535627648</v>
      </c>
      <c r="BS226">
        <f>BR226 + $D221 * ((BR224 -BR225) / $D220)</f>
        <v>26.556720245000101</v>
      </c>
      <c r="BT226">
        <f>BS226 + $D221 * ((BS224 -BS225) / $D220)</f>
        <v>27.11223690617139</v>
      </c>
      <c r="BU226">
        <f>BT226 + $D221 * ((BT224 -BT225) / $D220)</f>
        <v>27.664775407796434</v>
      </c>
      <c r="BV226">
        <f>BU226 + $D221 * ((BU224 -BU225) / $D220)</f>
        <v>28.214084495006379</v>
      </c>
      <c r="BW226">
        <f>BV226 + $D221 * ((BV224 -BV225) / $D220)</f>
        <v>28.759918805897239</v>
      </c>
      <c r="BX226">
        <f>BW226 + $D221 * ((BW224 -BW225) / $D220)</f>
        <v>29.302038904276056</v>
      </c>
      <c r="BY226">
        <f>BX226 + $D221 * ((BX224 -BX225) / $D220)</f>
        <v>29.840211308709296</v>
      </c>
      <c r="BZ226">
        <f>BY226 + $D221 * ((BY224 -BY225) / $D220)</f>
        <v>30.374208517919453</v>
      </c>
      <c r="CA226">
        <f>BZ226 + $D221 * ((BZ224 -BZ225) / $D220)</f>
        <v>30.903809032576909</v>
      </c>
      <c r="CB226">
        <f>CA226 + $D221 * ((CA224 -CA225) / $D220)</f>
        <v>31.428797373535399</v>
      </c>
      <c r="CC226">
        <f>CB226 + $D221 * ((CB224 -CB225) / $D220)</f>
        <v>31.948964096560342</v>
      </c>
      <c r="CD226">
        <f>CC226 + $D221 * ((CC224 -CC225) / $D220)</f>
        <v>32.464105803600475</v>
      </c>
      <c r="CE226">
        <f>CD226 + $D221 * ((CD224 -CD225) / $D220)</f>
        <v>32.974025150654185</v>
      </c>
      <c r="CF226">
        <f>CE226 + $D221 * ((CE224 -CE225) / $D220)</f>
        <v>33.478530852282908</v>
      </c>
      <c r="CG226">
        <f>CF226 + $D221 * ((CF224 -CF225) / $D220)</f>
        <v>33.977437682824814</v>
      </c>
      <c r="CH226">
        <f>CG226 + $D221 * ((CG224 -CG225) / $D220)</f>
        <v>34.470566474362975</v>
      </c>
      <c r="CI226">
        <f>CH226 + $D221 * ((CH224 -CH225) / $D220)</f>
        <v>34.957744111502983</v>
      </c>
      <c r="CJ226">
        <f>CI226 + $D221 * ((CI224 -CI225) / $D220)</f>
        <v>35.438803523015743</v>
      </c>
      <c r="CK226">
        <f>CJ226 + $D221 * ((CJ224 -CJ225) / $D220)</f>
        <v>35.913583670401977</v>
      </c>
      <c r="CL226">
        <f>CK226 + $D221 * ((CK224 -CK225) / $D220)</f>
        <v>36.381929533435589</v>
      </c>
      <c r="CM226">
        <f>CL226 + $D221 * ((CL224 -CL225) / $D220)</f>
        <v>36.843692092743844</v>
      </c>
      <c r="CN226">
        <f>CM226 + $D221 * ((CM224 -CM225) / $D220)</f>
        <v>37.298728309482712</v>
      </c>
      <c r="CO226">
        <f>CN226 + $D221 * ((CN224 -CN225) / $D220)</f>
        <v>37.746901102166525</v>
      </c>
      <c r="CP226">
        <f>CO226 + $D221 * ((CO224 -CO225) / $D220)</f>
        <v>38.188079320711509</v>
      </c>
      <c r="CQ226">
        <f>CP226 + $D221 * ((CP224 -CP225) / $D220)</f>
        <v>38.622137717753212</v>
      </c>
      <c r="CR226">
        <f>CQ226 + $D221 * ((CQ224 -CQ225) / $D220)</f>
        <v>39.048956917298455</v>
      </c>
      <c r="CS226">
        <f>CR226 + $D221 * ((CR224 -CR225) / $D220)</f>
        <v>39.46842338077267</v>
      </c>
      <c r="CT226">
        <f>CS226 + $D221 * ((CS224 -CS225) / $D220)</f>
        <v>39.880429370523984</v>
      </c>
      <c r="CU226">
        <f>CT226 + $D221 * ((CT224 -CT225) / $D220)</f>
        <v>40.284872910845692</v>
      </c>
      <c r="CV226">
        <f>CU226 + $D221 * ((CU224 -CU225) / $D220)</f>
        <v>40.681657746579077</v>
      </c>
      <c r="CW226">
        <f>CV226 + $D221 * ((CV224 -CV225) / $D220)</f>
        <v>41.070693299358801</v>
      </c>
      <c r="CX226">
        <f>CW226 + $D221 * ((CW224 -CW225) / $D220)</f>
        <v>41.451894621563255</v>
      </c>
      <c r="CY226">
        <f>CX226 + $D221 * ((CX224 -CX225) / $D220)</f>
        <v>41.825182348032527</v>
      </c>
      <c r="CZ226">
        <f>CY226 + $D221 * ((CY224 -CY225) / $D220)</f>
        <v>42.190482645616754</v>
      </c>
      <c r="DA226">
        <f>CZ226 + $D221 * ((CZ224 -CZ225) / $D220)</f>
        <v>42.547727160617718</v>
      </c>
      <c r="DB226">
        <f>DA226 + $D221 * ((DA224 -DA225) / $D220)</f>
        <v>42.896852964186657</v>
      </c>
    </row>
    <row r="227" spans="1:107" x14ac:dyDescent="0.25">
      <c r="A227" s="66"/>
      <c r="B227" t="s">
        <v>882</v>
      </c>
      <c r="C227" t="s">
        <v>896</v>
      </c>
      <c r="F227">
        <v>0</v>
      </c>
      <c r="G227">
        <f>F227+1</f>
        <v>1</v>
      </c>
      <c r="H227">
        <f>G227+1</f>
        <v>2</v>
      </c>
      <c r="I227">
        <f>H227+1</f>
        <v>3</v>
      </c>
      <c r="J227">
        <f>I227+1</f>
        <v>4</v>
      </c>
      <c r="K227">
        <f>J227+1</f>
        <v>5</v>
      </c>
      <c r="L227">
        <f t="shared" ref="L227:P227" si="25">K227+1</f>
        <v>6</v>
      </c>
      <c r="M227">
        <f t="shared" si="25"/>
        <v>7</v>
      </c>
      <c r="N227">
        <f t="shared" si="25"/>
        <v>8</v>
      </c>
      <c r="O227">
        <f t="shared" si="25"/>
        <v>9</v>
      </c>
      <c r="P227">
        <f t="shared" si="25"/>
        <v>10</v>
      </c>
      <c r="Q227">
        <f t="shared" ref="Q227:U227" si="26">P227+1</f>
        <v>11</v>
      </c>
      <c r="R227">
        <f t="shared" si="26"/>
        <v>12</v>
      </c>
      <c r="S227">
        <f t="shared" si="26"/>
        <v>13</v>
      </c>
      <c r="T227">
        <f t="shared" si="26"/>
        <v>14</v>
      </c>
      <c r="U227">
        <f t="shared" si="26"/>
        <v>15</v>
      </c>
      <c r="V227">
        <f t="shared" ref="V227:BT227" si="27">U227+1</f>
        <v>16</v>
      </c>
      <c r="W227">
        <f t="shared" si="27"/>
        <v>17</v>
      </c>
      <c r="X227">
        <f t="shared" si="27"/>
        <v>18</v>
      </c>
      <c r="Y227">
        <f t="shared" si="27"/>
        <v>19</v>
      </c>
      <c r="Z227">
        <f t="shared" si="27"/>
        <v>20</v>
      </c>
      <c r="AA227">
        <f t="shared" si="27"/>
        <v>21</v>
      </c>
      <c r="AB227">
        <f t="shared" si="27"/>
        <v>22</v>
      </c>
      <c r="AC227">
        <f t="shared" si="27"/>
        <v>23</v>
      </c>
      <c r="AD227">
        <f t="shared" si="27"/>
        <v>24</v>
      </c>
      <c r="AE227">
        <f t="shared" si="27"/>
        <v>25</v>
      </c>
      <c r="AF227">
        <f t="shared" si="27"/>
        <v>26</v>
      </c>
      <c r="AG227">
        <f t="shared" si="27"/>
        <v>27</v>
      </c>
      <c r="AH227">
        <f t="shared" si="27"/>
        <v>28</v>
      </c>
      <c r="AI227">
        <f t="shared" si="27"/>
        <v>29</v>
      </c>
      <c r="AJ227">
        <f t="shared" si="27"/>
        <v>30</v>
      </c>
      <c r="AK227">
        <f t="shared" si="27"/>
        <v>31</v>
      </c>
      <c r="AL227">
        <f t="shared" si="27"/>
        <v>32</v>
      </c>
      <c r="AM227">
        <f t="shared" si="27"/>
        <v>33</v>
      </c>
      <c r="AN227">
        <f t="shared" si="27"/>
        <v>34</v>
      </c>
      <c r="AO227">
        <f t="shared" si="27"/>
        <v>35</v>
      </c>
      <c r="AP227">
        <f t="shared" si="27"/>
        <v>36</v>
      </c>
      <c r="AQ227">
        <f t="shared" si="27"/>
        <v>37</v>
      </c>
      <c r="AR227">
        <f t="shared" si="27"/>
        <v>38</v>
      </c>
      <c r="AS227">
        <f t="shared" si="27"/>
        <v>39</v>
      </c>
      <c r="AT227">
        <f t="shared" si="27"/>
        <v>40</v>
      </c>
      <c r="AU227">
        <f t="shared" si="27"/>
        <v>41</v>
      </c>
      <c r="AV227">
        <f t="shared" si="27"/>
        <v>42</v>
      </c>
      <c r="AW227">
        <f t="shared" si="27"/>
        <v>43</v>
      </c>
      <c r="AX227">
        <f t="shared" si="27"/>
        <v>44</v>
      </c>
      <c r="AY227">
        <f t="shared" si="27"/>
        <v>45</v>
      </c>
      <c r="AZ227">
        <f t="shared" si="27"/>
        <v>46</v>
      </c>
      <c r="BA227">
        <f t="shared" si="27"/>
        <v>47</v>
      </c>
      <c r="BB227">
        <f t="shared" si="27"/>
        <v>48</v>
      </c>
      <c r="BC227">
        <f t="shared" si="27"/>
        <v>49</v>
      </c>
      <c r="BD227">
        <f t="shared" si="27"/>
        <v>50</v>
      </c>
      <c r="BE227">
        <f t="shared" si="27"/>
        <v>51</v>
      </c>
      <c r="BF227">
        <f t="shared" si="27"/>
        <v>52</v>
      </c>
      <c r="BG227">
        <f t="shared" si="27"/>
        <v>53</v>
      </c>
      <c r="BH227">
        <f t="shared" si="27"/>
        <v>54</v>
      </c>
      <c r="BI227">
        <f t="shared" si="27"/>
        <v>55</v>
      </c>
      <c r="BJ227">
        <f t="shared" si="27"/>
        <v>56</v>
      </c>
      <c r="BK227">
        <f t="shared" si="27"/>
        <v>57</v>
      </c>
      <c r="BL227">
        <f t="shared" si="27"/>
        <v>58</v>
      </c>
      <c r="BM227">
        <f t="shared" si="27"/>
        <v>59</v>
      </c>
      <c r="BN227">
        <f t="shared" si="27"/>
        <v>60</v>
      </c>
      <c r="BO227">
        <f t="shared" si="27"/>
        <v>61</v>
      </c>
      <c r="BP227">
        <f t="shared" si="27"/>
        <v>62</v>
      </c>
      <c r="BQ227">
        <f t="shared" si="27"/>
        <v>63</v>
      </c>
      <c r="BR227">
        <f t="shared" si="27"/>
        <v>64</v>
      </c>
      <c r="BS227">
        <f t="shared" si="27"/>
        <v>65</v>
      </c>
      <c r="BT227">
        <f t="shared" si="27"/>
        <v>66</v>
      </c>
      <c r="BU227">
        <f t="shared" ref="BU227:DB227" si="28">BT227+1</f>
        <v>67</v>
      </c>
      <c r="BV227">
        <f t="shared" si="28"/>
        <v>68</v>
      </c>
      <c r="BW227">
        <f t="shared" si="28"/>
        <v>69</v>
      </c>
      <c r="BX227">
        <f t="shared" si="28"/>
        <v>70</v>
      </c>
      <c r="BY227">
        <f t="shared" si="28"/>
        <v>71</v>
      </c>
      <c r="BZ227">
        <f t="shared" si="28"/>
        <v>72</v>
      </c>
      <c r="CA227">
        <f t="shared" si="28"/>
        <v>73</v>
      </c>
      <c r="CB227">
        <f t="shared" si="28"/>
        <v>74</v>
      </c>
      <c r="CC227">
        <f t="shared" si="28"/>
        <v>75</v>
      </c>
      <c r="CD227">
        <f t="shared" si="28"/>
        <v>76</v>
      </c>
      <c r="CE227">
        <f t="shared" si="28"/>
        <v>77</v>
      </c>
      <c r="CF227">
        <f t="shared" si="28"/>
        <v>78</v>
      </c>
      <c r="CG227">
        <f t="shared" si="28"/>
        <v>79</v>
      </c>
      <c r="CH227">
        <f t="shared" si="28"/>
        <v>80</v>
      </c>
      <c r="CI227">
        <f t="shared" si="28"/>
        <v>81</v>
      </c>
      <c r="CJ227">
        <f t="shared" si="28"/>
        <v>82</v>
      </c>
      <c r="CK227">
        <f t="shared" si="28"/>
        <v>83</v>
      </c>
      <c r="CL227">
        <f t="shared" si="28"/>
        <v>84</v>
      </c>
      <c r="CM227">
        <f t="shared" si="28"/>
        <v>85</v>
      </c>
      <c r="CN227">
        <f t="shared" si="28"/>
        <v>86</v>
      </c>
      <c r="CO227">
        <f t="shared" si="28"/>
        <v>87</v>
      </c>
      <c r="CP227">
        <f t="shared" si="28"/>
        <v>88</v>
      </c>
      <c r="CQ227">
        <f t="shared" si="28"/>
        <v>89</v>
      </c>
      <c r="CR227">
        <f t="shared" si="28"/>
        <v>90</v>
      </c>
      <c r="CS227">
        <f t="shared" si="28"/>
        <v>91</v>
      </c>
      <c r="CT227">
        <f t="shared" si="28"/>
        <v>92</v>
      </c>
      <c r="CU227">
        <f t="shared" si="28"/>
        <v>93</v>
      </c>
      <c r="CV227">
        <f t="shared" si="28"/>
        <v>94</v>
      </c>
      <c r="CW227">
        <f t="shared" si="28"/>
        <v>95</v>
      </c>
      <c r="CX227">
        <f t="shared" si="28"/>
        <v>96</v>
      </c>
      <c r="CY227">
        <f t="shared" si="28"/>
        <v>97</v>
      </c>
      <c r="CZ227">
        <f t="shared" si="28"/>
        <v>98</v>
      </c>
      <c r="DA227">
        <f t="shared" si="28"/>
        <v>99</v>
      </c>
      <c r="DB227">
        <f t="shared" si="28"/>
        <v>100</v>
      </c>
    </row>
    <row r="228" spans="1:107" x14ac:dyDescent="0.25">
      <c r="A228" s="66"/>
      <c r="B228" t="s">
        <v>883</v>
      </c>
      <c r="C228" t="s">
        <v>897</v>
      </c>
      <c r="F228">
        <f>F226*$D210</f>
        <v>0</v>
      </c>
      <c r="G228">
        <f>G226*$D210</f>
        <v>0</v>
      </c>
      <c r="H228">
        <f>H226*POWER($D210, 2)</f>
        <v>1.5252685546875002</v>
      </c>
      <c r="I228">
        <f t="shared" ref="I228:BT228" si="29">I226*POWER($D210, 2)</f>
        <v>4.549179827028226</v>
      </c>
      <c r="J228">
        <f t="shared" si="29"/>
        <v>9.0447525756017448</v>
      </c>
      <c r="K228">
        <f t="shared" si="29"/>
        <v>14.984670416921002</v>
      </c>
      <c r="L228">
        <f t="shared" si="29"/>
        <v>22.341301929689319</v>
      </c>
      <c r="M228">
        <f t="shared" si="29"/>
        <v>31.086720592918653</v>
      </c>
      <c r="N228">
        <f t="shared" si="29"/>
        <v>41.192724550055537</v>
      </c>
      <c r="O228">
        <f t="shared" si="29"/>
        <v>52.630856191484071</v>
      </c>
      <c r="P228">
        <f t="shared" si="29"/>
        <v>65.37242154799867</v>
      </c>
      <c r="Q228">
        <f t="shared" si="29"/>
        <v>79.388509488063022</v>
      </c>
      <c r="R228">
        <f t="shared" si="29"/>
        <v>94.650010711895263</v>
      </c>
      <c r="S228">
        <f t="shared" si="29"/>
        <v>111.12763653564316</v>
      </c>
      <c r="T228">
        <f t="shared" si="29"/>
        <v>128.79193745913682</v>
      </c>
      <c r="U228">
        <f t="shared" si="29"/>
        <v>147.6133215109293</v>
      </c>
      <c r="V228">
        <f t="shared" si="29"/>
        <v>167.56207236455919</v>
      </c>
      <c r="W228">
        <f t="shared" si="29"/>
        <v>188.60836722019096</v>
      </c>
      <c r="X228">
        <f t="shared" si="29"/>
        <v>210.72229444601143</v>
      </c>
      <c r="Y228">
        <f t="shared" si="29"/>
        <v>233.87387097398167</v>
      </c>
      <c r="Z228">
        <f t="shared" si="29"/>
        <v>258.03305944476369</v>
      </c>
      <c r="AA228">
        <f t="shared" si="29"/>
        <v>283.16978509686163</v>
      </c>
      <c r="AB228">
        <f t="shared" si="29"/>
        <v>309.2539523952351</v>
      </c>
      <c r="AC228">
        <f t="shared" si="29"/>
        <v>336.25546139485937</v>
      </c>
      <c r="AD228">
        <f t="shared" si="29"/>
        <v>364.14422383492473</v>
      </c>
      <c r="AE228">
        <f t="shared" si="29"/>
        <v>392.89017895958034</v>
      </c>
      <c r="AF228">
        <f t="shared" si="29"/>
        <v>422.46330906134295</v>
      </c>
      <c r="AG228">
        <f t="shared" si="29"/>
        <v>452.83365474350239</v>
      </c>
      <c r="AH228">
        <f t="shared" si="29"/>
        <v>483.97132989806573</v>
      </c>
      <c r="AI228">
        <f t="shared" si="29"/>
        <v>515.84653639599185</v>
      </c>
      <c r="AJ228">
        <f t="shared" si="29"/>
        <v>548.42957848667379</v>
      </c>
      <c r="AK228">
        <f t="shared" si="29"/>
        <v>581.69087690383401</v>
      </c>
      <c r="AL228">
        <f t="shared" si="29"/>
        <v>615.60098267519709</v>
      </c>
      <c r="AM228">
        <f t="shared" si="29"/>
        <v>650.13059063351022</v>
      </c>
      <c r="AN228">
        <f t="shared" si="29"/>
        <v>685.2505526266782</v>
      </c>
      <c r="AO228">
        <f t="shared" si="29"/>
        <v>720.93189042497738</v>
      </c>
      <c r="AP228">
        <f t="shared" si="29"/>
        <v>757.14580832350907</v>
      </c>
      <c r="AQ228">
        <f t="shared" si="29"/>
        <v>793.86370543824523</v>
      </c>
      <c r="AR228">
        <f t="shared" si="29"/>
        <v>831.05718769420832</v>
      </c>
      <c r="AS228">
        <f t="shared" si="29"/>
        <v>868.69807950451695</v>
      </c>
      <c r="AT228">
        <f t="shared" si="29"/>
        <v>906.75843513921575</v>
      </c>
      <c r="AU228">
        <f t="shared" si="29"/>
        <v>945.21054978298537</v>
      </c>
      <c r="AV228">
        <f t="shared" si="29"/>
        <v>984.02697028101784</v>
      </c>
      <c r="AW228">
        <f t="shared" si="29"/>
        <v>1023.1805055725113</v>
      </c>
      <c r="AX228">
        <f t="shared" si="29"/>
        <v>1062.6442368114201</v>
      </c>
      <c r="AY228">
        <f t="shared" si="29"/>
        <v>1102.3915271742655</v>
      </c>
      <c r="AZ228">
        <f t="shared" si="29"/>
        <v>1142.396031354984</v>
      </c>
      <c r="BA228">
        <f t="shared" si="29"/>
        <v>1182.6317047469533</v>
      </c>
      <c r="BB228">
        <f t="shared" si="29"/>
        <v>1223.072812312507</v>
      </c>
      <c r="BC228">
        <f t="shared" si="29"/>
        <v>1263.6939371404023</v>
      </c>
      <c r="BD228">
        <f t="shared" si="29"/>
        <v>1304.4699886918702</v>
      </c>
      <c r="BE228">
        <f t="shared" si="29"/>
        <v>1345.3762107360285</v>
      </c>
      <c r="BF228">
        <f t="shared" si="29"/>
        <v>1386.3881889755921</v>
      </c>
      <c r="BG228">
        <f t="shared" si="29"/>
        <v>1427.4818583639644</v>
      </c>
      <c r="BH228">
        <f t="shared" si="29"/>
        <v>1468.6335101149405</v>
      </c>
      <c r="BI228">
        <f t="shared" si="29"/>
        <v>1509.8197984063922</v>
      </c>
      <c r="BJ228">
        <f t="shared" si="29"/>
        <v>1551.0177467794538</v>
      </c>
      <c r="BK228">
        <f t="shared" si="29"/>
        <v>1592.2047542348507</v>
      </c>
      <c r="BL228">
        <f t="shared" si="29"/>
        <v>1633.3586010281626</v>
      </c>
      <c r="BM228">
        <f t="shared" si="29"/>
        <v>1674.4574541659301</v>
      </c>
      <c r="BN228">
        <f t="shared" si="29"/>
        <v>1715.4798726046508</v>
      </c>
      <c r="BO228">
        <f t="shared" si="29"/>
        <v>1756.4048121548265</v>
      </c>
      <c r="BP228">
        <f t="shared" si="29"/>
        <v>1797.2116300923535</v>
      </c>
      <c r="BQ228">
        <f t="shared" si="29"/>
        <v>1837.880089479658</v>
      </c>
      <c r="BR228">
        <f t="shared" si="29"/>
        <v>1878.3903631990975</v>
      </c>
      <c r="BS228">
        <f t="shared" si="29"/>
        <v>1918.7230377012572</v>
      </c>
      <c r="BT228">
        <f t="shared" si="29"/>
        <v>1958.859116470883</v>
      </c>
      <c r="BU228">
        <f t="shared" ref="BU228:DB228" si="30">BU226*POWER($D210, 2)</f>
        <v>1998.7800232132922</v>
      </c>
      <c r="BV228">
        <f t="shared" si="30"/>
        <v>2038.4676047642108</v>
      </c>
      <c r="BW228">
        <f t="shared" si="30"/>
        <v>2077.9041337260755</v>
      </c>
      <c r="BX228">
        <f t="shared" si="30"/>
        <v>2117.0723108339453</v>
      </c>
      <c r="BY228">
        <f t="shared" si="30"/>
        <v>2155.9552670542466</v>
      </c>
      <c r="BZ228">
        <f t="shared" si="30"/>
        <v>2194.5365654196803</v>
      </c>
      <c r="CA228">
        <f t="shared" si="30"/>
        <v>2232.8002026036816</v>
      </c>
      <c r="CB228">
        <f t="shared" si="30"/>
        <v>2270.7306102379325</v>
      </c>
      <c r="CC228">
        <f t="shared" si="30"/>
        <v>2308.3126559764846</v>
      </c>
      <c r="CD228">
        <f t="shared" si="30"/>
        <v>2345.5316443101342</v>
      </c>
      <c r="CE228">
        <f t="shared" si="30"/>
        <v>2382.3733171347649</v>
      </c>
      <c r="CF228">
        <f t="shared" si="30"/>
        <v>2418.82385407744</v>
      </c>
      <c r="CG228">
        <f t="shared" si="30"/>
        <v>2454.8698725840927</v>
      </c>
      <c r="CH228">
        <f t="shared" si="30"/>
        <v>2490.4984277727249</v>
      </c>
      <c r="CI228">
        <f t="shared" si="30"/>
        <v>2525.6970120560904</v>
      </c>
      <c r="CJ228">
        <f t="shared" si="30"/>
        <v>2560.4535545378876</v>
      </c>
      <c r="CK228">
        <f t="shared" si="30"/>
        <v>2594.756420186543</v>
      </c>
      <c r="CL228">
        <f t="shared" si="30"/>
        <v>2628.5944087907214</v>
      </c>
      <c r="CM228">
        <f t="shared" si="30"/>
        <v>2661.9567537007429</v>
      </c>
      <c r="CN228">
        <f t="shared" si="30"/>
        <v>2694.833120360126</v>
      </c>
      <c r="CO228">
        <f t="shared" si="30"/>
        <v>2727.2136046315313</v>
      </c>
      <c r="CP228">
        <f t="shared" si="30"/>
        <v>2759.0887309214067</v>
      </c>
      <c r="CQ228">
        <f t="shared" si="30"/>
        <v>2790.4494501076697</v>
      </c>
      <c r="CR228">
        <f t="shared" si="30"/>
        <v>2821.2871372748132</v>
      </c>
      <c r="CS228">
        <f t="shared" si="30"/>
        <v>2851.5935892608254</v>
      </c>
      <c r="CT228">
        <f t="shared" si="30"/>
        <v>2881.3610220203577</v>
      </c>
      <c r="CU228">
        <f t="shared" si="30"/>
        <v>2910.5820678086011</v>
      </c>
      <c r="CV228">
        <f t="shared" si="30"/>
        <v>2939.2497721903383</v>
      </c>
      <c r="CW228">
        <f t="shared" si="30"/>
        <v>2967.3575908786734</v>
      </c>
      <c r="CX228">
        <f t="shared" si="30"/>
        <v>2994.8993864079453</v>
      </c>
      <c r="CY228">
        <f t="shared" si="30"/>
        <v>3021.8694246453501</v>
      </c>
      <c r="CZ228">
        <f t="shared" si="30"/>
        <v>3048.2623711458104</v>
      </c>
      <c r="DA228">
        <f t="shared" si="30"/>
        <v>3074.0732873546303</v>
      </c>
      <c r="DB228">
        <f t="shared" si="30"/>
        <v>3099.297626662486</v>
      </c>
    </row>
    <row r="229" spans="1:107" x14ac:dyDescent="0.25">
      <c r="A229" s="65"/>
      <c r="C229" t="s">
        <v>901</v>
      </c>
      <c r="F229" t="b">
        <f>F224&gt;$D216</f>
        <v>0</v>
      </c>
      <c r="G229" t="b">
        <f t="shared" ref="G229:BR229" si="31">G224&gt;$D216</f>
        <v>0</v>
      </c>
      <c r="H229" t="b">
        <f t="shared" si="31"/>
        <v>0</v>
      </c>
      <c r="I229" t="b">
        <f t="shared" si="31"/>
        <v>0</v>
      </c>
      <c r="J229" t="b">
        <f t="shared" si="31"/>
        <v>0</v>
      </c>
      <c r="K229" t="b">
        <f t="shared" si="31"/>
        <v>0</v>
      </c>
      <c r="L229" t="b">
        <f t="shared" si="31"/>
        <v>0</v>
      </c>
      <c r="M229" t="b">
        <f t="shared" si="31"/>
        <v>0</v>
      </c>
      <c r="N229" t="b">
        <f t="shared" si="31"/>
        <v>0</v>
      </c>
      <c r="O229" t="b">
        <f t="shared" si="31"/>
        <v>0</v>
      </c>
      <c r="P229" t="b">
        <f t="shared" si="31"/>
        <v>0</v>
      </c>
      <c r="Q229" t="b">
        <f t="shared" si="31"/>
        <v>0</v>
      </c>
      <c r="R229" t="b">
        <f t="shared" si="31"/>
        <v>0</v>
      </c>
      <c r="S229" t="b">
        <f t="shared" si="31"/>
        <v>0</v>
      </c>
      <c r="T229" t="b">
        <f t="shared" si="31"/>
        <v>0</v>
      </c>
      <c r="U229" t="b">
        <f t="shared" si="31"/>
        <v>0</v>
      </c>
      <c r="V229" t="b">
        <f t="shared" si="31"/>
        <v>0</v>
      </c>
      <c r="W229" t="b">
        <f t="shared" si="31"/>
        <v>0</v>
      </c>
      <c r="X229" t="b">
        <f t="shared" si="31"/>
        <v>0</v>
      </c>
      <c r="Y229" t="b">
        <f t="shared" si="31"/>
        <v>1</v>
      </c>
      <c r="Z229" t="b">
        <f t="shared" si="31"/>
        <v>1</v>
      </c>
      <c r="AA229" t="b">
        <f t="shared" si="31"/>
        <v>1</v>
      </c>
      <c r="AB229" t="b">
        <f t="shared" si="31"/>
        <v>1</v>
      </c>
      <c r="AC229" t="b">
        <f t="shared" si="31"/>
        <v>1</v>
      </c>
      <c r="AD229" t="b">
        <f t="shared" si="31"/>
        <v>1</v>
      </c>
      <c r="AE229" t="b">
        <f t="shared" si="31"/>
        <v>1</v>
      </c>
      <c r="AF229" t="b">
        <f t="shared" si="31"/>
        <v>1</v>
      </c>
      <c r="AG229" t="b">
        <f t="shared" si="31"/>
        <v>1</v>
      </c>
      <c r="AH229" t="b">
        <f t="shared" si="31"/>
        <v>1</v>
      </c>
      <c r="AI229" t="b">
        <f t="shared" si="31"/>
        <v>1</v>
      </c>
      <c r="AJ229" t="b">
        <f t="shared" si="31"/>
        <v>1</v>
      </c>
      <c r="AK229" t="b">
        <f t="shared" si="31"/>
        <v>1</v>
      </c>
      <c r="AL229" t="b">
        <f t="shared" si="31"/>
        <v>1</v>
      </c>
      <c r="AM229" t="b">
        <f t="shared" si="31"/>
        <v>1</v>
      </c>
      <c r="AN229" t="b">
        <f t="shared" si="31"/>
        <v>1</v>
      </c>
      <c r="AO229" t="b">
        <f t="shared" si="31"/>
        <v>1</v>
      </c>
      <c r="AP229" t="b">
        <f t="shared" si="31"/>
        <v>1</v>
      </c>
      <c r="AQ229" t="b">
        <f t="shared" si="31"/>
        <v>1</v>
      </c>
      <c r="AR229" t="b">
        <f t="shared" si="31"/>
        <v>1</v>
      </c>
      <c r="AS229" t="b">
        <f t="shared" si="31"/>
        <v>1</v>
      </c>
      <c r="AT229" t="b">
        <f t="shared" si="31"/>
        <v>1</v>
      </c>
      <c r="AU229" t="b">
        <f t="shared" si="31"/>
        <v>1</v>
      </c>
      <c r="AV229" t="b">
        <f t="shared" si="31"/>
        <v>1</v>
      </c>
      <c r="AW229" t="b">
        <f t="shared" si="31"/>
        <v>1</v>
      </c>
      <c r="AX229" t="b">
        <f t="shared" si="31"/>
        <v>1</v>
      </c>
      <c r="AY229" t="b">
        <f t="shared" si="31"/>
        <v>1</v>
      </c>
      <c r="AZ229" t="b">
        <f t="shared" si="31"/>
        <v>1</v>
      </c>
      <c r="BA229" t="b">
        <f t="shared" si="31"/>
        <v>1</v>
      </c>
      <c r="BB229" t="b">
        <f t="shared" si="31"/>
        <v>1</v>
      </c>
      <c r="BC229" t="b">
        <f t="shared" si="31"/>
        <v>1</v>
      </c>
      <c r="BD229" t="b">
        <f t="shared" si="31"/>
        <v>1</v>
      </c>
      <c r="BE229" t="b">
        <f t="shared" si="31"/>
        <v>1</v>
      </c>
      <c r="BF229" t="b">
        <f t="shared" si="31"/>
        <v>1</v>
      </c>
      <c r="BG229" t="b">
        <f t="shared" si="31"/>
        <v>1</v>
      </c>
      <c r="BH229" t="b">
        <f t="shared" si="31"/>
        <v>1</v>
      </c>
      <c r="BI229" t="b">
        <f t="shared" si="31"/>
        <v>1</v>
      </c>
      <c r="BJ229" t="b">
        <f t="shared" si="31"/>
        <v>1</v>
      </c>
      <c r="BK229" t="b">
        <f t="shared" si="31"/>
        <v>1</v>
      </c>
      <c r="BL229" t="b">
        <f t="shared" si="31"/>
        <v>1</v>
      </c>
      <c r="BM229" t="b">
        <f t="shared" si="31"/>
        <v>1</v>
      </c>
      <c r="BN229" t="b">
        <f t="shared" si="31"/>
        <v>1</v>
      </c>
      <c r="BO229" t="b">
        <f t="shared" si="31"/>
        <v>1</v>
      </c>
      <c r="BP229" t="b">
        <f t="shared" si="31"/>
        <v>1</v>
      </c>
      <c r="BQ229" t="b">
        <f t="shared" si="31"/>
        <v>1</v>
      </c>
      <c r="BR229" t="b">
        <f t="shared" si="31"/>
        <v>1</v>
      </c>
      <c r="BS229" t="b">
        <f t="shared" ref="BS229:DB229" si="32">BS224&gt;$D216</f>
        <v>1</v>
      </c>
      <c r="BT229" t="b">
        <f t="shared" si="32"/>
        <v>1</v>
      </c>
      <c r="BU229" t="b">
        <f t="shared" si="32"/>
        <v>1</v>
      </c>
      <c r="BV229" t="b">
        <f t="shared" si="32"/>
        <v>1</v>
      </c>
      <c r="BW229" t="b">
        <f t="shared" si="32"/>
        <v>1</v>
      </c>
      <c r="BX229" t="b">
        <f t="shared" si="32"/>
        <v>1</v>
      </c>
      <c r="BY229" t="b">
        <f t="shared" si="32"/>
        <v>1</v>
      </c>
      <c r="BZ229" t="b">
        <f t="shared" si="32"/>
        <v>1</v>
      </c>
      <c r="CA229" t="b">
        <f t="shared" si="32"/>
        <v>1</v>
      </c>
      <c r="CB229" t="b">
        <f t="shared" si="32"/>
        <v>1</v>
      </c>
      <c r="CC229" t="b">
        <f t="shared" si="32"/>
        <v>1</v>
      </c>
      <c r="CD229" t="b">
        <f t="shared" si="32"/>
        <v>1</v>
      </c>
      <c r="CE229" t="b">
        <f t="shared" si="32"/>
        <v>1</v>
      </c>
      <c r="CF229" t="b">
        <f t="shared" si="32"/>
        <v>1</v>
      </c>
      <c r="CG229" t="b">
        <f t="shared" si="32"/>
        <v>1</v>
      </c>
      <c r="CH229" t="b">
        <f t="shared" si="32"/>
        <v>1</v>
      </c>
      <c r="CI229" t="b">
        <f t="shared" si="32"/>
        <v>1</v>
      </c>
      <c r="CJ229" t="b">
        <f t="shared" si="32"/>
        <v>1</v>
      </c>
      <c r="CK229" t="b">
        <f t="shared" si="32"/>
        <v>1</v>
      </c>
      <c r="CL229" t="b">
        <f t="shared" si="32"/>
        <v>1</v>
      </c>
      <c r="CM229" t="b">
        <f t="shared" si="32"/>
        <v>1</v>
      </c>
      <c r="CN229" t="b">
        <f t="shared" si="32"/>
        <v>1</v>
      </c>
      <c r="CO229" t="b">
        <f t="shared" si="32"/>
        <v>1</v>
      </c>
      <c r="CP229" t="b">
        <f t="shared" si="32"/>
        <v>1</v>
      </c>
      <c r="CQ229" t="b">
        <f t="shared" si="32"/>
        <v>1</v>
      </c>
      <c r="CR229" t="b">
        <f t="shared" si="32"/>
        <v>1</v>
      </c>
      <c r="CS229" t="b">
        <f t="shared" si="32"/>
        <v>1</v>
      </c>
      <c r="CT229" t="b">
        <f t="shared" si="32"/>
        <v>1</v>
      </c>
      <c r="CU229" t="b">
        <f t="shared" si="32"/>
        <v>1</v>
      </c>
      <c r="CV229" t="b">
        <f t="shared" si="32"/>
        <v>1</v>
      </c>
      <c r="CW229" t="b">
        <f t="shared" si="32"/>
        <v>1</v>
      </c>
      <c r="CX229" t="b">
        <f t="shared" si="32"/>
        <v>1</v>
      </c>
      <c r="CY229" t="b">
        <f t="shared" si="32"/>
        <v>1</v>
      </c>
      <c r="CZ229" t="b">
        <f t="shared" si="32"/>
        <v>1</v>
      </c>
      <c r="DA229" t="b">
        <f t="shared" si="32"/>
        <v>1</v>
      </c>
      <c r="DB229" t="b">
        <f t="shared" si="32"/>
        <v>1</v>
      </c>
    </row>
    <row r="230" spans="1:107" x14ac:dyDescent="0.25">
      <c r="C230" t="s">
        <v>900</v>
      </c>
      <c r="D230">
        <f>MATCH(TRUE, F229:DB229, 0)-1</f>
        <v>19</v>
      </c>
    </row>
    <row r="231" spans="1:107" x14ac:dyDescent="0.25">
      <c r="B231" t="s">
        <v>912</v>
      </c>
      <c r="C231" t="s">
        <v>908</v>
      </c>
      <c r="D231">
        <f>INDEX(F226:DB226, 1, D230)</f>
        <v>2.9165715494257638</v>
      </c>
    </row>
    <row r="232" spans="1:107" x14ac:dyDescent="0.25">
      <c r="B232" t="s">
        <v>911</v>
      </c>
      <c r="C232" t="s">
        <v>908</v>
      </c>
      <c r="D232">
        <f>D231*POWER(D210, 2)</f>
        <v>210.72229444601143</v>
      </c>
    </row>
    <row r="233" spans="1:107" x14ac:dyDescent="0.25">
      <c r="B233" t="s">
        <v>910</v>
      </c>
      <c r="D233">
        <f>INDEX(F224:DB224, 1, D230)</f>
        <v>21.253937880919544</v>
      </c>
    </row>
    <row r="234" spans="1:107" x14ac:dyDescent="0.25">
      <c r="B234" t="s">
        <v>913</v>
      </c>
      <c r="D234">
        <f>INDEX(F225:DB225, 1, D230)</f>
        <v>0.33580755917703342</v>
      </c>
    </row>
    <row r="235" spans="1:107" x14ac:dyDescent="0.25">
      <c r="B235" t="s">
        <v>914</v>
      </c>
      <c r="D235">
        <f>INDEX(F222:DB222, 1, D230)</f>
        <v>2.8125000000000002E-6</v>
      </c>
    </row>
    <row r="240" spans="1:107" x14ac:dyDescent="0.25">
      <c r="A240" t="s">
        <v>862</v>
      </c>
    </row>
    <row r="242" spans="1:1" x14ac:dyDescent="0.25">
      <c r="A242" t="s">
        <v>862</v>
      </c>
    </row>
    <row r="244" spans="1:1" x14ac:dyDescent="0.25">
      <c r="A244" t="s">
        <v>862</v>
      </c>
    </row>
    <row r="249" spans="1:1" x14ac:dyDescent="0.25">
      <c r="A249" t="s">
        <v>862</v>
      </c>
    </row>
    <row r="251" spans="1:1" x14ac:dyDescent="0.25">
      <c r="A251" t="s">
        <v>862</v>
      </c>
    </row>
    <row r="252" spans="1:1" x14ac:dyDescent="0.25">
      <c r="A252" t="s">
        <v>862</v>
      </c>
    </row>
    <row r="256" spans="1:1" x14ac:dyDescent="0.25">
      <c r="A256" s="17"/>
    </row>
    <row r="257" spans="1:5" x14ac:dyDescent="0.25">
      <c r="A257" s="66" t="s">
        <v>337</v>
      </c>
      <c r="C257" t="s">
        <v>207</v>
      </c>
    </row>
    <row r="258" spans="1:5" x14ac:dyDescent="0.25">
      <c r="A258" s="66"/>
      <c r="B258" s="2" t="s">
        <v>35</v>
      </c>
      <c r="C258" s="2"/>
      <c r="D258" s="2">
        <f>D7</f>
        <v>44.1</v>
      </c>
      <c r="E258" s="2" t="s">
        <v>18</v>
      </c>
    </row>
    <row r="259" spans="1:5" x14ac:dyDescent="0.25">
      <c r="A259" s="66"/>
      <c r="B259" s="2" t="s">
        <v>34</v>
      </c>
      <c r="C259" s="2"/>
      <c r="D259" s="2">
        <f>D5</f>
        <v>35.400000000000006</v>
      </c>
      <c r="E259" s="2" t="s">
        <v>18</v>
      </c>
    </row>
    <row r="260" spans="1:5" x14ac:dyDescent="0.25">
      <c r="A260" s="66"/>
      <c r="B260" t="s">
        <v>738</v>
      </c>
      <c r="D260" s="34">
        <v>2000</v>
      </c>
      <c r="E260" s="7" t="s">
        <v>21</v>
      </c>
    </row>
    <row r="261" spans="1:5" x14ac:dyDescent="0.25">
      <c r="A261" s="66"/>
      <c r="C261" t="s">
        <v>737</v>
      </c>
      <c r="D261" s="18">
        <f>D258/D263</f>
        <v>16.333333333333332</v>
      </c>
    </row>
    <row r="262" spans="1:5" x14ac:dyDescent="0.25">
      <c r="A262" s="66"/>
      <c r="B262" t="s">
        <v>739</v>
      </c>
      <c r="D262" s="18">
        <f>D261*D260</f>
        <v>32666.666666666664</v>
      </c>
      <c r="E262" s="7" t="s">
        <v>21</v>
      </c>
    </row>
    <row r="263" spans="1:5" x14ac:dyDescent="0.25">
      <c r="A263" s="66"/>
      <c r="C263" t="s">
        <v>208</v>
      </c>
      <c r="D263" s="34">
        <v>2.7</v>
      </c>
      <c r="E263" t="s">
        <v>18</v>
      </c>
    </row>
    <row r="264" spans="1:5" x14ac:dyDescent="0.25">
      <c r="A264" s="66"/>
      <c r="B264" t="s">
        <v>740</v>
      </c>
      <c r="D264" s="34">
        <v>33000</v>
      </c>
      <c r="E264" s="7" t="s">
        <v>21</v>
      </c>
    </row>
    <row r="265" spans="1:5" x14ac:dyDescent="0.25">
      <c r="A265" s="66"/>
      <c r="C265" t="s">
        <v>749</v>
      </c>
      <c r="D265" s="34">
        <v>1</v>
      </c>
      <c r="E265" s="7" t="s">
        <v>150</v>
      </c>
    </row>
    <row r="266" spans="1:5" x14ac:dyDescent="0.25">
      <c r="A266" s="66"/>
      <c r="B266" t="s">
        <v>320</v>
      </c>
      <c r="D266" s="18">
        <f>D258/(D260+D264)</f>
        <v>1.2600000000000001E-3</v>
      </c>
      <c r="E266" t="s">
        <v>17</v>
      </c>
    </row>
    <row r="267" spans="1:5" x14ac:dyDescent="0.25">
      <c r="A267" s="66"/>
      <c r="B267" t="s">
        <v>747</v>
      </c>
      <c r="D267" s="18">
        <f>POWER(D266, 2)*D264</f>
        <v>5.2390800000000001E-2</v>
      </c>
      <c r="E267" t="s">
        <v>19</v>
      </c>
    </row>
    <row r="268" spans="1:5" x14ac:dyDescent="0.25">
      <c r="A268" s="66"/>
      <c r="B268" t="s">
        <v>748</v>
      </c>
      <c r="D268" s="18">
        <f>POWER(D266, 2)*D260</f>
        <v>3.1752E-3</v>
      </c>
      <c r="E268" t="s">
        <v>19</v>
      </c>
    </row>
    <row r="269" spans="1:5" x14ac:dyDescent="0.25">
      <c r="A269" s="66"/>
      <c r="B269" t="s">
        <v>145</v>
      </c>
      <c r="D269" s="18">
        <f>D267+D268</f>
        <v>5.5566000000000004E-2</v>
      </c>
      <c r="E269" t="s">
        <v>19</v>
      </c>
    </row>
    <row r="270" spans="1:5" x14ac:dyDescent="0.25">
      <c r="A270" s="66"/>
      <c r="B270" t="s">
        <v>234</v>
      </c>
      <c r="D270" s="36">
        <v>4.6999999999999999E-6</v>
      </c>
      <c r="E270" s="7" t="s">
        <v>21</v>
      </c>
    </row>
    <row r="271" spans="1:5" x14ac:dyDescent="0.25">
      <c r="A271" s="66"/>
      <c r="B271" t="s">
        <v>741</v>
      </c>
      <c r="D271" s="18">
        <f>(D260*D264)/(D260+D264)</f>
        <v>1885.7142857142858</v>
      </c>
      <c r="E271" s="7" t="s">
        <v>21</v>
      </c>
    </row>
    <row r="272" spans="1:5" x14ac:dyDescent="0.25">
      <c r="A272" s="66"/>
      <c r="B272" t="s">
        <v>760</v>
      </c>
      <c r="C272" t="s">
        <v>761</v>
      </c>
      <c r="D272" s="33">
        <f>D270*D271</f>
        <v>8.8628571428571428E-3</v>
      </c>
      <c r="E272" s="7" t="s">
        <v>233</v>
      </c>
    </row>
    <row r="273" spans="1:5" x14ac:dyDescent="0.25">
      <c r="A273" s="66"/>
      <c r="B273" t="s">
        <v>762</v>
      </c>
      <c r="D273" s="33">
        <f>D272*LN(100)</f>
        <v>4.0814965476957316E-2</v>
      </c>
      <c r="E273" s="7" t="s">
        <v>233</v>
      </c>
    </row>
    <row r="274" spans="1:5" x14ac:dyDescent="0.25">
      <c r="A274" s="66"/>
      <c r="B274" t="s">
        <v>736</v>
      </c>
      <c r="D274" s="36">
        <v>3.9999999999999998E-6</v>
      </c>
      <c r="E274" s="7" t="s">
        <v>17</v>
      </c>
    </row>
    <row r="275" spans="1:5" x14ac:dyDescent="0.25">
      <c r="A275" s="66"/>
      <c r="C275" t="s">
        <v>742</v>
      </c>
      <c r="D275" s="18">
        <f>(D258-(D264*D274))/(1+(D264/D260))</f>
        <v>2.5124571428571429</v>
      </c>
      <c r="E275" s="7" t="s">
        <v>18</v>
      </c>
    </row>
    <row r="276" spans="1:5" x14ac:dyDescent="0.25">
      <c r="A276" s="66"/>
      <c r="C276" t="s">
        <v>743</v>
      </c>
      <c r="D276" s="18">
        <f>D258/(1+(D264/D260))</f>
        <v>2.52</v>
      </c>
      <c r="E276" s="7" t="s">
        <v>18</v>
      </c>
    </row>
    <row r="277" spans="1:5" x14ac:dyDescent="0.25">
      <c r="A277" s="66"/>
      <c r="C277" t="s">
        <v>745</v>
      </c>
      <c r="D277" s="18">
        <f>D276-D275</f>
        <v>7.5428571428570734E-3</v>
      </c>
      <c r="E277" s="7" t="s">
        <v>18</v>
      </c>
    </row>
    <row r="278" spans="1:5" x14ac:dyDescent="0.25">
      <c r="A278" s="66"/>
      <c r="C278" t="s">
        <v>744</v>
      </c>
      <c r="D278" s="18">
        <f>(D259-(D264*D274))/(1+(D264/D260))</f>
        <v>2.0153142857142861</v>
      </c>
      <c r="E278" s="7" t="s">
        <v>18</v>
      </c>
    </row>
    <row r="279" spans="1:5" x14ac:dyDescent="0.25">
      <c r="A279" s="66"/>
      <c r="B279" t="s">
        <v>765</v>
      </c>
      <c r="C279" t="s">
        <v>764</v>
      </c>
      <c r="D279" s="18">
        <f>D259/(1+(D264/D260))</f>
        <v>2.0228571428571431</v>
      </c>
      <c r="E279" s="7" t="s">
        <v>18</v>
      </c>
    </row>
    <row r="280" spans="1:5" x14ac:dyDescent="0.25">
      <c r="A280" s="66"/>
      <c r="B280" t="s">
        <v>765</v>
      </c>
      <c r="C280" t="s">
        <v>766</v>
      </c>
      <c r="D280" s="18">
        <f>D279-D278</f>
        <v>7.5428571428570734E-3</v>
      </c>
      <c r="E280" s="7" t="s">
        <v>18</v>
      </c>
    </row>
    <row r="281" spans="1:5" x14ac:dyDescent="0.25">
      <c r="A281" s="66"/>
      <c r="C281" t="s">
        <v>746</v>
      </c>
      <c r="D281" s="18">
        <f>100*D280/D279</f>
        <v>0.3728813559321999</v>
      </c>
      <c r="E281" s="7" t="s">
        <v>150</v>
      </c>
    </row>
    <row r="282" spans="1:5" x14ac:dyDescent="0.25">
      <c r="A282" s="66"/>
      <c r="C282" t="s">
        <v>750</v>
      </c>
      <c r="D282" s="18">
        <f>(D281/100)*D259</f>
        <v>0.13199999999999878</v>
      </c>
      <c r="E282" s="7" t="s">
        <v>18</v>
      </c>
    </row>
    <row r="283" spans="1:5" x14ac:dyDescent="0.25">
      <c r="A283" s="66"/>
      <c r="C283" t="s">
        <v>763</v>
      </c>
      <c r="D283" s="18">
        <f>D265/100</f>
        <v>0.01</v>
      </c>
      <c r="E283" s="7"/>
    </row>
    <row r="284" spans="1:5" x14ac:dyDescent="0.25">
      <c r="A284" s="66"/>
      <c r="C284" t="s">
        <v>752</v>
      </c>
      <c r="D284" s="18">
        <f>D264/(D260)</f>
        <v>16.5</v>
      </c>
      <c r="E284" s="7"/>
    </row>
    <row r="285" spans="1:5" x14ac:dyDescent="0.25">
      <c r="A285" s="66"/>
      <c r="C285" t="s">
        <v>751</v>
      </c>
      <c r="D285" s="18">
        <f>D264*(1+D283)/(D260*(1-D283))</f>
        <v>16.833333333333332</v>
      </c>
      <c r="E285" s="7"/>
    </row>
    <row r="286" spans="1:5" x14ac:dyDescent="0.25">
      <c r="A286" s="66"/>
      <c r="C286" t="s">
        <v>753</v>
      </c>
      <c r="D286" s="18">
        <f>D264*(1-D283)/(D260*(1+D283))</f>
        <v>16.173267326732674</v>
      </c>
      <c r="E286" s="7"/>
    </row>
    <row r="287" spans="1:5" x14ac:dyDescent="0.25">
      <c r="A287" s="66"/>
      <c r="C287" t="s">
        <v>754</v>
      </c>
      <c r="D287" s="18">
        <f>(D285-D284)/D284</f>
        <v>2.0202020202020131E-2</v>
      </c>
      <c r="E287" s="7"/>
    </row>
    <row r="288" spans="1:5" x14ac:dyDescent="0.25">
      <c r="A288" s="66"/>
      <c r="C288" t="s">
        <v>755</v>
      </c>
      <c r="D288" s="18">
        <f>(D286-D284)/D284</f>
        <v>-1.9801980198019764E-2</v>
      </c>
      <c r="E288" s="7"/>
    </row>
    <row r="289" spans="1:5" x14ac:dyDescent="0.25">
      <c r="A289" s="66"/>
      <c r="C289" t="s">
        <v>756</v>
      </c>
      <c r="D289" s="18">
        <f>100*D287</f>
        <v>2.0202020202020132</v>
      </c>
      <c r="E289" s="7" t="s">
        <v>150</v>
      </c>
    </row>
    <row r="290" spans="1:5" x14ac:dyDescent="0.25">
      <c r="A290" s="66"/>
      <c r="C290" t="s">
        <v>757</v>
      </c>
      <c r="D290" s="18">
        <f>D288*100</f>
        <v>-1.9801980198019764</v>
      </c>
      <c r="E290" s="7" t="s">
        <v>150</v>
      </c>
    </row>
    <row r="291" spans="1:5" x14ac:dyDescent="0.25">
      <c r="A291" s="66"/>
      <c r="C291" t="s">
        <v>758</v>
      </c>
      <c r="D291" s="18">
        <f>MAX(ABS(D290), ABS(D289))</f>
        <v>2.0202020202020132</v>
      </c>
      <c r="E291" s="7" t="s">
        <v>150</v>
      </c>
    </row>
    <row r="292" spans="1:5" x14ac:dyDescent="0.25">
      <c r="A292" s="66"/>
      <c r="C292" t="s">
        <v>759</v>
      </c>
      <c r="D292" s="18">
        <f>D281+D291</f>
        <v>2.393083376134213</v>
      </c>
      <c r="E292" s="7" t="s">
        <v>150</v>
      </c>
    </row>
    <row r="293" spans="1:5" x14ac:dyDescent="0.25">
      <c r="A293" s="66"/>
      <c r="E293" s="7"/>
    </row>
    <row r="294" spans="1:5" x14ac:dyDescent="0.25">
      <c r="A294" s="17"/>
      <c r="E294" s="7"/>
    </row>
    <row r="295" spans="1:5" ht="15" customHeight="1" x14ac:dyDescent="0.25">
      <c r="A295" s="66" t="s">
        <v>686</v>
      </c>
      <c r="B295" s="2"/>
      <c r="C295" s="2" t="s">
        <v>4</v>
      </c>
      <c r="D295" s="2">
        <f>D4</f>
        <v>1.2</v>
      </c>
      <c r="E295" s="59"/>
    </row>
    <row r="296" spans="1:5" x14ac:dyDescent="0.25">
      <c r="A296" s="66"/>
      <c r="B296" s="2" t="s">
        <v>41</v>
      </c>
      <c r="C296" s="2"/>
      <c r="D296" s="2">
        <f>D3</f>
        <v>16000</v>
      </c>
      <c r="E296" s="2" t="s">
        <v>59</v>
      </c>
    </row>
    <row r="297" spans="1:5" x14ac:dyDescent="0.25">
      <c r="A297" s="66"/>
      <c r="B297" s="2" t="s">
        <v>592</v>
      </c>
      <c r="C297" s="2" t="s">
        <v>593</v>
      </c>
      <c r="D297" s="2">
        <f>D7</f>
        <v>44.1</v>
      </c>
      <c r="E297" s="2"/>
    </row>
    <row r="298" spans="1:5" x14ac:dyDescent="0.25">
      <c r="A298" s="66"/>
      <c r="B298" s="2" t="s">
        <v>37</v>
      </c>
      <c r="C298" s="2"/>
      <c r="D298" s="2">
        <f>D185</f>
        <v>22</v>
      </c>
      <c r="E298" s="2" t="s">
        <v>17</v>
      </c>
    </row>
    <row r="299" spans="1:5" x14ac:dyDescent="0.25">
      <c r="A299" s="66"/>
      <c r="B299" s="2" t="s">
        <v>618</v>
      </c>
      <c r="C299" s="2" t="s">
        <v>619</v>
      </c>
      <c r="D299" s="62">
        <f>D126</f>
        <v>4.8951562500000022E-5</v>
      </c>
      <c r="E299" s="59" t="s">
        <v>142</v>
      </c>
    </row>
    <row r="300" spans="1:5" x14ac:dyDescent="0.25">
      <c r="A300" s="66"/>
      <c r="B300" t="s">
        <v>36</v>
      </c>
      <c r="D300" s="34">
        <v>0.5</v>
      </c>
    </row>
    <row r="301" spans="1:5" x14ac:dyDescent="0.25">
      <c r="A301" s="66"/>
      <c r="B301" t="s">
        <v>210</v>
      </c>
      <c r="D301" s="34">
        <v>2.3E-2</v>
      </c>
      <c r="E301" s="7" t="s">
        <v>21</v>
      </c>
    </row>
    <row r="302" spans="1:5" x14ac:dyDescent="0.25">
      <c r="A302" s="66"/>
      <c r="B302" t="s">
        <v>209</v>
      </c>
      <c r="D302" s="18">
        <f>POWER(D298,2)*D300*D301/3</f>
        <v>1.8553333333333333</v>
      </c>
      <c r="E302" t="s">
        <v>19</v>
      </c>
    </row>
    <row r="303" spans="1:5" x14ac:dyDescent="0.25">
      <c r="A303" s="66"/>
      <c r="B303" t="s">
        <v>211</v>
      </c>
      <c r="C303" t="s">
        <v>695</v>
      </c>
      <c r="D303" s="33">
        <f>D300*D298*D295</f>
        <v>13.2</v>
      </c>
      <c r="E303" t="s">
        <v>17</v>
      </c>
    </row>
    <row r="304" spans="1:5" x14ac:dyDescent="0.25">
      <c r="A304" s="66"/>
      <c r="B304" t="s">
        <v>683</v>
      </c>
      <c r="C304" t="s">
        <v>694</v>
      </c>
      <c r="D304" s="36">
        <v>60</v>
      </c>
      <c r="E304" t="s">
        <v>17</v>
      </c>
    </row>
    <row r="305" spans="1:6" x14ac:dyDescent="0.25">
      <c r="A305" s="66"/>
      <c r="C305" t="s">
        <v>684</v>
      </c>
      <c r="D305" s="33" t="b">
        <f>D304&gt;=D303</f>
        <v>1</v>
      </c>
    </row>
    <row r="306" spans="1:6" x14ac:dyDescent="0.25">
      <c r="A306" s="66"/>
      <c r="B306" t="s">
        <v>212</v>
      </c>
      <c r="D306" s="33">
        <f>D297*D295</f>
        <v>52.92</v>
      </c>
      <c r="E306" t="s">
        <v>18</v>
      </c>
    </row>
    <row r="307" spans="1:6" x14ac:dyDescent="0.25">
      <c r="A307" s="66"/>
      <c r="B307" t="s">
        <v>221</v>
      </c>
      <c r="D307" s="34">
        <v>250</v>
      </c>
      <c r="E307" t="s">
        <v>18</v>
      </c>
    </row>
    <row r="308" spans="1:6" x14ac:dyDescent="0.25">
      <c r="A308" s="66"/>
      <c r="C308" t="s">
        <v>235</v>
      </c>
      <c r="D308" s="18" t="b">
        <f>D307&gt;=D306</f>
        <v>1</v>
      </c>
    </row>
    <row r="309" spans="1:6" x14ac:dyDescent="0.25">
      <c r="A309" s="66"/>
      <c r="B309" t="s">
        <v>213</v>
      </c>
      <c r="D309" s="34"/>
      <c r="E309" t="s">
        <v>234</v>
      </c>
    </row>
    <row r="310" spans="1:6" x14ac:dyDescent="0.25">
      <c r="A310" s="66"/>
      <c r="B310" t="s">
        <v>214</v>
      </c>
      <c r="D310" s="34"/>
      <c r="E310" t="s">
        <v>234</v>
      </c>
    </row>
    <row r="311" spans="1:6" x14ac:dyDescent="0.25">
      <c r="A311" s="66"/>
      <c r="B311" t="s">
        <v>215</v>
      </c>
      <c r="C311" t="s">
        <v>216</v>
      </c>
      <c r="D311" s="36">
        <v>4.9999999999999998E-8</v>
      </c>
      <c r="E311" t="s">
        <v>234</v>
      </c>
    </row>
    <row r="312" spans="1:6" x14ac:dyDescent="0.25">
      <c r="A312" s="66"/>
      <c r="B312" t="s">
        <v>217</v>
      </c>
      <c r="D312" s="33">
        <f>D296*D311*2</f>
        <v>1.5999999999999999E-3</v>
      </c>
      <c r="E312" t="s">
        <v>17</v>
      </c>
    </row>
    <row r="313" spans="1:6" x14ac:dyDescent="0.25">
      <c r="A313" s="66"/>
      <c r="B313" t="s">
        <v>634</v>
      </c>
      <c r="C313" t="s">
        <v>635</v>
      </c>
      <c r="D313" s="36">
        <v>14</v>
      </c>
    </row>
    <row r="314" spans="1:6" x14ac:dyDescent="0.25">
      <c r="A314" s="66"/>
      <c r="B314" s="22" t="s">
        <v>621</v>
      </c>
      <c r="C314" t="s">
        <v>620</v>
      </c>
      <c r="D314" s="34">
        <v>0.05</v>
      </c>
      <c r="E314" t="s">
        <v>18</v>
      </c>
    </row>
    <row r="315" spans="1:6" x14ac:dyDescent="0.25">
      <c r="A315" s="66"/>
      <c r="B315" s="22" t="s">
        <v>623</v>
      </c>
      <c r="C315" t="s">
        <v>625</v>
      </c>
      <c r="D315" s="33">
        <f>D311/D314</f>
        <v>9.9999999999999995E-7</v>
      </c>
      <c r="E315" t="s">
        <v>20</v>
      </c>
    </row>
    <row r="316" spans="1:6" x14ac:dyDescent="0.25">
      <c r="A316" s="66"/>
      <c r="B316" s="22" t="s">
        <v>622</v>
      </c>
      <c r="C316" t="s">
        <v>626</v>
      </c>
      <c r="D316" s="18">
        <f>0.000001</f>
        <v>9.9999999999999995E-7</v>
      </c>
      <c r="E316" t="s">
        <v>20</v>
      </c>
      <c r="F316" s="4" t="s">
        <v>691</v>
      </c>
    </row>
    <row r="317" spans="1:6" x14ac:dyDescent="0.25">
      <c r="A317" s="66"/>
      <c r="B317" s="22" t="s">
        <v>624</v>
      </c>
      <c r="C317" t="s">
        <v>627</v>
      </c>
      <c r="D317" s="33">
        <f>D311/D316</f>
        <v>0.05</v>
      </c>
      <c r="E317" t="s">
        <v>18</v>
      </c>
    </row>
    <row r="318" spans="1:6" x14ac:dyDescent="0.25">
      <c r="A318" s="66"/>
      <c r="B318" s="22"/>
      <c r="C318" t="s">
        <v>636</v>
      </c>
      <c r="D318" s="33" t="b">
        <f>D317&lt;=D314</f>
        <v>1</v>
      </c>
    </row>
    <row r="319" spans="1:6" x14ac:dyDescent="0.25">
      <c r="A319" s="66"/>
      <c r="B319" s="22" t="s">
        <v>647</v>
      </c>
      <c r="C319" t="s">
        <v>648</v>
      </c>
      <c r="D319" s="33">
        <f>D317*D316</f>
        <v>4.9999999999999998E-8</v>
      </c>
      <c r="E319" t="s">
        <v>234</v>
      </c>
    </row>
    <row r="320" spans="1:6" x14ac:dyDescent="0.25">
      <c r="A320" s="66"/>
      <c r="B320" s="22" t="s">
        <v>649</v>
      </c>
      <c r="C320" t="s">
        <v>650</v>
      </c>
      <c r="D320" s="33">
        <f>D319*D296</f>
        <v>7.9999999999999993E-4</v>
      </c>
      <c r="E320" t="s">
        <v>17</v>
      </c>
    </row>
    <row r="321" spans="1:8" x14ac:dyDescent="0.25">
      <c r="A321" s="66"/>
      <c r="B321" s="22" t="s">
        <v>631</v>
      </c>
      <c r="C321" t="s">
        <v>632</v>
      </c>
      <c r="D321" s="34">
        <v>0.95</v>
      </c>
      <c r="E321" t="s">
        <v>18</v>
      </c>
      <c r="F321" t="s">
        <v>688</v>
      </c>
      <c r="G321" t="s">
        <v>693</v>
      </c>
    </row>
    <row r="322" spans="1:8" x14ac:dyDescent="0.25">
      <c r="A322" s="66"/>
      <c r="B322" t="s">
        <v>598</v>
      </c>
      <c r="C322" t="s">
        <v>600</v>
      </c>
      <c r="D322" s="35">
        <f>D313</f>
        <v>14</v>
      </c>
      <c r="E322" t="s">
        <v>18</v>
      </c>
    </row>
    <row r="323" spans="1:8" x14ac:dyDescent="0.25">
      <c r="A323" s="66"/>
      <c r="B323" t="s">
        <v>633</v>
      </c>
      <c r="C323" t="s">
        <v>599</v>
      </c>
      <c r="D323" s="33">
        <f>D313-D321-D317</f>
        <v>13</v>
      </c>
      <c r="E323" t="s">
        <v>18</v>
      </c>
    </row>
    <row r="324" spans="1:8" x14ac:dyDescent="0.25">
      <c r="A324" s="66"/>
      <c r="B324" t="s">
        <v>812</v>
      </c>
      <c r="C324" t="s">
        <v>813</v>
      </c>
      <c r="D324" s="36">
        <v>1.9</v>
      </c>
      <c r="E324" s="7" t="s">
        <v>21</v>
      </c>
    </row>
    <row r="325" spans="1:8" x14ac:dyDescent="0.25">
      <c r="A325" s="66"/>
      <c r="B325" t="s">
        <v>814</v>
      </c>
      <c r="C325" t="s">
        <v>815</v>
      </c>
      <c r="D325" s="36">
        <v>4.7</v>
      </c>
      <c r="E325" s="7" t="s">
        <v>21</v>
      </c>
    </row>
    <row r="326" spans="1:8" x14ac:dyDescent="0.25">
      <c r="A326" s="66"/>
      <c r="C326" t="s">
        <v>823</v>
      </c>
      <c r="D326" s="36">
        <v>0.5</v>
      </c>
      <c r="E326" s="7" t="s">
        <v>150</v>
      </c>
    </row>
    <row r="327" spans="1:8" x14ac:dyDescent="0.25">
      <c r="A327" s="66"/>
      <c r="B327" t="s">
        <v>824</v>
      </c>
      <c r="C327" t="s">
        <v>825</v>
      </c>
      <c r="D327" s="33">
        <f>D325*(100-D326)/100</f>
        <v>4.6765000000000008</v>
      </c>
      <c r="E327" s="7"/>
    </row>
    <row r="328" spans="1:8" x14ac:dyDescent="0.25">
      <c r="A328" s="66"/>
      <c r="B328" t="s">
        <v>816</v>
      </c>
      <c r="C328" t="s">
        <v>817</v>
      </c>
      <c r="D328" s="33">
        <v>0</v>
      </c>
      <c r="E328" s="7"/>
    </row>
    <row r="329" spans="1:8" x14ac:dyDescent="0.25">
      <c r="A329" s="66"/>
      <c r="B329" t="s">
        <v>218</v>
      </c>
      <c r="D329" s="33">
        <f>D324+D325+D328</f>
        <v>6.6</v>
      </c>
      <c r="E329" s="7" t="s">
        <v>21</v>
      </c>
      <c r="H329" s="34"/>
    </row>
    <row r="330" spans="1:8" x14ac:dyDescent="0.25">
      <c r="A330" s="66"/>
      <c r="B330" t="s">
        <v>820</v>
      </c>
      <c r="C330" t="s">
        <v>821</v>
      </c>
      <c r="D330" s="33">
        <f>D322/D327</f>
        <v>2.9936918635731846</v>
      </c>
      <c r="E330" s="7"/>
      <c r="H330" s="34"/>
    </row>
    <row r="331" spans="1:8" x14ac:dyDescent="0.25">
      <c r="A331" s="66"/>
      <c r="B331" t="s">
        <v>818</v>
      </c>
      <c r="C331" t="s">
        <v>819</v>
      </c>
      <c r="D331" s="18">
        <f>D322/D329</f>
        <v>2.1212121212121211</v>
      </c>
      <c r="E331" t="s">
        <v>17</v>
      </c>
      <c r="H331" s="34"/>
    </row>
    <row r="332" spans="1:8" x14ac:dyDescent="0.25">
      <c r="A332" s="66"/>
      <c r="C332" t="s">
        <v>822</v>
      </c>
      <c r="D332" s="33"/>
      <c r="H332" s="34"/>
    </row>
    <row r="333" spans="1:8" x14ac:dyDescent="0.25">
      <c r="A333" s="66"/>
      <c r="H333" s="34"/>
    </row>
    <row r="334" spans="1:8" x14ac:dyDescent="0.25">
      <c r="A334" s="66"/>
      <c r="C334" t="s">
        <v>219</v>
      </c>
      <c r="D334" s="34">
        <v>3</v>
      </c>
      <c r="E334" t="s">
        <v>17</v>
      </c>
      <c r="H334" s="34"/>
    </row>
    <row r="335" spans="1:8" x14ac:dyDescent="0.25">
      <c r="A335" s="66"/>
      <c r="C335" t="s">
        <v>220</v>
      </c>
      <c r="D335" s="18">
        <f>D334/D295</f>
        <v>2.5</v>
      </c>
      <c r="E335" t="s">
        <v>17</v>
      </c>
      <c r="H335" s="34"/>
    </row>
    <row r="336" spans="1:8" x14ac:dyDescent="0.25">
      <c r="A336" s="66"/>
      <c r="C336" t="s">
        <v>826</v>
      </c>
      <c r="D336" s="18" t="b">
        <f>AND(D330&lt;D334, D331&lt;=D335)</f>
        <v>1</v>
      </c>
      <c r="H336" s="34"/>
    </row>
    <row r="337" spans="1:6" x14ac:dyDescent="0.25">
      <c r="A337" s="66"/>
      <c r="B337" t="s">
        <v>653</v>
      </c>
      <c r="D337" s="34">
        <v>0</v>
      </c>
      <c r="E337" s="7" t="s">
        <v>21</v>
      </c>
    </row>
    <row r="338" spans="1:6" x14ac:dyDescent="0.25">
      <c r="A338" s="66"/>
      <c r="B338" t="s">
        <v>662</v>
      </c>
      <c r="D338" s="34">
        <v>0.02</v>
      </c>
      <c r="E338" s="7" t="s">
        <v>21</v>
      </c>
      <c r="F338" t="s">
        <v>690</v>
      </c>
    </row>
    <row r="339" spans="1:6" x14ac:dyDescent="0.25">
      <c r="A339" s="66"/>
      <c r="B339" t="s">
        <v>778</v>
      </c>
      <c r="C339" t="s">
        <v>779</v>
      </c>
      <c r="D339" s="34">
        <v>7</v>
      </c>
      <c r="E339" s="7" t="s">
        <v>21</v>
      </c>
      <c r="F339" t="s">
        <v>692</v>
      </c>
    </row>
    <row r="340" spans="1:6" x14ac:dyDescent="0.25">
      <c r="A340" s="66"/>
      <c r="B340" t="s">
        <v>652</v>
      </c>
      <c r="C340" t="s">
        <v>651</v>
      </c>
      <c r="D340" s="18">
        <f>D337+D338+D339</f>
        <v>7.02</v>
      </c>
      <c r="E340" s="7" t="s">
        <v>21</v>
      </c>
    </row>
    <row r="341" spans="1:6" x14ac:dyDescent="0.25">
      <c r="A341" s="66"/>
      <c r="B341" t="s">
        <v>780</v>
      </c>
      <c r="D341" s="18">
        <f>D339*D316</f>
        <v>6.9999999999999999E-6</v>
      </c>
      <c r="E341" s="7"/>
    </row>
    <row r="342" spans="1:6" x14ac:dyDescent="0.25">
      <c r="A342" s="66"/>
      <c r="B342" t="s">
        <v>781</v>
      </c>
      <c r="D342" s="18">
        <f>5*D341</f>
        <v>3.4999999999999997E-5</v>
      </c>
      <c r="E342" s="7"/>
    </row>
    <row r="343" spans="1:6" x14ac:dyDescent="0.25">
      <c r="A343" s="66"/>
      <c r="C343" t="s">
        <v>782</v>
      </c>
      <c r="D343" s="18" t="b">
        <f>D342&lt;(1/D296)</f>
        <v>1</v>
      </c>
      <c r="E343" s="7"/>
    </row>
    <row r="344" spans="1:6" x14ac:dyDescent="0.25">
      <c r="A344" s="66"/>
      <c r="B344" t="s">
        <v>655</v>
      </c>
      <c r="C344" t="s">
        <v>656</v>
      </c>
      <c r="D344" s="34">
        <v>7.5</v>
      </c>
      <c r="E344" s="7" t="s">
        <v>18</v>
      </c>
    </row>
    <row r="345" spans="1:6" x14ac:dyDescent="0.25">
      <c r="A345" s="66"/>
      <c r="B345" t="s">
        <v>658</v>
      </c>
      <c r="C345" t="s">
        <v>654</v>
      </c>
      <c r="D345" s="33">
        <f>D313/D340</f>
        <v>1.9943019943019944</v>
      </c>
      <c r="E345" s="7" t="s">
        <v>17</v>
      </c>
    </row>
    <row r="346" spans="1:6" x14ac:dyDescent="0.25">
      <c r="A346" s="66"/>
      <c r="B346" t="s">
        <v>659</v>
      </c>
      <c r="D346" s="33">
        <f>D317/D340</f>
        <v>7.1225071225071235E-3</v>
      </c>
      <c r="E346" s="7" t="s">
        <v>17</v>
      </c>
    </row>
    <row r="347" spans="1:6" x14ac:dyDescent="0.25">
      <c r="A347" s="66"/>
      <c r="B347" t="s">
        <v>661</v>
      </c>
      <c r="D347" s="38">
        <v>35</v>
      </c>
      <c r="E347" s="7" t="s">
        <v>17</v>
      </c>
    </row>
    <row r="348" spans="1:6" x14ac:dyDescent="0.25">
      <c r="A348" s="66"/>
      <c r="C348" t="s">
        <v>657</v>
      </c>
      <c r="D348" s="37" t="b">
        <f>AND(D347&gt;=D345*D295, D347&gt;=D346*D295)</f>
        <v>1</v>
      </c>
      <c r="E348" s="7"/>
    </row>
    <row r="349" spans="1:6" x14ac:dyDescent="0.25">
      <c r="A349" s="66"/>
      <c r="B349" t="s">
        <v>660</v>
      </c>
      <c r="D349" s="38">
        <v>200</v>
      </c>
      <c r="E349" s="7" t="s">
        <v>18</v>
      </c>
    </row>
    <row r="350" spans="1:6" x14ac:dyDescent="0.25">
      <c r="A350" s="66"/>
      <c r="C350" t="s">
        <v>663</v>
      </c>
      <c r="D350" s="37" t="b">
        <f>D349&gt;=2*D313</f>
        <v>1</v>
      </c>
      <c r="E350" s="7"/>
    </row>
    <row r="351" spans="1:6" x14ac:dyDescent="0.25">
      <c r="A351" s="66"/>
      <c r="B351" t="s">
        <v>601</v>
      </c>
      <c r="C351" t="s">
        <v>608</v>
      </c>
      <c r="D351" s="33">
        <f>D311*D329/D322</f>
        <v>2.357142857142857E-8</v>
      </c>
      <c r="E351" t="s">
        <v>233</v>
      </c>
    </row>
    <row r="352" spans="1:6" x14ac:dyDescent="0.25">
      <c r="A352" s="66"/>
      <c r="B352" t="s">
        <v>602</v>
      </c>
      <c r="C352" t="s">
        <v>596</v>
      </c>
      <c r="D352" s="33">
        <f>D351</f>
        <v>2.357142857142857E-8</v>
      </c>
      <c r="E352" t="s">
        <v>233</v>
      </c>
    </row>
    <row r="353" spans="1:6" x14ac:dyDescent="0.25">
      <c r="A353" s="66"/>
      <c r="B353" t="s">
        <v>603</v>
      </c>
      <c r="C353" t="s">
        <v>597</v>
      </c>
      <c r="D353" s="33">
        <f>D352</f>
        <v>2.357142857142857E-8</v>
      </c>
      <c r="E353" t="s">
        <v>233</v>
      </c>
    </row>
    <row r="354" spans="1:6" x14ac:dyDescent="0.25">
      <c r="A354" s="66"/>
      <c r="B354" t="s">
        <v>604</v>
      </c>
      <c r="C354" t="s">
        <v>607</v>
      </c>
      <c r="D354" s="33">
        <f>D311*D329/D323</f>
        <v>2.5384615384615382E-8</v>
      </c>
      <c r="E354" t="s">
        <v>233</v>
      </c>
    </row>
    <row r="355" spans="1:6" x14ac:dyDescent="0.25">
      <c r="A355" s="66"/>
      <c r="B355" t="s">
        <v>605</v>
      </c>
      <c r="C355" t="s">
        <v>609</v>
      </c>
      <c r="D355" s="33">
        <f>D354</f>
        <v>2.5384615384615382E-8</v>
      </c>
      <c r="E355" t="s">
        <v>233</v>
      </c>
    </row>
    <row r="356" spans="1:6" x14ac:dyDescent="0.25">
      <c r="A356" s="66"/>
      <c r="B356" t="s">
        <v>606</v>
      </c>
      <c r="C356" t="s">
        <v>610</v>
      </c>
      <c r="D356" s="33">
        <f>D355</f>
        <v>2.5384615384615382E-8</v>
      </c>
      <c r="E356" t="s">
        <v>233</v>
      </c>
    </row>
    <row r="357" spans="1:6" x14ac:dyDescent="0.25">
      <c r="A357" s="66"/>
    </row>
    <row r="358" spans="1:6" x14ac:dyDescent="0.25">
      <c r="A358" s="66"/>
    </row>
    <row r="359" spans="1:6" x14ac:dyDescent="0.25">
      <c r="A359" s="66"/>
    </row>
    <row r="360" spans="1:6" x14ac:dyDescent="0.25">
      <c r="A360" s="66"/>
    </row>
    <row r="361" spans="1:6" x14ac:dyDescent="0.25">
      <c r="A361" s="66"/>
      <c r="B361" t="s">
        <v>665</v>
      </c>
      <c r="C361" t="s">
        <v>664</v>
      </c>
      <c r="D361" s="33">
        <f>D317/(D337+D338+D339)</f>
        <v>7.1225071225071235E-3</v>
      </c>
    </row>
    <row r="362" spans="1:6" x14ac:dyDescent="0.25">
      <c r="A362" s="66"/>
      <c r="B362" t="s">
        <v>666</v>
      </c>
      <c r="C362" t="s">
        <v>669</v>
      </c>
      <c r="D362" s="36">
        <v>2E-8</v>
      </c>
      <c r="E362" t="s">
        <v>142</v>
      </c>
      <c r="F362" t="s">
        <v>689</v>
      </c>
    </row>
    <row r="363" spans="1:6" x14ac:dyDescent="0.25">
      <c r="A363" s="66"/>
      <c r="B363" t="s">
        <v>667</v>
      </c>
      <c r="C363" t="s">
        <v>668</v>
      </c>
      <c r="D363" s="1">
        <v>5.0000000000000001E-9</v>
      </c>
      <c r="E363" t="s">
        <v>233</v>
      </c>
    </row>
    <row r="364" spans="1:6" x14ac:dyDescent="0.25">
      <c r="A364" s="66"/>
      <c r="B364" t="s">
        <v>680</v>
      </c>
      <c r="C364" t="s">
        <v>670</v>
      </c>
      <c r="D364" s="1">
        <f xml:space="preserve"> D362*D361/D363</f>
        <v>2.8490028490028491E-2</v>
      </c>
      <c r="E364" t="s">
        <v>18</v>
      </c>
    </row>
    <row r="365" spans="1:6" x14ac:dyDescent="0.25">
      <c r="A365" s="66"/>
      <c r="B365" t="s">
        <v>612</v>
      </c>
      <c r="C365" t="s">
        <v>237</v>
      </c>
      <c r="D365" s="33">
        <f>D311*D322*D296</f>
        <v>1.12E-2</v>
      </c>
      <c r="E365" t="s">
        <v>19</v>
      </c>
    </row>
    <row r="366" spans="1:6" x14ac:dyDescent="0.25">
      <c r="A366" s="66"/>
      <c r="D366" s="36"/>
      <c r="E366" t="s">
        <v>234</v>
      </c>
    </row>
    <row r="367" spans="1:6" x14ac:dyDescent="0.25">
      <c r="A367" s="66"/>
      <c r="B367" t="s">
        <v>672</v>
      </c>
      <c r="C367" t="s">
        <v>673</v>
      </c>
      <c r="D367" s="36">
        <v>2.4999999999999999E-8</v>
      </c>
      <c r="E367" t="s">
        <v>233</v>
      </c>
      <c r="F367" t="s">
        <v>688</v>
      </c>
    </row>
    <row r="368" spans="1:6" x14ac:dyDescent="0.25">
      <c r="A368" s="66"/>
      <c r="B368" t="s">
        <v>671</v>
      </c>
      <c r="C368" t="s">
        <v>687</v>
      </c>
      <c r="D368" s="37">
        <v>0.25</v>
      </c>
      <c r="E368" t="s">
        <v>17</v>
      </c>
    </row>
    <row r="369" spans="1:5" x14ac:dyDescent="0.25">
      <c r="A369" s="66"/>
      <c r="B369" t="s">
        <v>677</v>
      </c>
      <c r="C369" t="s">
        <v>674</v>
      </c>
      <c r="D369" s="37">
        <f>D362*D368/D367</f>
        <v>0.2</v>
      </c>
      <c r="E369" t="s">
        <v>18</v>
      </c>
    </row>
    <row r="370" spans="1:5" x14ac:dyDescent="0.25">
      <c r="A370" s="66"/>
      <c r="B370" t="s">
        <v>681</v>
      </c>
      <c r="C370" t="s">
        <v>678</v>
      </c>
      <c r="D370" s="38">
        <v>0.2</v>
      </c>
      <c r="E370" t="s">
        <v>18</v>
      </c>
    </row>
    <row r="371" spans="1:5" x14ac:dyDescent="0.25">
      <c r="A371" s="66"/>
      <c r="B371" t="s">
        <v>675</v>
      </c>
      <c r="C371" t="s">
        <v>679</v>
      </c>
      <c r="D371" s="34">
        <v>0.2</v>
      </c>
      <c r="E371" t="s">
        <v>18</v>
      </c>
    </row>
    <row r="372" spans="1:5" x14ac:dyDescent="0.25">
      <c r="A372" s="66"/>
      <c r="B372" t="s">
        <v>682</v>
      </c>
      <c r="D372" s="18" t="b">
        <f>D370&gt;=D364</f>
        <v>1</v>
      </c>
    </row>
    <row r="373" spans="1:5" x14ac:dyDescent="0.25">
      <c r="A373" s="66"/>
      <c r="B373" t="s">
        <v>676</v>
      </c>
      <c r="D373" s="18" t="b">
        <f>D371&lt;=D369</f>
        <v>1</v>
      </c>
    </row>
    <row r="374" spans="1:5" x14ac:dyDescent="0.25">
      <c r="A374" s="66"/>
      <c r="B374" t="s">
        <v>595</v>
      </c>
      <c r="D374" s="18">
        <f>D297</f>
        <v>44.1</v>
      </c>
      <c r="E374" t="s">
        <v>18</v>
      </c>
    </row>
    <row r="375" spans="1:5" x14ac:dyDescent="0.25">
      <c r="A375" s="66"/>
      <c r="B375" t="s">
        <v>594</v>
      </c>
      <c r="D375" s="18">
        <f>D298</f>
        <v>22</v>
      </c>
      <c r="E375" t="s">
        <v>17</v>
      </c>
    </row>
    <row r="376" spans="1:5" x14ac:dyDescent="0.25">
      <c r="A376" s="66"/>
      <c r="B376" t="s">
        <v>611</v>
      </c>
      <c r="D376" s="33">
        <f>0.5*D374*D375*(D352+D353)*D296</f>
        <v>0.36590400000000001</v>
      </c>
      <c r="E376" t="s">
        <v>19</v>
      </c>
    </row>
    <row r="377" spans="1:5" x14ac:dyDescent="0.25">
      <c r="A377" s="66"/>
      <c r="B377" t="s">
        <v>613</v>
      </c>
      <c r="C377" t="s">
        <v>614</v>
      </c>
      <c r="D377" s="33">
        <f>D302+D376</f>
        <v>2.2212373333333333</v>
      </c>
      <c r="E377" t="s">
        <v>19</v>
      </c>
    </row>
    <row r="378" spans="1:5" x14ac:dyDescent="0.25">
      <c r="A378" s="66"/>
      <c r="B378" t="s">
        <v>615</v>
      </c>
      <c r="C378" t="s">
        <v>616</v>
      </c>
      <c r="D378" s="33">
        <f>4*D377</f>
        <v>8.8849493333333331</v>
      </c>
      <c r="E378" t="s">
        <v>19</v>
      </c>
    </row>
    <row r="379" spans="1:5" x14ac:dyDescent="0.25">
      <c r="A379" s="66"/>
      <c r="B379" t="s">
        <v>222</v>
      </c>
      <c r="D379" s="34">
        <v>1000</v>
      </c>
      <c r="E379" s="7" t="s">
        <v>21</v>
      </c>
    </row>
    <row r="380" spans="1:5" x14ac:dyDescent="0.25">
      <c r="A380" s="66"/>
      <c r="B380" t="s">
        <v>225</v>
      </c>
      <c r="D380" s="34">
        <v>2.5</v>
      </c>
      <c r="E380" t="s">
        <v>18</v>
      </c>
    </row>
    <row r="381" spans="1:5" x14ac:dyDescent="0.25">
      <c r="A381" s="66"/>
      <c r="B381" t="s">
        <v>226</v>
      </c>
      <c r="C381" t="s">
        <v>617</v>
      </c>
      <c r="D381" s="34">
        <v>210</v>
      </c>
      <c r="E381" t="s">
        <v>17</v>
      </c>
    </row>
    <row r="382" spans="1:5" x14ac:dyDescent="0.25">
      <c r="A382" s="66"/>
      <c r="B382" t="s">
        <v>223</v>
      </c>
      <c r="C382" t="s">
        <v>224</v>
      </c>
      <c r="D382" s="33">
        <f>-D379*(D311/D322)*LN(D380/D322)</f>
        <v>6.1527378490753689E-6</v>
      </c>
      <c r="E382" t="s">
        <v>233</v>
      </c>
    </row>
    <row r="383" spans="1:5" x14ac:dyDescent="0.25">
      <c r="A383" s="66"/>
      <c r="C383" t="s">
        <v>236</v>
      </c>
      <c r="D383" s="33">
        <f>D298+(D297*D382/D299)</f>
        <v>27.542943376817107</v>
      </c>
      <c r="E383" t="s">
        <v>17</v>
      </c>
    </row>
    <row r="384" spans="1:5" x14ac:dyDescent="0.25">
      <c r="A384" s="66"/>
      <c r="B384" t="s">
        <v>227</v>
      </c>
      <c r="D384" s="34">
        <v>60</v>
      </c>
      <c r="E384" t="s">
        <v>17</v>
      </c>
    </row>
    <row r="385" spans="1:5" x14ac:dyDescent="0.25">
      <c r="A385" s="66"/>
      <c r="C385" t="s">
        <v>229</v>
      </c>
      <c r="D385" s="18" t="b">
        <f>D383&lt;D381</f>
        <v>1</v>
      </c>
    </row>
    <row r="386" spans="1:5" x14ac:dyDescent="0.25">
      <c r="A386" s="66"/>
      <c r="C386" t="s">
        <v>228</v>
      </c>
      <c r="D386" s="18" t="b">
        <f>D383&lt;D384</f>
        <v>1</v>
      </c>
    </row>
    <row r="387" spans="1:5" x14ac:dyDescent="0.25">
      <c r="A387" s="66"/>
      <c r="B387" t="s">
        <v>230</v>
      </c>
      <c r="C387" t="s">
        <v>231</v>
      </c>
      <c r="D387" s="18">
        <f>0.5*POWER(D322, 2)/D379</f>
        <v>9.8000000000000004E-2</v>
      </c>
      <c r="E387" t="s">
        <v>19</v>
      </c>
    </row>
    <row r="388" spans="1:5" x14ac:dyDescent="0.25">
      <c r="A388" s="66"/>
      <c r="B388" s="22" t="s">
        <v>628</v>
      </c>
      <c r="C388" t="s">
        <v>629</v>
      </c>
      <c r="D388" s="34">
        <v>9.6999999999999993</v>
      </c>
    </row>
    <row r="389" spans="1:5" x14ac:dyDescent="0.25">
      <c r="A389" s="66"/>
      <c r="B389" s="22" t="s">
        <v>642</v>
      </c>
      <c r="C389" t="s">
        <v>630</v>
      </c>
      <c r="D389" s="33">
        <f>D323-D388</f>
        <v>3.3000000000000007</v>
      </c>
    </row>
    <row r="390" spans="1:5" x14ac:dyDescent="0.25">
      <c r="A390" s="66"/>
      <c r="B390" t="s">
        <v>637</v>
      </c>
      <c r="C390" t="s">
        <v>638</v>
      </c>
      <c r="D390" s="18">
        <v>2</v>
      </c>
    </row>
    <row r="391" spans="1:5" x14ac:dyDescent="0.25">
      <c r="A391" s="66"/>
      <c r="B391" s="22"/>
      <c r="C391" t="s">
        <v>645</v>
      </c>
      <c r="D391" s="33" t="b">
        <f>D389&gt;=D390</f>
        <v>1</v>
      </c>
    </row>
    <row r="392" spans="1:5" x14ac:dyDescent="0.25">
      <c r="A392" s="66"/>
      <c r="B392" t="s">
        <v>641</v>
      </c>
      <c r="D392" s="34">
        <v>9.6999999999999993</v>
      </c>
    </row>
    <row r="393" spans="1:5" x14ac:dyDescent="0.25">
      <c r="A393" s="66"/>
      <c r="B393" t="s">
        <v>639</v>
      </c>
      <c r="C393" t="s">
        <v>640</v>
      </c>
      <c r="D393" s="33">
        <f xml:space="preserve"> D313</f>
        <v>14</v>
      </c>
    </row>
    <row r="394" spans="1:5" ht="15" customHeight="1" x14ac:dyDescent="0.25">
      <c r="A394" s="66"/>
      <c r="B394" s="22" t="s">
        <v>643</v>
      </c>
      <c r="C394" t="s">
        <v>644</v>
      </c>
      <c r="D394" s="33">
        <f>D393-D392</f>
        <v>4.3000000000000007</v>
      </c>
    </row>
    <row r="395" spans="1:5" ht="15" customHeight="1" x14ac:dyDescent="0.25">
      <c r="A395" s="66"/>
      <c r="C395" t="s">
        <v>646</v>
      </c>
      <c r="D395" s="18" t="b">
        <f>D394&gt;=D390</f>
        <v>1</v>
      </c>
    </row>
    <row r="396" spans="1:5" ht="15" customHeight="1" x14ac:dyDescent="0.25">
      <c r="A396" s="66"/>
      <c r="D396" s="33"/>
    </row>
    <row r="397" spans="1:5" ht="15" customHeight="1" x14ac:dyDescent="0.25">
      <c r="A397" s="66"/>
      <c r="B397" s="22" t="s">
        <v>799</v>
      </c>
      <c r="C397" t="s">
        <v>800</v>
      </c>
      <c r="D397" s="33">
        <f>D329</f>
        <v>6.6</v>
      </c>
    </row>
    <row r="398" spans="1:5" ht="15" customHeight="1" x14ac:dyDescent="0.25">
      <c r="A398" s="66"/>
      <c r="B398" s="22" t="s">
        <v>801</v>
      </c>
      <c r="C398" t="s">
        <v>802</v>
      </c>
      <c r="D398" s="36">
        <f>0.00000000361</f>
        <v>3.6100000000000001E-9</v>
      </c>
    </row>
    <row r="399" spans="1:5" ht="15" customHeight="1" x14ac:dyDescent="0.25">
      <c r="A399" s="66"/>
      <c r="B399" s="22" t="s">
        <v>803</v>
      </c>
      <c r="C399" t="s">
        <v>804</v>
      </c>
      <c r="D399" s="33">
        <f>E730</f>
        <v>2.2741325637156556E-10</v>
      </c>
    </row>
    <row r="400" spans="1:5" ht="15" customHeight="1" x14ac:dyDescent="0.25">
      <c r="A400" s="66"/>
      <c r="B400" s="22" t="s">
        <v>828</v>
      </c>
      <c r="C400" t="s">
        <v>827</v>
      </c>
      <c r="D400" s="33">
        <v>2.0000000000000001E-9</v>
      </c>
    </row>
    <row r="401" spans="1:5" ht="15" customHeight="1" x14ac:dyDescent="0.25">
      <c r="A401" s="66"/>
      <c r="B401" s="22" t="s">
        <v>829</v>
      </c>
      <c r="D401" s="33">
        <f>D399+D400</f>
        <v>2.2274132563715655E-9</v>
      </c>
    </row>
    <row r="402" spans="1:5" ht="15" customHeight="1" x14ac:dyDescent="0.25">
      <c r="A402" s="66"/>
      <c r="B402" s="22" t="s">
        <v>798</v>
      </c>
      <c r="D402" s="33">
        <f>D397*0.5*SQRT(D398/D401)</f>
        <v>4.2011398692792943</v>
      </c>
    </row>
    <row r="403" spans="1:5" ht="15" customHeight="1" x14ac:dyDescent="0.25">
      <c r="A403" s="66"/>
    </row>
    <row r="404" spans="1:5" ht="15" customHeight="1" x14ac:dyDescent="0.25">
      <c r="A404" s="31"/>
      <c r="D404" s="18"/>
    </row>
    <row r="405" spans="1:5" x14ac:dyDescent="0.25">
      <c r="A405" s="66" t="s">
        <v>414</v>
      </c>
      <c r="B405" t="s">
        <v>232</v>
      </c>
      <c r="D405" s="1" t="e">
        <f>#REF!</f>
        <v>#REF!</v>
      </c>
      <c r="E405" t="s">
        <v>19</v>
      </c>
    </row>
    <row r="406" spans="1:5" x14ac:dyDescent="0.25">
      <c r="A406" s="66"/>
      <c r="C406" t="s">
        <v>415</v>
      </c>
      <c r="D406">
        <v>0.9</v>
      </c>
      <c r="E406" s="21" t="s">
        <v>416</v>
      </c>
    </row>
    <row r="407" spans="1:5" x14ac:dyDescent="0.25">
      <c r="A407" s="66"/>
      <c r="C407" t="s">
        <v>417</v>
      </c>
      <c r="D407">
        <v>0.15</v>
      </c>
      <c r="E407" s="22" t="s">
        <v>121</v>
      </c>
    </row>
    <row r="408" spans="1:5" x14ac:dyDescent="0.25">
      <c r="A408" s="66"/>
      <c r="C408" t="s">
        <v>418</v>
      </c>
      <c r="D408" s="1">
        <v>1.4999999999999999E-4</v>
      </c>
      <c r="E408" s="23" t="s">
        <v>194</v>
      </c>
    </row>
    <row r="409" spans="1:5" x14ac:dyDescent="0.25">
      <c r="A409" s="66"/>
      <c r="B409" t="s">
        <v>420</v>
      </c>
      <c r="C409" t="s">
        <v>421</v>
      </c>
      <c r="D409">
        <f>D407/(1000*D406*D408)</f>
        <v>1.1111111111111112</v>
      </c>
      <c r="E409" s="22"/>
    </row>
    <row r="410" spans="1:5" x14ac:dyDescent="0.25">
      <c r="A410" s="66"/>
      <c r="B410" t="s">
        <v>422</v>
      </c>
      <c r="C410" t="s">
        <v>423</v>
      </c>
      <c r="D410">
        <f>3.5+0.5</f>
        <v>4</v>
      </c>
      <c r="E410" s="22"/>
    </row>
    <row r="411" spans="1:5" x14ac:dyDescent="0.25">
      <c r="A411" s="66"/>
      <c r="B411" t="s">
        <v>424</v>
      </c>
      <c r="C411" t="s">
        <v>425</v>
      </c>
      <c r="D411">
        <v>6.6665999999999999</v>
      </c>
      <c r="E411" s="21"/>
    </row>
    <row r="412" spans="1:5" x14ac:dyDescent="0.25">
      <c r="A412" s="66"/>
      <c r="C412" t="s">
        <v>419</v>
      </c>
      <c r="D412" s="18">
        <f>D409+D410+D411</f>
        <v>11.77771111111111</v>
      </c>
      <c r="E412" s="21"/>
    </row>
    <row r="413" spans="1:5" x14ac:dyDescent="0.25">
      <c r="A413" s="66"/>
      <c r="B413" t="s">
        <v>427</v>
      </c>
      <c r="C413" t="s">
        <v>426</v>
      </c>
      <c r="D413" s="33" t="e">
        <f>D412*D405</f>
        <v>#REF!</v>
      </c>
      <c r="E413" s="21"/>
    </row>
    <row r="414" spans="1:5" x14ac:dyDescent="0.25">
      <c r="A414" s="66"/>
      <c r="C414" t="s">
        <v>428</v>
      </c>
      <c r="D414">
        <v>35</v>
      </c>
      <c r="E414" s="21"/>
    </row>
    <row r="415" spans="1:5" x14ac:dyDescent="0.25">
      <c r="A415" s="66"/>
      <c r="C415" t="s">
        <v>429</v>
      </c>
      <c r="D415" s="33" t="e">
        <f>D414+D413</f>
        <v>#REF!</v>
      </c>
      <c r="E415" s="21"/>
    </row>
    <row r="416" spans="1:5" x14ac:dyDescent="0.25">
      <c r="A416" s="66"/>
      <c r="C416" t="s">
        <v>430</v>
      </c>
      <c r="D416">
        <v>150</v>
      </c>
      <c r="E416" s="21"/>
    </row>
    <row r="417" spans="1:5" x14ac:dyDescent="0.25">
      <c r="A417" s="66"/>
      <c r="C417" t="s">
        <v>431</v>
      </c>
      <c r="D417" s="18" t="e">
        <f>D415&lt;D416/D4</f>
        <v>#REF!</v>
      </c>
    </row>
    <row r="418" spans="1:5" s="6" customFormat="1" x14ac:dyDescent="0.25">
      <c r="A418" s="63"/>
    </row>
    <row r="419" spans="1:5" x14ac:dyDescent="0.25">
      <c r="A419" s="66" t="s">
        <v>712</v>
      </c>
      <c r="B419" s="2" t="s">
        <v>548</v>
      </c>
      <c r="C419" s="2" t="s">
        <v>521</v>
      </c>
      <c r="D419" s="2">
        <f>D127</f>
        <v>22.598870056497169</v>
      </c>
      <c r="E419" s="2" t="s">
        <v>17</v>
      </c>
    </row>
    <row r="420" spans="1:5" x14ac:dyDescent="0.25">
      <c r="A420" s="66"/>
      <c r="B420" t="s">
        <v>547</v>
      </c>
      <c r="D420" s="18">
        <f>D419/SQRT(3)</f>
        <v>13.047463710500015</v>
      </c>
      <c r="E420" t="s">
        <v>17</v>
      </c>
    </row>
    <row r="421" spans="1:5" ht="15.75" x14ac:dyDescent="0.3">
      <c r="A421" s="66"/>
      <c r="B421" s="29" t="s">
        <v>523</v>
      </c>
      <c r="C421" t="s">
        <v>522</v>
      </c>
      <c r="D421" s="34">
        <f xml:space="preserve"> 40</f>
        <v>40</v>
      </c>
      <c r="E421" t="s">
        <v>17</v>
      </c>
    </row>
    <row r="422" spans="1:5" ht="15.75" x14ac:dyDescent="0.3">
      <c r="A422" s="66"/>
      <c r="B422" s="29" t="s">
        <v>525</v>
      </c>
      <c r="C422" t="s">
        <v>524</v>
      </c>
      <c r="D422" s="8">
        <f>D421/SQRT(3)</f>
        <v>23.094010767585033</v>
      </c>
      <c r="E422" t="s">
        <v>17</v>
      </c>
    </row>
    <row r="423" spans="1:5" ht="15.75" x14ac:dyDescent="0.3">
      <c r="A423" s="66"/>
      <c r="B423" s="29" t="s">
        <v>510</v>
      </c>
      <c r="C423" t="s">
        <v>511</v>
      </c>
      <c r="D423" s="6">
        <f>D3</f>
        <v>16000</v>
      </c>
      <c r="E423" t="s">
        <v>59</v>
      </c>
    </row>
    <row r="424" spans="1:5" ht="15.75" x14ac:dyDescent="0.3">
      <c r="A424" s="66"/>
      <c r="B424" s="29" t="s">
        <v>512</v>
      </c>
      <c r="C424" t="s">
        <v>513</v>
      </c>
      <c r="D424" s="40">
        <v>200</v>
      </c>
    </row>
    <row r="425" spans="1:5" ht="15.75" x14ac:dyDescent="0.3">
      <c r="A425" s="66"/>
      <c r="B425" s="29" t="s">
        <v>537</v>
      </c>
      <c r="D425" s="8">
        <f>D419/D424</f>
        <v>0.11299435028248585</v>
      </c>
      <c r="E425" t="s">
        <v>17</v>
      </c>
    </row>
    <row r="426" spans="1:5" x14ac:dyDescent="0.25">
      <c r="A426" s="66"/>
      <c r="B426" t="s">
        <v>526</v>
      </c>
      <c r="D426" s="8">
        <f>D421/D424</f>
        <v>0.2</v>
      </c>
      <c r="E426" t="s">
        <v>17</v>
      </c>
    </row>
    <row r="427" spans="1:5" x14ac:dyDescent="0.25">
      <c r="A427" s="66"/>
      <c r="B427" t="s">
        <v>546</v>
      </c>
      <c r="D427" s="8">
        <f>D420/D424</f>
        <v>6.5237318552500076E-2</v>
      </c>
      <c r="E427" t="s">
        <v>17</v>
      </c>
    </row>
    <row r="428" spans="1:5" x14ac:dyDescent="0.25">
      <c r="A428" s="66"/>
      <c r="B428" t="s">
        <v>527</v>
      </c>
      <c r="D428" s="8">
        <f>D422/D424</f>
        <v>0.11547005383792516</v>
      </c>
      <c r="E428" t="s">
        <v>17</v>
      </c>
    </row>
    <row r="429" spans="1:5" x14ac:dyDescent="0.25">
      <c r="A429" s="66"/>
      <c r="B429" t="s">
        <v>514</v>
      </c>
      <c r="C429" t="s">
        <v>528</v>
      </c>
      <c r="D429" s="40">
        <v>2</v>
      </c>
      <c r="E429" t="s">
        <v>18</v>
      </c>
    </row>
    <row r="430" spans="1:5" x14ac:dyDescent="0.25">
      <c r="A430" s="66"/>
      <c r="B430" t="s">
        <v>515</v>
      </c>
      <c r="C430" t="s">
        <v>516</v>
      </c>
      <c r="D430" s="34">
        <v>1.05</v>
      </c>
      <c r="E430" t="s">
        <v>18</v>
      </c>
    </row>
    <row r="431" spans="1:5" x14ac:dyDescent="0.25">
      <c r="A431" s="66"/>
      <c r="B431" t="s">
        <v>518</v>
      </c>
      <c r="C431" t="s">
        <v>517</v>
      </c>
      <c r="D431" s="18">
        <f>(D429)/D426</f>
        <v>10</v>
      </c>
      <c r="E431" s="7" t="s">
        <v>21</v>
      </c>
    </row>
    <row r="432" spans="1:5" x14ac:dyDescent="0.25">
      <c r="A432" s="66"/>
      <c r="B432" t="s">
        <v>519</v>
      </c>
      <c r="C432" t="s">
        <v>520</v>
      </c>
      <c r="D432" s="34">
        <f>D431</f>
        <v>10</v>
      </c>
      <c r="E432" s="7" t="s">
        <v>21</v>
      </c>
    </row>
    <row r="433" spans="1:5" x14ac:dyDescent="0.25">
      <c r="A433" s="66"/>
      <c r="B433" t="s">
        <v>532</v>
      </c>
      <c r="C433" t="s">
        <v>531</v>
      </c>
      <c r="D433" s="18">
        <f xml:space="preserve"> D426*D432</f>
        <v>2</v>
      </c>
      <c r="E433" t="s">
        <v>18</v>
      </c>
    </row>
    <row r="434" spans="1:5" x14ac:dyDescent="0.25">
      <c r="A434" s="66"/>
    </row>
    <row r="435" spans="1:5" x14ac:dyDescent="0.25">
      <c r="A435" s="66"/>
      <c r="B435" t="s">
        <v>534</v>
      </c>
      <c r="C435" t="s">
        <v>529</v>
      </c>
      <c r="D435" s="18">
        <f xml:space="preserve"> POWER(D426, 2)*D432</f>
        <v>0.40000000000000008</v>
      </c>
      <c r="E435" t="s">
        <v>19</v>
      </c>
    </row>
    <row r="436" spans="1:5" x14ac:dyDescent="0.25">
      <c r="A436" s="66"/>
      <c r="B436" t="s">
        <v>542</v>
      </c>
      <c r="C436" t="s">
        <v>545</v>
      </c>
      <c r="D436" s="18">
        <f>POWER(D428, 2)*D432</f>
        <v>0.13333333333333336</v>
      </c>
      <c r="E436" t="s">
        <v>19</v>
      </c>
    </row>
    <row r="437" spans="1:5" x14ac:dyDescent="0.25">
      <c r="A437" s="66"/>
      <c r="B437" t="s">
        <v>536</v>
      </c>
      <c r="C437" t="s">
        <v>535</v>
      </c>
      <c r="D437" s="18">
        <f>POWER(D425, 2)*D432</f>
        <v>0.1276772319576111</v>
      </c>
      <c r="E437" t="s">
        <v>19</v>
      </c>
    </row>
    <row r="438" spans="1:5" x14ac:dyDescent="0.25">
      <c r="A438" s="66"/>
      <c r="B438" t="s">
        <v>543</v>
      </c>
      <c r="C438" t="s">
        <v>544</v>
      </c>
      <c r="D438" s="18">
        <f>POWER(D427, 2)*D432</f>
        <v>4.2559077319203706E-2</v>
      </c>
      <c r="E438" t="s">
        <v>19</v>
      </c>
    </row>
    <row r="439" spans="1:5" x14ac:dyDescent="0.25">
      <c r="A439" s="66"/>
      <c r="B439" t="s">
        <v>533</v>
      </c>
      <c r="C439" t="s">
        <v>530</v>
      </c>
      <c r="D439" s="18">
        <f>D430*D426</f>
        <v>0.21000000000000002</v>
      </c>
      <c r="E439" t="s">
        <v>19</v>
      </c>
    </row>
    <row r="440" spans="1:5" x14ac:dyDescent="0.25">
      <c r="A440" s="66"/>
      <c r="B440" t="s">
        <v>538</v>
      </c>
      <c r="C440" t="s">
        <v>539</v>
      </c>
      <c r="D440" s="18">
        <f>D430*D425</f>
        <v>0.11864406779661014</v>
      </c>
    </row>
    <row r="441" spans="1:5" x14ac:dyDescent="0.25">
      <c r="A441" s="66"/>
      <c r="D441" s="18"/>
    </row>
    <row r="442" spans="1:5" x14ac:dyDescent="0.25">
      <c r="A442" s="66"/>
      <c r="B442" t="s">
        <v>549</v>
      </c>
      <c r="C442" t="s">
        <v>550</v>
      </c>
      <c r="D442" s="18">
        <f>D432+(2*(D430/D426))</f>
        <v>20.5</v>
      </c>
      <c r="E442" s="7" t="s">
        <v>21</v>
      </c>
    </row>
    <row r="443" spans="1:5" x14ac:dyDescent="0.25">
      <c r="A443" s="66"/>
      <c r="B443" t="s">
        <v>540</v>
      </c>
      <c r="C443" t="s">
        <v>541</v>
      </c>
      <c r="D443" s="18">
        <f>D425*D432</f>
        <v>1.1299435028248586</v>
      </c>
      <c r="E443" t="s">
        <v>18</v>
      </c>
    </row>
    <row r="444" spans="1:5" x14ac:dyDescent="0.25">
      <c r="A444" s="66"/>
      <c r="B444" t="s">
        <v>551</v>
      </c>
      <c r="C444" t="s">
        <v>552</v>
      </c>
      <c r="D444" s="18">
        <f>D426</f>
        <v>0.2</v>
      </c>
    </row>
    <row r="445" spans="1:5" x14ac:dyDescent="0.25">
      <c r="A445" s="66"/>
      <c r="B445" t="s">
        <v>553</v>
      </c>
      <c r="C445" t="s">
        <v>554</v>
      </c>
      <c r="D445" t="s">
        <v>316</v>
      </c>
    </row>
    <row r="446" spans="1:5" x14ac:dyDescent="0.25">
      <c r="A446" s="66"/>
      <c r="B446" t="s">
        <v>555</v>
      </c>
      <c r="C446" t="s">
        <v>556</v>
      </c>
    </row>
    <row r="447" spans="1:5" x14ac:dyDescent="0.25">
      <c r="A447" s="66"/>
      <c r="B447" t="s">
        <v>557</v>
      </c>
      <c r="C447" t="s">
        <v>558</v>
      </c>
      <c r="D447" s="34">
        <v>100</v>
      </c>
      <c r="E447" s="7" t="s">
        <v>21</v>
      </c>
    </row>
    <row r="448" spans="1:5" x14ac:dyDescent="0.25">
      <c r="A448" s="66"/>
      <c r="B448" t="s">
        <v>559</v>
      </c>
      <c r="D448">
        <f xml:space="preserve"> (1/D423)/2</f>
        <v>3.1250000000000001E-5</v>
      </c>
      <c r="E448" s="7"/>
    </row>
    <row r="449" spans="1:102" x14ac:dyDescent="0.25">
      <c r="A449" s="66"/>
      <c r="B449" t="s">
        <v>560</v>
      </c>
      <c r="C449" t="s">
        <v>561</v>
      </c>
      <c r="D449">
        <v>100</v>
      </c>
      <c r="E449" s="7"/>
    </row>
    <row r="450" spans="1:102" x14ac:dyDescent="0.25">
      <c r="A450" s="66"/>
      <c r="B450" t="s">
        <v>427</v>
      </c>
      <c r="C450" t="s">
        <v>562</v>
      </c>
      <c r="D450">
        <f>D448/D449</f>
        <v>3.1250000000000003E-7</v>
      </c>
      <c r="E450" s="7"/>
    </row>
    <row r="451" spans="1:102" x14ac:dyDescent="0.25">
      <c r="A451" s="66"/>
      <c r="B451" t="s">
        <v>565</v>
      </c>
      <c r="C451">
        <f>D421</f>
        <v>40</v>
      </c>
      <c r="D451">
        <f>D421</f>
        <v>40</v>
      </c>
      <c r="E451" s="7">
        <f>D451</f>
        <v>40</v>
      </c>
      <c r="F451">
        <f>E451</f>
        <v>40</v>
      </c>
      <c r="G451">
        <f t="shared" ref="G451:BR451" si="33">F451</f>
        <v>40</v>
      </c>
      <c r="H451">
        <f t="shared" si="33"/>
        <v>40</v>
      </c>
      <c r="I451">
        <f t="shared" si="33"/>
        <v>40</v>
      </c>
      <c r="J451">
        <f t="shared" si="33"/>
        <v>40</v>
      </c>
      <c r="K451">
        <f t="shared" si="33"/>
        <v>40</v>
      </c>
      <c r="L451">
        <f t="shared" si="33"/>
        <v>40</v>
      </c>
      <c r="M451">
        <f t="shared" si="33"/>
        <v>40</v>
      </c>
      <c r="N451">
        <f t="shared" si="33"/>
        <v>40</v>
      </c>
      <c r="O451">
        <f t="shared" si="33"/>
        <v>40</v>
      </c>
      <c r="P451">
        <f t="shared" si="33"/>
        <v>40</v>
      </c>
      <c r="Q451">
        <f t="shared" si="33"/>
        <v>40</v>
      </c>
      <c r="R451">
        <f t="shared" si="33"/>
        <v>40</v>
      </c>
      <c r="S451">
        <f t="shared" si="33"/>
        <v>40</v>
      </c>
      <c r="T451">
        <f t="shared" si="33"/>
        <v>40</v>
      </c>
      <c r="U451">
        <f t="shared" si="33"/>
        <v>40</v>
      </c>
      <c r="V451">
        <f t="shared" si="33"/>
        <v>40</v>
      </c>
      <c r="W451">
        <f t="shared" si="33"/>
        <v>40</v>
      </c>
      <c r="X451">
        <f t="shared" si="33"/>
        <v>40</v>
      </c>
      <c r="Y451">
        <f t="shared" si="33"/>
        <v>40</v>
      </c>
      <c r="Z451">
        <f t="shared" si="33"/>
        <v>40</v>
      </c>
      <c r="AA451">
        <f t="shared" si="33"/>
        <v>40</v>
      </c>
      <c r="AB451">
        <f t="shared" si="33"/>
        <v>40</v>
      </c>
      <c r="AC451">
        <f t="shared" si="33"/>
        <v>40</v>
      </c>
      <c r="AD451">
        <f t="shared" si="33"/>
        <v>40</v>
      </c>
      <c r="AE451">
        <f t="shared" si="33"/>
        <v>40</v>
      </c>
      <c r="AF451">
        <f t="shared" si="33"/>
        <v>40</v>
      </c>
      <c r="AG451">
        <f t="shared" si="33"/>
        <v>40</v>
      </c>
      <c r="AH451">
        <f t="shared" si="33"/>
        <v>40</v>
      </c>
      <c r="AI451">
        <f t="shared" si="33"/>
        <v>40</v>
      </c>
      <c r="AJ451">
        <f t="shared" si="33"/>
        <v>40</v>
      </c>
      <c r="AK451">
        <f t="shared" si="33"/>
        <v>40</v>
      </c>
      <c r="AL451">
        <f t="shared" si="33"/>
        <v>40</v>
      </c>
      <c r="AM451">
        <f t="shared" si="33"/>
        <v>40</v>
      </c>
      <c r="AN451">
        <f t="shared" si="33"/>
        <v>40</v>
      </c>
      <c r="AO451">
        <f t="shared" si="33"/>
        <v>40</v>
      </c>
      <c r="AP451">
        <f t="shared" si="33"/>
        <v>40</v>
      </c>
      <c r="AQ451">
        <f t="shared" si="33"/>
        <v>40</v>
      </c>
      <c r="AR451">
        <f t="shared" si="33"/>
        <v>40</v>
      </c>
      <c r="AS451">
        <f t="shared" si="33"/>
        <v>40</v>
      </c>
      <c r="AT451">
        <f t="shared" si="33"/>
        <v>40</v>
      </c>
      <c r="AU451">
        <f t="shared" si="33"/>
        <v>40</v>
      </c>
      <c r="AV451">
        <f t="shared" si="33"/>
        <v>40</v>
      </c>
      <c r="AW451">
        <f t="shared" si="33"/>
        <v>40</v>
      </c>
      <c r="AX451">
        <f t="shared" si="33"/>
        <v>40</v>
      </c>
      <c r="AY451">
        <f t="shared" si="33"/>
        <v>40</v>
      </c>
      <c r="AZ451">
        <f t="shared" si="33"/>
        <v>40</v>
      </c>
      <c r="BA451">
        <f t="shared" si="33"/>
        <v>40</v>
      </c>
      <c r="BB451">
        <f t="shared" si="33"/>
        <v>40</v>
      </c>
      <c r="BC451">
        <f t="shared" si="33"/>
        <v>40</v>
      </c>
      <c r="BD451">
        <f t="shared" si="33"/>
        <v>40</v>
      </c>
      <c r="BE451">
        <f t="shared" si="33"/>
        <v>40</v>
      </c>
      <c r="BF451">
        <f t="shared" si="33"/>
        <v>40</v>
      </c>
      <c r="BG451">
        <f t="shared" si="33"/>
        <v>40</v>
      </c>
      <c r="BH451">
        <f t="shared" si="33"/>
        <v>40</v>
      </c>
      <c r="BI451">
        <f t="shared" si="33"/>
        <v>40</v>
      </c>
      <c r="BJ451">
        <f t="shared" si="33"/>
        <v>40</v>
      </c>
      <c r="BK451">
        <f t="shared" si="33"/>
        <v>40</v>
      </c>
      <c r="BL451">
        <f t="shared" si="33"/>
        <v>40</v>
      </c>
      <c r="BM451">
        <f t="shared" si="33"/>
        <v>40</v>
      </c>
      <c r="BN451">
        <f t="shared" si="33"/>
        <v>40</v>
      </c>
      <c r="BO451">
        <f t="shared" si="33"/>
        <v>40</v>
      </c>
      <c r="BP451">
        <f t="shared" si="33"/>
        <v>40</v>
      </c>
      <c r="BQ451">
        <f t="shared" si="33"/>
        <v>40</v>
      </c>
      <c r="BR451">
        <f t="shared" si="33"/>
        <v>40</v>
      </c>
      <c r="BS451">
        <f t="shared" ref="BS451:CX451" si="34">BR451</f>
        <v>40</v>
      </c>
      <c r="BT451">
        <f t="shared" si="34"/>
        <v>40</v>
      </c>
      <c r="BU451">
        <f t="shared" si="34"/>
        <v>40</v>
      </c>
      <c r="BV451">
        <f t="shared" si="34"/>
        <v>40</v>
      </c>
      <c r="BW451">
        <f t="shared" si="34"/>
        <v>40</v>
      </c>
      <c r="BX451">
        <f t="shared" si="34"/>
        <v>40</v>
      </c>
      <c r="BY451">
        <f t="shared" si="34"/>
        <v>40</v>
      </c>
      <c r="BZ451">
        <f t="shared" si="34"/>
        <v>40</v>
      </c>
      <c r="CA451">
        <f t="shared" si="34"/>
        <v>40</v>
      </c>
      <c r="CB451">
        <f t="shared" si="34"/>
        <v>40</v>
      </c>
      <c r="CC451">
        <f t="shared" si="34"/>
        <v>40</v>
      </c>
      <c r="CD451">
        <f t="shared" si="34"/>
        <v>40</v>
      </c>
      <c r="CE451">
        <f t="shared" si="34"/>
        <v>40</v>
      </c>
      <c r="CF451">
        <f t="shared" si="34"/>
        <v>40</v>
      </c>
      <c r="CG451">
        <f t="shared" si="34"/>
        <v>40</v>
      </c>
      <c r="CH451">
        <f t="shared" si="34"/>
        <v>40</v>
      </c>
      <c r="CI451">
        <f t="shared" si="34"/>
        <v>40</v>
      </c>
      <c r="CJ451">
        <f t="shared" si="34"/>
        <v>40</v>
      </c>
      <c r="CK451">
        <f t="shared" si="34"/>
        <v>40</v>
      </c>
      <c r="CL451">
        <f t="shared" si="34"/>
        <v>40</v>
      </c>
      <c r="CM451">
        <f t="shared" si="34"/>
        <v>40</v>
      </c>
      <c r="CN451">
        <f t="shared" si="34"/>
        <v>40</v>
      </c>
      <c r="CO451">
        <f t="shared" si="34"/>
        <v>40</v>
      </c>
      <c r="CP451">
        <f t="shared" si="34"/>
        <v>40</v>
      </c>
      <c r="CQ451">
        <f t="shared" si="34"/>
        <v>40</v>
      </c>
      <c r="CR451">
        <f t="shared" si="34"/>
        <v>40</v>
      </c>
      <c r="CS451">
        <f t="shared" si="34"/>
        <v>40</v>
      </c>
      <c r="CT451">
        <f t="shared" si="34"/>
        <v>40</v>
      </c>
      <c r="CU451">
        <f t="shared" si="34"/>
        <v>40</v>
      </c>
      <c r="CV451">
        <f t="shared" si="34"/>
        <v>40</v>
      </c>
      <c r="CW451">
        <f t="shared" si="34"/>
        <v>40</v>
      </c>
      <c r="CX451">
        <f t="shared" si="34"/>
        <v>40</v>
      </c>
    </row>
    <row r="452" spans="1:102" x14ac:dyDescent="0.25">
      <c r="A452" s="66"/>
      <c r="B452" t="s">
        <v>563</v>
      </c>
      <c r="C452">
        <v>1</v>
      </c>
      <c r="D452">
        <v>2</v>
      </c>
      <c r="E452" s="7">
        <v>3</v>
      </c>
      <c r="F452">
        <v>4</v>
      </c>
      <c r="G452" s="7">
        <v>5</v>
      </c>
      <c r="H452">
        <v>6</v>
      </c>
      <c r="I452" s="7">
        <v>7</v>
      </c>
      <c r="J452">
        <v>8</v>
      </c>
      <c r="K452" s="7">
        <v>9</v>
      </c>
      <c r="L452">
        <v>10</v>
      </c>
      <c r="M452" s="7">
        <v>11</v>
      </c>
      <c r="N452">
        <v>12</v>
      </c>
      <c r="O452" s="7">
        <v>13</v>
      </c>
      <c r="P452">
        <v>14</v>
      </c>
      <c r="Q452" s="7">
        <v>15</v>
      </c>
      <c r="R452">
        <v>16</v>
      </c>
      <c r="S452" s="7">
        <v>17</v>
      </c>
      <c r="T452">
        <v>18</v>
      </c>
      <c r="U452" s="7">
        <v>19</v>
      </c>
      <c r="V452">
        <v>20</v>
      </c>
      <c r="W452" s="7">
        <v>21</v>
      </c>
      <c r="X452">
        <v>22</v>
      </c>
      <c r="Y452" s="7">
        <v>23</v>
      </c>
      <c r="Z452">
        <v>24</v>
      </c>
      <c r="AA452" s="7">
        <v>25</v>
      </c>
      <c r="AB452">
        <v>26</v>
      </c>
      <c r="AC452" s="7">
        <v>27</v>
      </c>
      <c r="AD452">
        <v>28</v>
      </c>
      <c r="AE452" s="7">
        <v>29</v>
      </c>
      <c r="AF452">
        <v>30</v>
      </c>
      <c r="AG452" s="7">
        <v>31</v>
      </c>
      <c r="AH452">
        <v>32</v>
      </c>
      <c r="AI452" s="7">
        <v>33</v>
      </c>
      <c r="AJ452">
        <v>34</v>
      </c>
      <c r="AK452" s="7">
        <v>35</v>
      </c>
      <c r="AL452">
        <v>36</v>
      </c>
      <c r="AM452" s="7">
        <v>37</v>
      </c>
      <c r="AN452">
        <v>38</v>
      </c>
      <c r="AO452" s="7">
        <v>39</v>
      </c>
      <c r="AP452">
        <v>40</v>
      </c>
      <c r="AQ452" s="7">
        <v>41</v>
      </c>
      <c r="AR452">
        <v>42</v>
      </c>
      <c r="AS452" s="7">
        <v>43</v>
      </c>
      <c r="AT452">
        <v>44</v>
      </c>
      <c r="AU452" s="7">
        <v>45</v>
      </c>
      <c r="AV452">
        <v>46</v>
      </c>
      <c r="AW452" s="7">
        <v>47</v>
      </c>
      <c r="AX452">
        <v>48</v>
      </c>
      <c r="AY452" s="7">
        <v>49</v>
      </c>
      <c r="AZ452">
        <v>50</v>
      </c>
      <c r="BA452" s="7">
        <v>51</v>
      </c>
      <c r="BB452">
        <v>52</v>
      </c>
      <c r="BC452" s="7">
        <v>53</v>
      </c>
      <c r="BD452">
        <v>54</v>
      </c>
      <c r="BE452" s="7">
        <v>55</v>
      </c>
      <c r="BF452">
        <v>56</v>
      </c>
      <c r="BG452" s="7">
        <v>57</v>
      </c>
      <c r="BH452">
        <v>58</v>
      </c>
      <c r="BI452" s="7">
        <v>59</v>
      </c>
      <c r="BJ452">
        <v>60</v>
      </c>
      <c r="BK452" s="7">
        <v>61</v>
      </c>
      <c r="BL452">
        <v>62</v>
      </c>
      <c r="BM452" s="7">
        <v>63</v>
      </c>
      <c r="BN452">
        <v>64</v>
      </c>
      <c r="BO452" s="7">
        <v>65</v>
      </c>
      <c r="BP452">
        <v>66</v>
      </c>
      <c r="BQ452" s="7">
        <v>67</v>
      </c>
      <c r="BR452">
        <v>68</v>
      </c>
      <c r="BS452" s="7">
        <v>69</v>
      </c>
      <c r="BT452">
        <v>70</v>
      </c>
      <c r="BU452" s="7">
        <v>71</v>
      </c>
      <c r="BV452">
        <v>72</v>
      </c>
      <c r="BW452" s="7">
        <v>73</v>
      </c>
      <c r="BX452">
        <v>74</v>
      </c>
      <c r="BY452" s="7">
        <v>75</v>
      </c>
      <c r="BZ452">
        <v>76</v>
      </c>
      <c r="CA452" s="7">
        <v>77</v>
      </c>
      <c r="CB452">
        <v>78</v>
      </c>
      <c r="CC452" s="7">
        <v>79</v>
      </c>
      <c r="CD452">
        <v>80</v>
      </c>
      <c r="CE452" s="7">
        <v>81</v>
      </c>
      <c r="CF452">
        <v>82</v>
      </c>
      <c r="CG452" s="7">
        <v>83</v>
      </c>
      <c r="CH452">
        <v>84</v>
      </c>
      <c r="CI452" s="7">
        <v>85</v>
      </c>
      <c r="CJ452">
        <v>86</v>
      </c>
      <c r="CK452" s="7">
        <v>87</v>
      </c>
      <c r="CL452">
        <v>88</v>
      </c>
      <c r="CM452" s="7">
        <v>89</v>
      </c>
      <c r="CN452">
        <v>90</v>
      </c>
      <c r="CO452" s="7">
        <v>91</v>
      </c>
      <c r="CP452">
        <v>92</v>
      </c>
      <c r="CQ452" s="7">
        <v>93</v>
      </c>
      <c r="CR452">
        <v>94</v>
      </c>
      <c r="CS452" s="7">
        <v>95</v>
      </c>
      <c r="CT452">
        <v>96</v>
      </c>
      <c r="CU452" s="7">
        <v>97</v>
      </c>
      <c r="CV452">
        <v>98</v>
      </c>
      <c r="CW452" s="7">
        <v>99</v>
      </c>
      <c r="CX452">
        <v>100</v>
      </c>
    </row>
    <row r="453" spans="1:102" x14ac:dyDescent="0.25">
      <c r="A453" s="66"/>
      <c r="B453" t="s">
        <v>564</v>
      </c>
      <c r="C453">
        <f>(C452/50)*C451</f>
        <v>0.8</v>
      </c>
      <c r="D453">
        <f>(D452/50)*D451</f>
        <v>1.6</v>
      </c>
      <c r="E453">
        <f t="shared" ref="E453:AZ453" si="35">(E452/50)*E451</f>
        <v>2.4</v>
      </c>
      <c r="F453">
        <f t="shared" si="35"/>
        <v>3.2</v>
      </c>
      <c r="G453">
        <f t="shared" si="35"/>
        <v>4</v>
      </c>
      <c r="H453">
        <f t="shared" si="35"/>
        <v>4.8</v>
      </c>
      <c r="I453">
        <f t="shared" si="35"/>
        <v>5.6000000000000005</v>
      </c>
      <c r="J453">
        <f t="shared" si="35"/>
        <v>6.4</v>
      </c>
      <c r="K453">
        <f t="shared" si="35"/>
        <v>7.1999999999999993</v>
      </c>
      <c r="L453">
        <f t="shared" si="35"/>
        <v>8</v>
      </c>
      <c r="M453">
        <f t="shared" si="35"/>
        <v>8.8000000000000007</v>
      </c>
      <c r="N453">
        <f t="shared" si="35"/>
        <v>9.6</v>
      </c>
      <c r="O453">
        <f t="shared" si="35"/>
        <v>10.4</v>
      </c>
      <c r="P453">
        <f t="shared" si="35"/>
        <v>11.200000000000001</v>
      </c>
      <c r="Q453">
        <f t="shared" si="35"/>
        <v>12</v>
      </c>
      <c r="R453">
        <f t="shared" si="35"/>
        <v>12.8</v>
      </c>
      <c r="S453">
        <f t="shared" si="35"/>
        <v>13.600000000000001</v>
      </c>
      <c r="T453">
        <f t="shared" si="35"/>
        <v>14.399999999999999</v>
      </c>
      <c r="U453">
        <f t="shared" si="35"/>
        <v>15.2</v>
      </c>
      <c r="V453">
        <f t="shared" si="35"/>
        <v>16</v>
      </c>
      <c r="W453">
        <f t="shared" si="35"/>
        <v>16.8</v>
      </c>
      <c r="X453">
        <f t="shared" si="35"/>
        <v>17.600000000000001</v>
      </c>
      <c r="Y453">
        <f t="shared" si="35"/>
        <v>18.400000000000002</v>
      </c>
      <c r="Z453">
        <f t="shared" si="35"/>
        <v>19.2</v>
      </c>
      <c r="AA453">
        <f t="shared" si="35"/>
        <v>20</v>
      </c>
      <c r="AB453">
        <f t="shared" si="35"/>
        <v>20.8</v>
      </c>
      <c r="AC453">
        <f t="shared" si="35"/>
        <v>21.6</v>
      </c>
      <c r="AD453">
        <f t="shared" si="35"/>
        <v>22.400000000000002</v>
      </c>
      <c r="AE453">
        <f t="shared" si="35"/>
        <v>23.2</v>
      </c>
      <c r="AF453">
        <f t="shared" si="35"/>
        <v>24</v>
      </c>
      <c r="AG453">
        <f t="shared" si="35"/>
        <v>24.8</v>
      </c>
      <c r="AH453">
        <f t="shared" si="35"/>
        <v>25.6</v>
      </c>
      <c r="AI453">
        <f t="shared" si="35"/>
        <v>26.400000000000002</v>
      </c>
      <c r="AJ453">
        <f t="shared" si="35"/>
        <v>27.200000000000003</v>
      </c>
      <c r="AK453">
        <f t="shared" si="35"/>
        <v>28</v>
      </c>
      <c r="AL453">
        <f t="shared" si="35"/>
        <v>28.799999999999997</v>
      </c>
      <c r="AM453">
        <f t="shared" si="35"/>
        <v>29.6</v>
      </c>
      <c r="AN453">
        <f t="shared" si="35"/>
        <v>30.4</v>
      </c>
      <c r="AO453">
        <f t="shared" si="35"/>
        <v>31.200000000000003</v>
      </c>
      <c r="AP453">
        <f t="shared" si="35"/>
        <v>32</v>
      </c>
      <c r="AQ453">
        <f t="shared" si="35"/>
        <v>32.799999999999997</v>
      </c>
      <c r="AR453">
        <f t="shared" si="35"/>
        <v>33.6</v>
      </c>
      <c r="AS453">
        <f t="shared" si="35"/>
        <v>34.4</v>
      </c>
      <c r="AT453">
        <f t="shared" si="35"/>
        <v>35.200000000000003</v>
      </c>
      <c r="AU453">
        <f t="shared" si="35"/>
        <v>36</v>
      </c>
      <c r="AV453">
        <f t="shared" si="35"/>
        <v>36.800000000000004</v>
      </c>
      <c r="AW453">
        <f t="shared" si="35"/>
        <v>37.599999999999994</v>
      </c>
      <c r="AX453">
        <f t="shared" si="35"/>
        <v>38.4</v>
      </c>
      <c r="AY453">
        <f t="shared" si="35"/>
        <v>39.200000000000003</v>
      </c>
      <c r="AZ453">
        <f t="shared" si="35"/>
        <v>40</v>
      </c>
      <c r="BA453">
        <f>(((100-BA452)/50)*BA451)</f>
        <v>39.200000000000003</v>
      </c>
      <c r="BB453">
        <f t="shared" ref="BB453:BD453" si="36">(((100-BB452)/50)*BB451)</f>
        <v>38.4</v>
      </c>
      <c r="BC453">
        <f t="shared" si="36"/>
        <v>37.599999999999994</v>
      </c>
      <c r="BD453">
        <f t="shared" si="36"/>
        <v>36.800000000000004</v>
      </c>
      <c r="BE453">
        <f t="shared" ref="BE453" si="37">(((100-BE452)/50)*BE451)</f>
        <v>36</v>
      </c>
      <c r="BF453">
        <f t="shared" ref="BF453:BG453" si="38">(((100-BF452)/50)*BF451)</f>
        <v>35.200000000000003</v>
      </c>
      <c r="BG453">
        <f t="shared" si="38"/>
        <v>34.4</v>
      </c>
      <c r="BH453">
        <f t="shared" ref="BH453" si="39">(((100-BH452)/50)*BH451)</f>
        <v>33.6</v>
      </c>
      <c r="BI453">
        <f t="shared" ref="BI453:BJ453" si="40">(((100-BI452)/50)*BI451)</f>
        <v>32.799999999999997</v>
      </c>
      <c r="BJ453">
        <f t="shared" si="40"/>
        <v>32</v>
      </c>
      <c r="BK453">
        <f t="shared" ref="BK453" si="41">(((100-BK452)/50)*BK451)</f>
        <v>31.200000000000003</v>
      </c>
      <c r="BL453">
        <f t="shared" ref="BL453:BM453" si="42">(((100-BL452)/50)*BL451)</f>
        <v>30.4</v>
      </c>
      <c r="BM453">
        <f t="shared" si="42"/>
        <v>29.6</v>
      </c>
      <c r="BN453">
        <f t="shared" ref="BN453" si="43">(((100-BN452)/50)*BN451)</f>
        <v>28.799999999999997</v>
      </c>
      <c r="BO453">
        <f t="shared" ref="BO453:BP453" si="44">(((100-BO452)/50)*BO451)</f>
        <v>28</v>
      </c>
      <c r="BP453">
        <f t="shared" si="44"/>
        <v>27.200000000000003</v>
      </c>
      <c r="BQ453">
        <f t="shared" ref="BQ453" si="45">(((100-BQ452)/50)*BQ451)</f>
        <v>26.400000000000002</v>
      </c>
      <c r="BR453">
        <f t="shared" ref="BR453:BS453" si="46">(((100-BR452)/50)*BR451)</f>
        <v>25.6</v>
      </c>
      <c r="BS453">
        <f t="shared" si="46"/>
        <v>24.8</v>
      </c>
      <c r="BT453">
        <f t="shared" ref="BT453" si="47">(((100-BT452)/50)*BT451)</f>
        <v>24</v>
      </c>
      <c r="BU453">
        <f t="shared" ref="BU453:BV453" si="48">(((100-BU452)/50)*BU451)</f>
        <v>23.2</v>
      </c>
      <c r="BV453">
        <f t="shared" si="48"/>
        <v>22.400000000000002</v>
      </c>
      <c r="BW453">
        <f t="shared" ref="BW453" si="49">(((100-BW452)/50)*BW451)</f>
        <v>21.6</v>
      </c>
      <c r="BX453">
        <f t="shared" ref="BX453:BY453" si="50">(((100-BX452)/50)*BX451)</f>
        <v>20.8</v>
      </c>
      <c r="BY453">
        <f t="shared" si="50"/>
        <v>20</v>
      </c>
      <c r="BZ453">
        <f t="shared" ref="BZ453" si="51">(((100-BZ452)/50)*BZ451)</f>
        <v>19.2</v>
      </c>
      <c r="CA453">
        <f t="shared" ref="CA453:CB453" si="52">(((100-CA452)/50)*CA451)</f>
        <v>18.400000000000002</v>
      </c>
      <c r="CB453">
        <f t="shared" si="52"/>
        <v>17.600000000000001</v>
      </c>
      <c r="CC453">
        <f t="shared" ref="CC453" si="53">(((100-CC452)/50)*CC451)</f>
        <v>16.8</v>
      </c>
      <c r="CD453">
        <f t="shared" ref="CD453:CE453" si="54">(((100-CD452)/50)*CD451)</f>
        <v>16</v>
      </c>
      <c r="CE453">
        <f t="shared" si="54"/>
        <v>15.2</v>
      </c>
      <c r="CF453">
        <f t="shared" ref="CF453" si="55">(((100-CF452)/50)*CF451)</f>
        <v>14.399999999999999</v>
      </c>
      <c r="CG453">
        <f t="shared" ref="CG453:CH453" si="56">(((100-CG452)/50)*CG451)</f>
        <v>13.600000000000001</v>
      </c>
      <c r="CH453">
        <f t="shared" si="56"/>
        <v>12.8</v>
      </c>
      <c r="CI453">
        <f t="shared" ref="CI453" si="57">(((100-CI452)/50)*CI451)</f>
        <v>12</v>
      </c>
      <c r="CJ453">
        <f t="shared" ref="CJ453:CK453" si="58">(((100-CJ452)/50)*CJ451)</f>
        <v>11.200000000000001</v>
      </c>
      <c r="CK453">
        <f t="shared" si="58"/>
        <v>10.4</v>
      </c>
      <c r="CL453">
        <f t="shared" ref="CL453" si="59">(((100-CL452)/50)*CL451)</f>
        <v>9.6</v>
      </c>
      <c r="CM453">
        <f t="shared" ref="CM453:CN453" si="60">(((100-CM452)/50)*CM451)</f>
        <v>8.8000000000000007</v>
      </c>
      <c r="CN453">
        <f t="shared" si="60"/>
        <v>8</v>
      </c>
      <c r="CO453">
        <f t="shared" ref="CO453" si="61">(((100-CO452)/50)*CO451)</f>
        <v>7.1999999999999993</v>
      </c>
      <c r="CP453">
        <f t="shared" ref="CP453:CQ453" si="62">(((100-CP452)/50)*CP451)</f>
        <v>6.4</v>
      </c>
      <c r="CQ453">
        <f t="shared" si="62"/>
        <v>5.6000000000000005</v>
      </c>
      <c r="CR453">
        <f t="shared" ref="CR453" si="63">(((100-CR452)/50)*CR451)</f>
        <v>4.8</v>
      </c>
      <c r="CS453">
        <f t="shared" ref="CS453:CT453" si="64">(((100-CS452)/50)*CS451)</f>
        <v>4</v>
      </c>
      <c r="CT453">
        <f t="shared" si="64"/>
        <v>3.2</v>
      </c>
      <c r="CU453">
        <f t="shared" ref="CU453" si="65">(((100-CU452)/50)*CU451)</f>
        <v>2.4</v>
      </c>
      <c r="CV453">
        <f t="shared" ref="CV453:CW453" si="66">(((100-CV452)/50)*CV451)</f>
        <v>1.6</v>
      </c>
      <c r="CW453">
        <f t="shared" si="66"/>
        <v>0.8</v>
      </c>
      <c r="CX453">
        <f t="shared" ref="CX453" si="67">(((100-CX452)/50)*CX451)</f>
        <v>0</v>
      </c>
    </row>
    <row r="454" spans="1:102" x14ac:dyDescent="0.25">
      <c r="A454" s="66"/>
      <c r="B454" t="s">
        <v>566</v>
      </c>
      <c r="C454">
        <f t="shared" ref="C454:AH454" si="68">C453/$D$424</f>
        <v>4.0000000000000001E-3</v>
      </c>
      <c r="D454">
        <f t="shared" si="68"/>
        <v>8.0000000000000002E-3</v>
      </c>
      <c r="E454">
        <f t="shared" si="68"/>
        <v>1.2E-2</v>
      </c>
      <c r="F454">
        <f t="shared" si="68"/>
        <v>1.6E-2</v>
      </c>
      <c r="G454">
        <f t="shared" si="68"/>
        <v>0.02</v>
      </c>
      <c r="H454">
        <f t="shared" si="68"/>
        <v>2.4E-2</v>
      </c>
      <c r="I454">
        <f t="shared" si="68"/>
        <v>2.8000000000000004E-2</v>
      </c>
      <c r="J454">
        <f t="shared" si="68"/>
        <v>3.2000000000000001E-2</v>
      </c>
      <c r="K454">
        <f t="shared" si="68"/>
        <v>3.5999999999999997E-2</v>
      </c>
      <c r="L454">
        <f t="shared" si="68"/>
        <v>0.04</v>
      </c>
      <c r="M454">
        <f t="shared" si="68"/>
        <v>4.4000000000000004E-2</v>
      </c>
      <c r="N454">
        <f t="shared" si="68"/>
        <v>4.8000000000000001E-2</v>
      </c>
      <c r="O454">
        <f t="shared" si="68"/>
        <v>5.2000000000000005E-2</v>
      </c>
      <c r="P454">
        <f t="shared" si="68"/>
        <v>5.6000000000000008E-2</v>
      </c>
      <c r="Q454">
        <f t="shared" si="68"/>
        <v>0.06</v>
      </c>
      <c r="R454">
        <f t="shared" si="68"/>
        <v>6.4000000000000001E-2</v>
      </c>
      <c r="S454">
        <f t="shared" si="68"/>
        <v>6.8000000000000005E-2</v>
      </c>
      <c r="T454">
        <f t="shared" si="68"/>
        <v>7.1999999999999995E-2</v>
      </c>
      <c r="U454">
        <f t="shared" si="68"/>
        <v>7.5999999999999998E-2</v>
      </c>
      <c r="V454">
        <f t="shared" si="68"/>
        <v>0.08</v>
      </c>
      <c r="W454">
        <f t="shared" si="68"/>
        <v>8.4000000000000005E-2</v>
      </c>
      <c r="X454">
        <f t="shared" si="68"/>
        <v>8.8000000000000009E-2</v>
      </c>
      <c r="Y454">
        <f t="shared" si="68"/>
        <v>9.2000000000000012E-2</v>
      </c>
      <c r="Z454">
        <f t="shared" si="68"/>
        <v>9.6000000000000002E-2</v>
      </c>
      <c r="AA454">
        <f t="shared" si="68"/>
        <v>0.1</v>
      </c>
      <c r="AB454">
        <f t="shared" si="68"/>
        <v>0.10400000000000001</v>
      </c>
      <c r="AC454">
        <f t="shared" si="68"/>
        <v>0.10800000000000001</v>
      </c>
      <c r="AD454">
        <f t="shared" si="68"/>
        <v>0.11200000000000002</v>
      </c>
      <c r="AE454">
        <f t="shared" si="68"/>
        <v>0.11599999999999999</v>
      </c>
      <c r="AF454">
        <f t="shared" si="68"/>
        <v>0.12</v>
      </c>
      <c r="AG454">
        <f t="shared" si="68"/>
        <v>0.124</v>
      </c>
      <c r="AH454">
        <f t="shared" si="68"/>
        <v>0.128</v>
      </c>
      <c r="AI454">
        <f t="shared" ref="AI454:BN454" si="69">AI453/$D$424</f>
        <v>0.13200000000000001</v>
      </c>
      <c r="AJ454">
        <f t="shared" si="69"/>
        <v>0.13600000000000001</v>
      </c>
      <c r="AK454">
        <f t="shared" si="69"/>
        <v>0.14000000000000001</v>
      </c>
      <c r="AL454">
        <f t="shared" si="69"/>
        <v>0.14399999999999999</v>
      </c>
      <c r="AM454">
        <f t="shared" si="69"/>
        <v>0.14800000000000002</v>
      </c>
      <c r="AN454">
        <f t="shared" si="69"/>
        <v>0.152</v>
      </c>
      <c r="AO454">
        <f t="shared" si="69"/>
        <v>0.15600000000000003</v>
      </c>
      <c r="AP454">
        <f t="shared" si="69"/>
        <v>0.16</v>
      </c>
      <c r="AQ454">
        <f t="shared" si="69"/>
        <v>0.16399999999999998</v>
      </c>
      <c r="AR454">
        <f t="shared" si="69"/>
        <v>0.16800000000000001</v>
      </c>
      <c r="AS454">
        <f t="shared" si="69"/>
        <v>0.17199999999999999</v>
      </c>
      <c r="AT454">
        <f t="shared" si="69"/>
        <v>0.17600000000000002</v>
      </c>
      <c r="AU454">
        <f t="shared" si="69"/>
        <v>0.18</v>
      </c>
      <c r="AV454">
        <f t="shared" si="69"/>
        <v>0.18400000000000002</v>
      </c>
      <c r="AW454">
        <f t="shared" si="69"/>
        <v>0.18799999999999997</v>
      </c>
      <c r="AX454">
        <f t="shared" si="69"/>
        <v>0.192</v>
      </c>
      <c r="AY454">
        <f t="shared" si="69"/>
        <v>0.19600000000000001</v>
      </c>
      <c r="AZ454">
        <f t="shared" si="69"/>
        <v>0.2</v>
      </c>
      <c r="BA454">
        <f t="shared" si="69"/>
        <v>0.19600000000000001</v>
      </c>
      <c r="BB454">
        <f t="shared" si="69"/>
        <v>0.192</v>
      </c>
      <c r="BC454">
        <f t="shared" si="69"/>
        <v>0.18799999999999997</v>
      </c>
      <c r="BD454">
        <f t="shared" si="69"/>
        <v>0.18400000000000002</v>
      </c>
      <c r="BE454">
        <f t="shared" si="69"/>
        <v>0.18</v>
      </c>
      <c r="BF454">
        <f t="shared" si="69"/>
        <v>0.17600000000000002</v>
      </c>
      <c r="BG454">
        <f t="shared" si="69"/>
        <v>0.17199999999999999</v>
      </c>
      <c r="BH454">
        <f t="shared" si="69"/>
        <v>0.16800000000000001</v>
      </c>
      <c r="BI454">
        <f t="shared" si="69"/>
        <v>0.16399999999999998</v>
      </c>
      <c r="BJ454">
        <f t="shared" si="69"/>
        <v>0.16</v>
      </c>
      <c r="BK454">
        <f t="shared" si="69"/>
        <v>0.15600000000000003</v>
      </c>
      <c r="BL454">
        <f t="shared" si="69"/>
        <v>0.152</v>
      </c>
      <c r="BM454">
        <f t="shared" si="69"/>
        <v>0.14800000000000002</v>
      </c>
      <c r="BN454">
        <f t="shared" si="69"/>
        <v>0.14399999999999999</v>
      </c>
      <c r="BO454">
        <f t="shared" ref="BO454" si="70">BO453/$D$424</f>
        <v>0.14000000000000001</v>
      </c>
      <c r="BP454">
        <f t="shared" ref="BP454:CX454" si="71">BP453/$D$424</f>
        <v>0.13600000000000001</v>
      </c>
      <c r="BQ454">
        <f t="shared" si="71"/>
        <v>0.13200000000000001</v>
      </c>
      <c r="BR454">
        <f t="shared" si="71"/>
        <v>0.128</v>
      </c>
      <c r="BS454">
        <f t="shared" si="71"/>
        <v>0.124</v>
      </c>
      <c r="BT454">
        <f t="shared" si="71"/>
        <v>0.12</v>
      </c>
      <c r="BU454">
        <f t="shared" si="71"/>
        <v>0.11599999999999999</v>
      </c>
      <c r="BV454">
        <f t="shared" si="71"/>
        <v>0.11200000000000002</v>
      </c>
      <c r="BW454">
        <f t="shared" si="71"/>
        <v>0.10800000000000001</v>
      </c>
      <c r="BX454">
        <f t="shared" si="71"/>
        <v>0.10400000000000001</v>
      </c>
      <c r="BY454">
        <f t="shared" si="71"/>
        <v>0.1</v>
      </c>
      <c r="BZ454">
        <f t="shared" si="71"/>
        <v>9.6000000000000002E-2</v>
      </c>
      <c r="CA454">
        <f t="shared" si="71"/>
        <v>9.2000000000000012E-2</v>
      </c>
      <c r="CB454">
        <f t="shared" si="71"/>
        <v>8.8000000000000009E-2</v>
      </c>
      <c r="CC454">
        <f t="shared" si="71"/>
        <v>8.4000000000000005E-2</v>
      </c>
      <c r="CD454">
        <f t="shared" si="71"/>
        <v>0.08</v>
      </c>
      <c r="CE454">
        <f t="shared" si="71"/>
        <v>7.5999999999999998E-2</v>
      </c>
      <c r="CF454">
        <f t="shared" si="71"/>
        <v>7.1999999999999995E-2</v>
      </c>
      <c r="CG454">
        <f t="shared" si="71"/>
        <v>6.8000000000000005E-2</v>
      </c>
      <c r="CH454">
        <f t="shared" si="71"/>
        <v>6.4000000000000001E-2</v>
      </c>
      <c r="CI454">
        <f t="shared" si="71"/>
        <v>0.06</v>
      </c>
      <c r="CJ454">
        <f t="shared" si="71"/>
        <v>5.6000000000000008E-2</v>
      </c>
      <c r="CK454">
        <f t="shared" si="71"/>
        <v>5.2000000000000005E-2</v>
      </c>
      <c r="CL454">
        <f t="shared" si="71"/>
        <v>4.8000000000000001E-2</v>
      </c>
      <c r="CM454">
        <f t="shared" si="71"/>
        <v>4.4000000000000004E-2</v>
      </c>
      <c r="CN454">
        <f t="shared" si="71"/>
        <v>0.04</v>
      </c>
      <c r="CO454">
        <f t="shared" si="71"/>
        <v>3.5999999999999997E-2</v>
      </c>
      <c r="CP454">
        <f t="shared" si="71"/>
        <v>3.2000000000000001E-2</v>
      </c>
      <c r="CQ454">
        <f t="shared" si="71"/>
        <v>2.8000000000000004E-2</v>
      </c>
      <c r="CR454">
        <f t="shared" si="71"/>
        <v>2.4E-2</v>
      </c>
      <c r="CS454">
        <f t="shared" si="71"/>
        <v>0.02</v>
      </c>
      <c r="CT454">
        <f t="shared" si="71"/>
        <v>1.6E-2</v>
      </c>
      <c r="CU454">
        <f t="shared" si="71"/>
        <v>1.2E-2</v>
      </c>
      <c r="CV454">
        <f t="shared" si="71"/>
        <v>8.0000000000000002E-3</v>
      </c>
      <c r="CW454">
        <f t="shared" si="71"/>
        <v>4.0000000000000001E-3</v>
      </c>
      <c r="CX454">
        <f t="shared" si="71"/>
        <v>0</v>
      </c>
    </row>
    <row r="455" spans="1:102" x14ac:dyDescent="0.25">
      <c r="A455" s="66"/>
      <c r="B455" t="s">
        <v>567</v>
      </c>
      <c r="C455">
        <f>(($D$430*2)+(C454*($D$432+$D$434)))*$D$450</f>
        <v>6.6875000000000006E-7</v>
      </c>
      <c r="D455">
        <f>(($D$430*2)+(D454*($D$432+$D$434)))*$D$450</f>
        <v>6.8125000000000015E-7</v>
      </c>
      <c r="E455">
        <f t="shared" ref="E455:BP455" si="72">(($D$430*2)+(E454*($D$432+$D$434)))*$D$450</f>
        <v>6.9375000000000013E-7</v>
      </c>
      <c r="F455">
        <f t="shared" si="72"/>
        <v>7.0625000000000012E-7</v>
      </c>
      <c r="G455">
        <f t="shared" si="72"/>
        <v>7.1875000000000011E-7</v>
      </c>
      <c r="H455">
        <f t="shared" si="72"/>
        <v>7.3124999999999999E-7</v>
      </c>
      <c r="I455">
        <f t="shared" si="72"/>
        <v>7.4375000000000008E-7</v>
      </c>
      <c r="J455">
        <f t="shared" si="72"/>
        <v>7.5625000000000007E-7</v>
      </c>
      <c r="K455">
        <f t="shared" si="72"/>
        <v>7.6875000000000005E-7</v>
      </c>
      <c r="L455">
        <f t="shared" si="72"/>
        <v>7.8125000000000004E-7</v>
      </c>
      <c r="M455">
        <f t="shared" si="72"/>
        <v>7.9375000000000002E-7</v>
      </c>
      <c r="N455">
        <f t="shared" si="72"/>
        <v>8.0625000000000012E-7</v>
      </c>
      <c r="O455">
        <f t="shared" si="72"/>
        <v>8.187500000000001E-7</v>
      </c>
      <c r="P455">
        <f t="shared" si="72"/>
        <v>8.3125000000000009E-7</v>
      </c>
      <c r="Q455">
        <f t="shared" si="72"/>
        <v>8.4375000000000007E-7</v>
      </c>
      <c r="R455">
        <f t="shared" si="72"/>
        <v>8.5625000000000017E-7</v>
      </c>
      <c r="S455">
        <f t="shared" si="72"/>
        <v>8.6875000000000015E-7</v>
      </c>
      <c r="T455">
        <f t="shared" si="72"/>
        <v>8.8125000000000014E-7</v>
      </c>
      <c r="U455">
        <f t="shared" si="72"/>
        <v>8.9375000000000012E-7</v>
      </c>
      <c r="V455">
        <f t="shared" si="72"/>
        <v>9.0625000000000022E-7</v>
      </c>
      <c r="W455">
        <f t="shared" si="72"/>
        <v>9.187500000000002E-7</v>
      </c>
      <c r="X455">
        <f t="shared" si="72"/>
        <v>9.3125000000000019E-7</v>
      </c>
      <c r="Y455">
        <f t="shared" si="72"/>
        <v>9.4375000000000018E-7</v>
      </c>
      <c r="Z455">
        <f t="shared" si="72"/>
        <v>9.5625000000000016E-7</v>
      </c>
      <c r="AA455">
        <f t="shared" si="72"/>
        <v>9.6875000000000004E-7</v>
      </c>
      <c r="AB455">
        <f t="shared" si="72"/>
        <v>9.8125000000000013E-7</v>
      </c>
      <c r="AC455">
        <f t="shared" si="72"/>
        <v>9.9375000000000023E-7</v>
      </c>
      <c r="AD455">
        <f t="shared" si="72"/>
        <v>1.0062500000000001E-6</v>
      </c>
      <c r="AE455">
        <f t="shared" si="72"/>
        <v>1.01875E-6</v>
      </c>
      <c r="AF455">
        <f t="shared" si="72"/>
        <v>1.0312500000000001E-6</v>
      </c>
      <c r="AG455">
        <f t="shared" si="72"/>
        <v>1.04375E-6</v>
      </c>
      <c r="AH455">
        <f t="shared" si="72"/>
        <v>1.0562500000000001E-6</v>
      </c>
      <c r="AI455">
        <f t="shared" si="72"/>
        <v>1.0687500000000001E-6</v>
      </c>
      <c r="AJ455">
        <f t="shared" si="72"/>
        <v>1.08125E-6</v>
      </c>
      <c r="AK455">
        <f t="shared" si="72"/>
        <v>1.0937500000000001E-6</v>
      </c>
      <c r="AL455">
        <f t="shared" si="72"/>
        <v>1.10625E-6</v>
      </c>
      <c r="AM455">
        <f t="shared" si="72"/>
        <v>1.1187500000000001E-6</v>
      </c>
      <c r="AN455">
        <f t="shared" si="72"/>
        <v>1.1312500000000002E-6</v>
      </c>
      <c r="AO455">
        <f t="shared" si="72"/>
        <v>1.1437500000000001E-6</v>
      </c>
      <c r="AP455">
        <f t="shared" si="72"/>
        <v>1.1562500000000002E-6</v>
      </c>
      <c r="AQ455">
        <f t="shared" si="72"/>
        <v>1.16875E-6</v>
      </c>
      <c r="AR455">
        <f t="shared" si="72"/>
        <v>1.1812500000000001E-6</v>
      </c>
      <c r="AS455">
        <f t="shared" si="72"/>
        <v>1.19375E-6</v>
      </c>
      <c r="AT455">
        <f t="shared" si="72"/>
        <v>1.2062500000000001E-6</v>
      </c>
      <c r="AU455">
        <f t="shared" si="72"/>
        <v>1.21875E-6</v>
      </c>
      <c r="AV455">
        <f t="shared" si="72"/>
        <v>1.2312500000000003E-6</v>
      </c>
      <c r="AW455">
        <f t="shared" si="72"/>
        <v>1.24375E-6</v>
      </c>
      <c r="AX455">
        <f t="shared" si="72"/>
        <v>1.25625E-6</v>
      </c>
      <c r="AY455">
        <f t="shared" si="72"/>
        <v>1.2687500000000003E-6</v>
      </c>
      <c r="AZ455">
        <f t="shared" si="72"/>
        <v>1.28125E-6</v>
      </c>
      <c r="BA455">
        <f t="shared" si="72"/>
        <v>1.2687500000000003E-6</v>
      </c>
      <c r="BB455">
        <f t="shared" si="72"/>
        <v>1.25625E-6</v>
      </c>
      <c r="BC455">
        <f t="shared" si="72"/>
        <v>1.24375E-6</v>
      </c>
      <c r="BD455">
        <f t="shared" si="72"/>
        <v>1.2312500000000003E-6</v>
      </c>
      <c r="BE455">
        <f t="shared" si="72"/>
        <v>1.21875E-6</v>
      </c>
      <c r="BF455">
        <f t="shared" si="72"/>
        <v>1.2062500000000001E-6</v>
      </c>
      <c r="BG455">
        <f t="shared" si="72"/>
        <v>1.19375E-6</v>
      </c>
      <c r="BH455">
        <f t="shared" si="72"/>
        <v>1.1812500000000001E-6</v>
      </c>
      <c r="BI455">
        <f t="shared" si="72"/>
        <v>1.16875E-6</v>
      </c>
      <c r="BJ455">
        <f t="shared" si="72"/>
        <v>1.1562500000000002E-6</v>
      </c>
      <c r="BK455">
        <f t="shared" si="72"/>
        <v>1.1437500000000001E-6</v>
      </c>
      <c r="BL455">
        <f t="shared" si="72"/>
        <v>1.1312500000000002E-6</v>
      </c>
      <c r="BM455">
        <f t="shared" si="72"/>
        <v>1.1187500000000001E-6</v>
      </c>
      <c r="BN455">
        <f t="shared" si="72"/>
        <v>1.10625E-6</v>
      </c>
      <c r="BO455">
        <f t="shared" si="72"/>
        <v>1.0937500000000001E-6</v>
      </c>
      <c r="BP455">
        <f t="shared" si="72"/>
        <v>1.08125E-6</v>
      </c>
      <c r="BQ455">
        <f t="shared" ref="BQ455:CX455" si="73">(($D$430*2)+(BQ454*($D$432+$D$434)))*$D$450</f>
        <v>1.0687500000000001E-6</v>
      </c>
      <c r="BR455">
        <f t="shared" si="73"/>
        <v>1.0562500000000001E-6</v>
      </c>
      <c r="BS455">
        <f t="shared" si="73"/>
        <v>1.04375E-6</v>
      </c>
      <c r="BT455">
        <f t="shared" si="73"/>
        <v>1.0312500000000001E-6</v>
      </c>
      <c r="BU455">
        <f t="shared" si="73"/>
        <v>1.01875E-6</v>
      </c>
      <c r="BV455">
        <f t="shared" si="73"/>
        <v>1.0062500000000001E-6</v>
      </c>
      <c r="BW455">
        <f t="shared" si="73"/>
        <v>9.9375000000000023E-7</v>
      </c>
      <c r="BX455">
        <f t="shared" si="73"/>
        <v>9.8125000000000013E-7</v>
      </c>
      <c r="BY455">
        <f t="shared" si="73"/>
        <v>9.6875000000000004E-7</v>
      </c>
      <c r="BZ455">
        <f t="shared" si="73"/>
        <v>9.5625000000000016E-7</v>
      </c>
      <c r="CA455">
        <f t="shared" si="73"/>
        <v>9.4375000000000018E-7</v>
      </c>
      <c r="CB455">
        <f t="shared" si="73"/>
        <v>9.3125000000000019E-7</v>
      </c>
      <c r="CC455">
        <f t="shared" si="73"/>
        <v>9.187500000000002E-7</v>
      </c>
      <c r="CD455">
        <f t="shared" si="73"/>
        <v>9.0625000000000022E-7</v>
      </c>
      <c r="CE455">
        <f t="shared" si="73"/>
        <v>8.9375000000000012E-7</v>
      </c>
      <c r="CF455">
        <f t="shared" si="73"/>
        <v>8.8125000000000014E-7</v>
      </c>
      <c r="CG455">
        <f t="shared" si="73"/>
        <v>8.6875000000000015E-7</v>
      </c>
      <c r="CH455">
        <f t="shared" si="73"/>
        <v>8.5625000000000017E-7</v>
      </c>
      <c r="CI455">
        <f t="shared" si="73"/>
        <v>8.4375000000000007E-7</v>
      </c>
      <c r="CJ455">
        <f t="shared" si="73"/>
        <v>8.3125000000000009E-7</v>
      </c>
      <c r="CK455">
        <f t="shared" si="73"/>
        <v>8.187500000000001E-7</v>
      </c>
      <c r="CL455">
        <f t="shared" si="73"/>
        <v>8.0625000000000012E-7</v>
      </c>
      <c r="CM455">
        <f t="shared" si="73"/>
        <v>7.9375000000000002E-7</v>
      </c>
      <c r="CN455">
        <f t="shared" si="73"/>
        <v>7.8125000000000004E-7</v>
      </c>
      <c r="CO455">
        <f t="shared" si="73"/>
        <v>7.6875000000000005E-7</v>
      </c>
      <c r="CP455">
        <f t="shared" si="73"/>
        <v>7.5625000000000007E-7</v>
      </c>
      <c r="CQ455">
        <f t="shared" si="73"/>
        <v>7.4375000000000008E-7</v>
      </c>
      <c r="CR455">
        <f t="shared" si="73"/>
        <v>7.3124999999999999E-7</v>
      </c>
      <c r="CS455">
        <f t="shared" si="73"/>
        <v>7.1875000000000011E-7</v>
      </c>
      <c r="CT455">
        <f t="shared" si="73"/>
        <v>7.0625000000000012E-7</v>
      </c>
      <c r="CU455">
        <f t="shared" si="73"/>
        <v>6.9375000000000013E-7</v>
      </c>
      <c r="CV455">
        <f t="shared" si="73"/>
        <v>6.8125000000000015E-7</v>
      </c>
      <c r="CW455">
        <f t="shared" si="73"/>
        <v>6.6875000000000006E-7</v>
      </c>
      <c r="CX455">
        <f t="shared" si="73"/>
        <v>6.5625000000000007E-7</v>
      </c>
    </row>
    <row r="456" spans="1:102" x14ac:dyDescent="0.25">
      <c r="A456" s="66"/>
      <c r="B456" t="s">
        <v>568</v>
      </c>
      <c r="C456" s="18">
        <f>SUM(C455:CX455)</f>
        <v>9.6874999999999969E-5</v>
      </c>
    </row>
    <row r="457" spans="1:102" x14ac:dyDescent="0.25">
      <c r="A457" s="66"/>
      <c r="B457" t="s">
        <v>569</v>
      </c>
      <c r="C457" s="18">
        <f>791/1000000</f>
        <v>7.9100000000000004E-4</v>
      </c>
    </row>
    <row r="458" spans="1:102" x14ac:dyDescent="0.25">
      <c r="A458" s="66"/>
      <c r="C458" t="s">
        <v>570</v>
      </c>
      <c r="D458" s="18" t="b">
        <f>C456&lt;=C457</f>
        <v>1</v>
      </c>
    </row>
    <row r="459" spans="1:102" x14ac:dyDescent="0.25">
      <c r="A459" s="28"/>
    </row>
    <row r="460" spans="1:102" x14ac:dyDescent="0.25">
      <c r="A460" s="28"/>
      <c r="E460" s="7"/>
    </row>
    <row r="461" spans="1:102" x14ac:dyDescent="0.25">
      <c r="A461" s="68" t="s">
        <v>257</v>
      </c>
      <c r="B461" t="s">
        <v>41</v>
      </c>
      <c r="C461" t="s">
        <v>40</v>
      </c>
      <c r="D461">
        <f>D3</f>
        <v>16000</v>
      </c>
    </row>
    <row r="462" spans="1:102" x14ac:dyDescent="0.25">
      <c r="A462" s="68"/>
      <c r="B462" t="s">
        <v>37</v>
      </c>
      <c r="C462" t="s">
        <v>240</v>
      </c>
      <c r="D462">
        <f>D127</f>
        <v>22.598870056497169</v>
      </c>
    </row>
    <row r="463" spans="1:102" x14ac:dyDescent="0.25">
      <c r="A463" s="68"/>
      <c r="B463" t="s">
        <v>36</v>
      </c>
      <c r="C463" t="s">
        <v>241</v>
      </c>
      <c r="D463">
        <f>D121</f>
        <v>0</v>
      </c>
    </row>
    <row r="464" spans="1:102" x14ac:dyDescent="0.25">
      <c r="A464" s="68"/>
      <c r="B464" t="s">
        <v>238</v>
      </c>
      <c r="C464" t="s">
        <v>239</v>
      </c>
      <c r="D464">
        <f>0.5*D462/D461</f>
        <v>7.062146892655365E-4</v>
      </c>
    </row>
    <row r="465" spans="1:4" x14ac:dyDescent="0.25">
      <c r="A465" s="68"/>
      <c r="B465" t="s">
        <v>242</v>
      </c>
      <c r="D465">
        <v>0.5</v>
      </c>
    </row>
    <row r="466" spans="1:4" x14ac:dyDescent="0.25">
      <c r="A466" s="68"/>
      <c r="B466" t="s">
        <v>248</v>
      </c>
      <c r="D466">
        <f>D464/D465</f>
        <v>1.412429378531073E-3</v>
      </c>
    </row>
    <row r="467" spans="1:4" x14ac:dyDescent="0.25">
      <c r="A467" s="68"/>
      <c r="C467" t="s">
        <v>243</v>
      </c>
      <c r="D467">
        <v>10</v>
      </c>
    </row>
    <row r="468" spans="1:4" x14ac:dyDescent="0.25">
      <c r="A468" s="68"/>
      <c r="B468" t="s">
        <v>247</v>
      </c>
      <c r="D468">
        <f>D467*D466</f>
        <v>1.4124293785310729E-2</v>
      </c>
    </row>
    <row r="469" spans="1:4" x14ac:dyDescent="0.25">
      <c r="A469" s="68"/>
      <c r="B469" t="s">
        <v>272</v>
      </c>
      <c r="C469" t="s">
        <v>273</v>
      </c>
      <c r="D469">
        <f>3*D491</f>
        <v>132.30000000000001</v>
      </c>
    </row>
    <row r="470" spans="1:4" x14ac:dyDescent="0.25">
      <c r="A470" s="68"/>
      <c r="B470" t="s">
        <v>274</v>
      </c>
      <c r="D470" s="1">
        <v>1E-3</v>
      </c>
    </row>
    <row r="471" spans="1:4" x14ac:dyDescent="0.25">
      <c r="A471" s="68"/>
      <c r="B471" t="s">
        <v>275</v>
      </c>
      <c r="D471">
        <v>20</v>
      </c>
    </row>
    <row r="472" spans="1:4" x14ac:dyDescent="0.25">
      <c r="A472" s="68"/>
      <c r="B472" t="s">
        <v>278</v>
      </c>
      <c r="C472" t="s">
        <v>279</v>
      </c>
      <c r="D472" s="19">
        <v>1.7000000000000001E-2</v>
      </c>
    </row>
    <row r="473" spans="1:4" x14ac:dyDescent="0.25">
      <c r="A473" s="68"/>
      <c r="B473" t="s">
        <v>280</v>
      </c>
      <c r="D473">
        <f>D472/D471</f>
        <v>8.5000000000000006E-4</v>
      </c>
    </row>
    <row r="474" spans="1:4" x14ac:dyDescent="0.25">
      <c r="A474" s="68"/>
      <c r="B474" t="s">
        <v>253</v>
      </c>
      <c r="C474" t="s">
        <v>254</v>
      </c>
      <c r="D474" s="1">
        <f>D470*D471</f>
        <v>0.02</v>
      </c>
    </row>
    <row r="475" spans="1:4" x14ac:dyDescent="0.25">
      <c r="A475" s="68"/>
      <c r="C475" t="s">
        <v>276</v>
      </c>
      <c r="D475" s="1">
        <f>0.2</f>
        <v>0.2</v>
      </c>
    </row>
    <row r="476" spans="1:4" x14ac:dyDescent="0.25">
      <c r="A476" s="68"/>
      <c r="B476" t="s">
        <v>277</v>
      </c>
      <c r="D476" s="1">
        <f>D474*(1-D475)</f>
        <v>1.6E-2</v>
      </c>
    </row>
    <row r="477" spans="1:4" x14ac:dyDescent="0.25">
      <c r="A477" s="68"/>
      <c r="B477" t="s">
        <v>313</v>
      </c>
      <c r="D477" s="1">
        <f>D473*D462</f>
        <v>1.9209039548022597E-2</v>
      </c>
    </row>
    <row r="478" spans="1:4" x14ac:dyDescent="0.25">
      <c r="A478" s="68"/>
      <c r="B478" t="s">
        <v>314</v>
      </c>
      <c r="D478" s="1">
        <f>D464/D474</f>
        <v>3.5310734463276823E-2</v>
      </c>
    </row>
    <row r="479" spans="1:4" x14ac:dyDescent="0.25">
      <c r="A479" s="68"/>
      <c r="B479" t="s">
        <v>315</v>
      </c>
      <c r="D479" s="1">
        <f>D477+D478</f>
        <v>5.451977401129942E-2</v>
      </c>
    </row>
    <row r="480" spans="1:4" x14ac:dyDescent="0.25">
      <c r="A480" s="68"/>
      <c r="B480" t="s">
        <v>281</v>
      </c>
      <c r="D480" s="1">
        <f>POWER(D477, 2)/D473</f>
        <v>0.43410258865587781</v>
      </c>
    </row>
    <row r="481" spans="1:4" x14ac:dyDescent="0.25">
      <c r="A481" s="68"/>
      <c r="B481" t="s">
        <v>282</v>
      </c>
      <c r="D481" s="1">
        <f>D480/D471</f>
        <v>2.1705129432793891E-2</v>
      </c>
    </row>
    <row r="482" spans="1:4" x14ac:dyDescent="0.25">
      <c r="A482" s="68"/>
      <c r="B482" t="s">
        <v>251</v>
      </c>
      <c r="C482" t="s">
        <v>245</v>
      </c>
      <c r="D482">
        <v>500</v>
      </c>
    </row>
    <row r="483" spans="1:4" x14ac:dyDescent="0.25">
      <c r="A483" s="68"/>
      <c r="B483" t="s">
        <v>249</v>
      </c>
      <c r="C483" t="s">
        <v>250</v>
      </c>
      <c r="D483">
        <f>1/(POWER(2*PI()*D482, 2)*D468)</f>
        <v>7.1735398018775175E-6</v>
      </c>
    </row>
    <row r="484" spans="1:4" x14ac:dyDescent="0.25">
      <c r="A484" s="68"/>
      <c r="B484" t="s">
        <v>246</v>
      </c>
      <c r="C484" t="s">
        <v>283</v>
      </c>
      <c r="D484" s="1">
        <v>2.1999999999999999E-5</v>
      </c>
    </row>
    <row r="485" spans="1:4" x14ac:dyDescent="0.25">
      <c r="A485" s="68"/>
      <c r="B485" t="s">
        <v>284</v>
      </c>
      <c r="D485" s="1">
        <f>D2*2/D5</f>
        <v>11.299435028248586</v>
      </c>
    </row>
    <row r="486" spans="1:4" x14ac:dyDescent="0.25">
      <c r="A486" s="68"/>
      <c r="B486" t="s">
        <v>285</v>
      </c>
      <c r="D486" s="1">
        <f>2*D485</f>
        <v>22.598870056497173</v>
      </c>
    </row>
    <row r="487" spans="1:4" x14ac:dyDescent="0.25">
      <c r="A487" s="68"/>
      <c r="B487" t="s">
        <v>244</v>
      </c>
      <c r="C487" t="s">
        <v>252</v>
      </c>
      <c r="D487" s="1">
        <f>1/(2*PI()*POWER(D474*D484, 0.5))</f>
        <v>239.93510443917407</v>
      </c>
    </row>
    <row r="488" spans="1:4" x14ac:dyDescent="0.25">
      <c r="A488" s="68"/>
      <c r="B488" t="s">
        <v>255</v>
      </c>
      <c r="D488" s="1">
        <f>40*LOG10(D461/D487)</f>
        <v>72.961047570285331</v>
      </c>
    </row>
    <row r="489" spans="1:4" x14ac:dyDescent="0.25">
      <c r="A489" s="68"/>
      <c r="C489" t="s">
        <v>256</v>
      </c>
      <c r="D489">
        <f>POWER(D7, 2)*0.5*D474</f>
        <v>19.448100000000004</v>
      </c>
    </row>
    <row r="490" spans="1:4" x14ac:dyDescent="0.25">
      <c r="A490" s="68"/>
      <c r="B490" t="s">
        <v>258</v>
      </c>
      <c r="C490" t="s">
        <v>259</v>
      </c>
      <c r="D490">
        <v>33</v>
      </c>
    </row>
    <row r="491" spans="1:4" x14ac:dyDescent="0.25">
      <c r="A491" s="68"/>
      <c r="B491" t="s">
        <v>35</v>
      </c>
      <c r="D491">
        <f>D7</f>
        <v>44.1</v>
      </c>
    </row>
    <row r="492" spans="1:4" x14ac:dyDescent="0.25">
      <c r="A492" s="68"/>
    </row>
    <row r="493" spans="1:4" x14ac:dyDescent="0.25">
      <c r="A493" s="68"/>
      <c r="B493" t="s">
        <v>261</v>
      </c>
      <c r="D493" s="1">
        <f>((-D490)+POWER(POWER(D490, 2)-(4*D484/D474), 0.5))/(2*D484)</f>
        <v>-1.5151530456139737</v>
      </c>
    </row>
    <row r="494" spans="1:4" x14ac:dyDescent="0.25">
      <c r="A494" s="68"/>
      <c r="B494" t="s">
        <v>262</v>
      </c>
      <c r="D494" s="1">
        <f>((-D490)-POWER(POWER(D490, 2)-(4*D484/D474), 0.5))/(2*D484)</f>
        <v>-1499998.4848469547</v>
      </c>
    </row>
    <row r="495" spans="1:4" x14ac:dyDescent="0.25">
      <c r="A495" s="68"/>
      <c r="B495" t="s">
        <v>263</v>
      </c>
      <c r="D495" s="1">
        <f>LN(D494/D493)/(D493-D494)</f>
        <v>9.2036573945350537E-6</v>
      </c>
    </row>
    <row r="496" spans="1:4" x14ac:dyDescent="0.25">
      <c r="A496" s="68"/>
      <c r="B496" t="s">
        <v>206</v>
      </c>
      <c r="D496" s="1">
        <f>(D491/(D484*(D493-D494)))*(EXP(D493*D495)-EXP(D494*D495))</f>
        <v>1.3363463508162678</v>
      </c>
    </row>
    <row r="497" spans="1:4" x14ac:dyDescent="0.25">
      <c r="A497" s="68"/>
      <c r="B497" t="s">
        <v>264</v>
      </c>
      <c r="D497" s="1">
        <f>D490*POWER(D496, 2)</f>
        <v>58.932111788218542</v>
      </c>
    </row>
    <row r="498" spans="1:4" x14ac:dyDescent="0.25">
      <c r="A498" s="68"/>
      <c r="C498" t="s">
        <v>260</v>
      </c>
      <c r="D498" s="1">
        <f>D497*D4</f>
        <v>70.71853414586225</v>
      </c>
    </row>
    <row r="499" spans="1:4" x14ac:dyDescent="0.25">
      <c r="A499" s="68"/>
      <c r="B499" t="s">
        <v>266</v>
      </c>
      <c r="C499" t="s">
        <v>265</v>
      </c>
      <c r="D499" t="b">
        <f>(POWER(D490, 2)/(4*POWER(D484, 2)))&lt;(1/(D484*D474))</f>
        <v>0</v>
      </c>
    </row>
    <row r="500" spans="1:4" x14ac:dyDescent="0.25">
      <c r="A500" s="68"/>
      <c r="B500" t="s">
        <v>267</v>
      </c>
      <c r="D500" s="1">
        <f>D490/(2*D484)</f>
        <v>750000</v>
      </c>
    </row>
    <row r="501" spans="1:4" x14ac:dyDescent="0.25">
      <c r="A501" s="68"/>
      <c r="B501" t="s">
        <v>268</v>
      </c>
      <c r="D501" s="1">
        <f>1/POWER(D484*D474, 0.5)</f>
        <v>1507.5567228888181</v>
      </c>
    </row>
    <row r="502" spans="1:4" x14ac:dyDescent="0.25">
      <c r="A502" s="68"/>
      <c r="B502" t="s">
        <v>269</v>
      </c>
      <c r="D502" t="str">
        <f>IF(D499, POWER(POWER(D501, 2)-POWER(D500, 2), 0.5),"NA")</f>
        <v>NA</v>
      </c>
    </row>
    <row r="503" spans="1:4" x14ac:dyDescent="0.25">
      <c r="A503" s="68"/>
      <c r="C503" t="s">
        <v>270</v>
      </c>
      <c r="D503" s="1" t="str">
        <f>IF(D499, 100*EXP(-PI()*D500/D502), "Not Under-damped")</f>
        <v>Not Under-damped</v>
      </c>
    </row>
    <row r="504" spans="1:4" x14ac:dyDescent="0.25">
      <c r="A504" s="68"/>
      <c r="B504" t="s">
        <v>271</v>
      </c>
      <c r="D504" s="1">
        <f>5/MIN(ABS(D493), ABS(D494))</f>
        <v>3.2999966666561322</v>
      </c>
    </row>
    <row r="505" spans="1:4" x14ac:dyDescent="0.25">
      <c r="A505" s="68"/>
      <c r="B505" t="s">
        <v>289</v>
      </c>
      <c r="C505" t="s">
        <v>286</v>
      </c>
      <c r="D505">
        <v>1600</v>
      </c>
    </row>
    <row r="506" spans="1:4" x14ac:dyDescent="0.25">
      <c r="A506" s="68"/>
      <c r="C506" t="s">
        <v>287</v>
      </c>
      <c r="D506">
        <v>0.1</v>
      </c>
    </row>
    <row r="507" spans="1:4" x14ac:dyDescent="0.25">
      <c r="A507" s="68"/>
      <c r="B507" t="s">
        <v>288</v>
      </c>
      <c r="D507">
        <f>D505*(1-D506)</f>
        <v>1440</v>
      </c>
    </row>
    <row r="508" spans="1:4" x14ac:dyDescent="0.25">
      <c r="A508" s="68"/>
      <c r="B508" t="s">
        <v>290</v>
      </c>
      <c r="D508">
        <f>D505*(1+D506)</f>
        <v>1760.0000000000002</v>
      </c>
    </row>
    <row r="509" spans="1:4" x14ac:dyDescent="0.25">
      <c r="A509" s="68"/>
      <c r="B509" t="s">
        <v>291</v>
      </c>
      <c r="D509">
        <v>24</v>
      </c>
    </row>
    <row r="510" spans="1:4" x14ac:dyDescent="0.25">
      <c r="A510" s="68"/>
      <c r="B510" t="s">
        <v>292</v>
      </c>
      <c r="D510">
        <v>1.4999999999999999E-2</v>
      </c>
    </row>
    <row r="511" spans="1:4" x14ac:dyDescent="0.25">
      <c r="A511" s="68"/>
      <c r="C511" t="s">
        <v>293</v>
      </c>
      <c r="D511" t="b">
        <f>(D509/D505)=D510</f>
        <v>1</v>
      </c>
    </row>
    <row r="512" spans="1:4" x14ac:dyDescent="0.25">
      <c r="A512" s="68"/>
      <c r="B512" t="s">
        <v>294</v>
      </c>
      <c r="C512" t="s">
        <v>295</v>
      </c>
      <c r="D512">
        <f>1.3*D509</f>
        <v>31.200000000000003</v>
      </c>
    </row>
    <row r="513" spans="1:4" x14ac:dyDescent="0.25">
      <c r="A513" s="68"/>
      <c r="B513" t="s">
        <v>296</v>
      </c>
      <c r="C513" t="s">
        <v>297</v>
      </c>
      <c r="D513">
        <f>0.75*D509</f>
        <v>18</v>
      </c>
    </row>
    <row r="514" spans="1:4" x14ac:dyDescent="0.25">
      <c r="A514" s="68"/>
      <c r="B514" t="s">
        <v>298</v>
      </c>
      <c r="D514">
        <f>D513/D508</f>
        <v>1.0227272727272725E-2</v>
      </c>
    </row>
    <row r="515" spans="1:4" x14ac:dyDescent="0.25">
      <c r="A515" s="68"/>
      <c r="B515" t="s">
        <v>299</v>
      </c>
      <c r="D515">
        <f>D512/D508</f>
        <v>1.7727272727272727E-2</v>
      </c>
    </row>
    <row r="516" spans="1:4" x14ac:dyDescent="0.25">
      <c r="A516" s="68"/>
      <c r="B516" t="s">
        <v>305</v>
      </c>
      <c r="D516">
        <v>1330</v>
      </c>
    </row>
    <row r="517" spans="1:4" x14ac:dyDescent="0.25">
      <c r="A517" s="68"/>
      <c r="C517" t="s">
        <v>309</v>
      </c>
      <c r="D517">
        <v>0.05</v>
      </c>
    </row>
    <row r="518" spans="1:4" x14ac:dyDescent="0.25">
      <c r="A518" s="68"/>
      <c r="B518" t="s">
        <v>310</v>
      </c>
      <c r="D518">
        <f>D516*(1-D517)</f>
        <v>1263.5</v>
      </c>
    </row>
    <row r="519" spans="1:4" x14ac:dyDescent="0.25">
      <c r="A519" s="68"/>
      <c r="B519" t="s">
        <v>311</v>
      </c>
      <c r="D519">
        <f>D516*(1+D517)</f>
        <v>1396.5</v>
      </c>
    </row>
    <row r="520" spans="1:4" x14ac:dyDescent="0.25">
      <c r="A520" s="68"/>
      <c r="C520" t="s">
        <v>302</v>
      </c>
      <c r="D520">
        <f>D6/(D505+D516)</f>
        <v>1.3003412969283274E-2</v>
      </c>
    </row>
    <row r="521" spans="1:4" x14ac:dyDescent="0.25">
      <c r="A521" s="68"/>
      <c r="C521" t="s">
        <v>303</v>
      </c>
      <c r="D521">
        <f>D5/(D507+D519)</f>
        <v>1.2480169222633529E-2</v>
      </c>
    </row>
    <row r="522" spans="1:4" x14ac:dyDescent="0.25">
      <c r="A522" s="68"/>
      <c r="C522" t="s">
        <v>304</v>
      </c>
      <c r="D522">
        <f>D7/(D507+D518)</f>
        <v>1.6312187904568152E-2</v>
      </c>
    </row>
    <row r="523" spans="1:4" x14ac:dyDescent="0.25">
      <c r="A523" s="68"/>
      <c r="C523" t="s">
        <v>306</v>
      </c>
      <c r="D523" t="b">
        <f>AND((D520&gt;D514), (D522&lt;D515))</f>
        <v>1</v>
      </c>
    </row>
    <row r="524" spans="1:4" x14ac:dyDescent="0.25">
      <c r="A524" s="68"/>
    </row>
    <row r="525" spans="1:4" x14ac:dyDescent="0.25">
      <c r="A525" s="68"/>
      <c r="B525" t="s">
        <v>307</v>
      </c>
      <c r="D525">
        <f xml:space="preserve"> POWER(D522, 2)*D516</f>
        <v>0.35389634073113957</v>
      </c>
    </row>
    <row r="526" spans="1:4" x14ac:dyDescent="0.25">
      <c r="A526" s="68"/>
      <c r="B526" t="s">
        <v>312</v>
      </c>
      <c r="D526">
        <f>POWER(D520, 2)*D505</f>
        <v>0.27054199815955915</v>
      </c>
    </row>
    <row r="527" spans="1:4" x14ac:dyDescent="0.25">
      <c r="A527" s="68"/>
      <c r="B527" t="s">
        <v>308</v>
      </c>
      <c r="D527">
        <f>POWER(D521, 2)*D508</f>
        <v>0.27412813793300184</v>
      </c>
    </row>
    <row r="528" spans="1:4" x14ac:dyDescent="0.25">
      <c r="A528" s="68"/>
      <c r="C528" t="s">
        <v>340</v>
      </c>
      <c r="D528" s="1">
        <f>0.5*D484*POWER(D529, 2)</f>
        <v>3.0311171733454588E-4</v>
      </c>
    </row>
    <row r="529" spans="1:4" x14ac:dyDescent="0.25">
      <c r="A529" s="68"/>
      <c r="C529" t="s">
        <v>341</v>
      </c>
      <c r="D529">
        <f>D2/D6</f>
        <v>5.2493438320209984</v>
      </c>
    </row>
    <row r="530" spans="1:4" x14ac:dyDescent="0.25">
      <c r="A530" s="68"/>
      <c r="C530" t="s">
        <v>342</v>
      </c>
      <c r="D530">
        <f>D6</f>
        <v>38.099999999999994</v>
      </c>
    </row>
    <row r="531" spans="1:4" x14ac:dyDescent="0.25">
      <c r="A531" s="68"/>
      <c r="C531" t="s">
        <v>343</v>
      </c>
      <c r="D531">
        <f>POWER(((0.5*D474*POWER(D530, 2))+D528)*2/D474, 0.5)</f>
        <v>38.100397782329424</v>
      </c>
    </row>
    <row r="532" spans="1:4" x14ac:dyDescent="0.25">
      <c r="A532" s="68"/>
      <c r="B532" t="s">
        <v>449</v>
      </c>
      <c r="C532" t="s">
        <v>448</v>
      </c>
      <c r="D532" s="1">
        <f>0.5*D474*POWER(D7, 2)</f>
        <v>19.448100000000004</v>
      </c>
    </row>
    <row r="533" spans="1:4" x14ac:dyDescent="0.25">
      <c r="A533" t="s">
        <v>447</v>
      </c>
      <c r="B533" t="s">
        <v>450</v>
      </c>
      <c r="C533" t="s">
        <v>451</v>
      </c>
      <c r="D533">
        <f>(0.06*0.022*0.0018)+(2*(0.06*0.0129*0.001))+(0.06*0.0091*0.0018)</f>
        <v>4.9067999999999993E-6</v>
      </c>
    </row>
    <row r="534" spans="1:4" x14ac:dyDescent="0.25">
      <c r="B534" t="s">
        <v>452</v>
      </c>
      <c r="C534" t="s">
        <v>453</v>
      </c>
      <c r="D534">
        <v>850</v>
      </c>
    </row>
    <row r="535" spans="1:4" x14ac:dyDescent="0.25">
      <c r="B535" t="s">
        <v>454</v>
      </c>
      <c r="C535" t="s">
        <v>455</v>
      </c>
      <c r="D535">
        <v>2700</v>
      </c>
    </row>
    <row r="536" spans="1:4" x14ac:dyDescent="0.25">
      <c r="B536" t="s">
        <v>427</v>
      </c>
      <c r="D536">
        <f>D532/(D535*D533*D534)</f>
        <v>1.7270150907024588</v>
      </c>
    </row>
    <row r="537" spans="1:4" x14ac:dyDescent="0.25">
      <c r="B537" t="s">
        <v>456</v>
      </c>
      <c r="C537" t="s">
        <v>463</v>
      </c>
      <c r="D537">
        <v>0.2</v>
      </c>
    </row>
    <row r="538" spans="1:4" x14ac:dyDescent="0.25">
      <c r="B538" t="s">
        <v>461</v>
      </c>
      <c r="C538" t="s">
        <v>460</v>
      </c>
      <c r="D538">
        <f>D534*D533*D535</f>
        <v>11.261106</v>
      </c>
    </row>
    <row r="539" spans="1:4" x14ac:dyDescent="0.25">
      <c r="B539" t="s">
        <v>467</v>
      </c>
      <c r="C539" t="s">
        <v>466</v>
      </c>
      <c r="D539">
        <f>0.022*0.06</f>
        <v>1.3199999999999998E-3</v>
      </c>
    </row>
    <row r="540" spans="1:4" x14ac:dyDescent="0.25">
      <c r="B540" t="s">
        <v>468</v>
      </c>
      <c r="C540" t="s">
        <v>469</v>
      </c>
      <c r="D540">
        <f>0.002</f>
        <v>2E-3</v>
      </c>
    </row>
    <row r="541" spans="1:4" x14ac:dyDescent="0.25">
      <c r="B541" t="s">
        <v>457</v>
      </c>
      <c r="C541" t="s">
        <v>458</v>
      </c>
      <c r="D541">
        <v>0.5</v>
      </c>
    </row>
    <row r="542" spans="1:4" x14ac:dyDescent="0.25">
      <c r="B542" t="s">
        <v>462</v>
      </c>
      <c r="C542" t="s">
        <v>459</v>
      </c>
      <c r="D542">
        <f>4.605*D538/D541</f>
        <v>103.71478626000001</v>
      </c>
    </row>
    <row r="543" spans="1:4" x14ac:dyDescent="0.25">
      <c r="B543" t="s">
        <v>464</v>
      </c>
      <c r="C543" t="s">
        <v>465</v>
      </c>
      <c r="D543">
        <f>D540/(D537*D539)</f>
        <v>7.575757575757577</v>
      </c>
    </row>
    <row r="544" spans="1:4" x14ac:dyDescent="0.25">
      <c r="B544" t="s">
        <v>470</v>
      </c>
      <c r="D544">
        <f>D538*D536/D542</f>
        <v>0.18751521071687935</v>
      </c>
    </row>
    <row r="545" spans="1:10" x14ac:dyDescent="0.25">
      <c r="B545" t="s">
        <v>471</v>
      </c>
      <c r="D545">
        <f>D544*D543</f>
        <v>1.4205697781581772</v>
      </c>
    </row>
    <row r="546" spans="1:10" x14ac:dyDescent="0.25">
      <c r="A546" s="24"/>
      <c r="C546" t="s">
        <v>348</v>
      </c>
      <c r="D546" t="s">
        <v>349</v>
      </c>
      <c r="E546" t="s">
        <v>351</v>
      </c>
      <c r="F546" t="s">
        <v>350</v>
      </c>
      <c r="G546" t="s">
        <v>352</v>
      </c>
    </row>
    <row r="547" spans="1:10" x14ac:dyDescent="0.25">
      <c r="A547" s="68" t="s">
        <v>344</v>
      </c>
      <c r="C547" t="s">
        <v>345</v>
      </c>
      <c r="D547">
        <f>D2/D5</f>
        <v>5.6497175141242932</v>
      </c>
      <c r="E547">
        <f>11*0.01</f>
        <v>0.11</v>
      </c>
      <c r="F547">
        <v>1</v>
      </c>
      <c r="G547">
        <v>22</v>
      </c>
      <c r="H547">
        <v>10</v>
      </c>
      <c r="I547">
        <v>10</v>
      </c>
      <c r="J547">
        <v>10</v>
      </c>
    </row>
    <row r="548" spans="1:10" x14ac:dyDescent="0.25">
      <c r="A548" s="68"/>
      <c r="C548" t="s">
        <v>346</v>
      </c>
      <c r="D548">
        <v>2</v>
      </c>
      <c r="E548">
        <v>2</v>
      </c>
      <c r="F548">
        <v>2</v>
      </c>
      <c r="G548">
        <v>2</v>
      </c>
      <c r="H548">
        <v>2</v>
      </c>
      <c r="I548">
        <v>2</v>
      </c>
      <c r="J548">
        <v>2</v>
      </c>
    </row>
    <row r="549" spans="1:10" x14ac:dyDescent="0.25">
      <c r="A549" s="68"/>
      <c r="C549" t="s">
        <v>347</v>
      </c>
      <c r="D549">
        <v>5</v>
      </c>
      <c r="E549">
        <v>5</v>
      </c>
      <c r="F549">
        <v>5</v>
      </c>
      <c r="G549">
        <v>5</v>
      </c>
      <c r="H549">
        <v>5</v>
      </c>
      <c r="I549">
        <v>5</v>
      </c>
      <c r="J549">
        <v>5</v>
      </c>
    </row>
    <row r="550" spans="1:10" x14ac:dyDescent="0.25">
      <c r="A550" s="68"/>
      <c r="C550" t="s">
        <v>355</v>
      </c>
      <c r="D550">
        <f>0.0254*POWER(D547/(0.048*POWER(D549, 0.44)), 1/0.725)/(D548*1.378)</f>
        <v>2.4923433704232472</v>
      </c>
      <c r="E550">
        <f t="shared" ref="E550:G550" si="74">0.0254*POWER(E547/(0.048*POWER(E549, 0.44)), 1/0.725)/(E548*1.378)</f>
        <v>1.0892125473680554E-2</v>
      </c>
      <c r="F550">
        <f t="shared" si="74"/>
        <v>0.22873341897835012</v>
      </c>
      <c r="G550">
        <f t="shared" si="74"/>
        <v>16.253508114154439</v>
      </c>
      <c r="H550">
        <f t="shared" ref="H550" si="75">0.0254*POWER(H547/(0.048*POWER(H549, 0.44)), 1/0.725)/(H548*1.378)</f>
        <v>5.4782262733389961</v>
      </c>
      <c r="I550">
        <f t="shared" ref="I550:J550" si="76">0.0254*POWER(I547/(0.048*POWER(I549, 0.44)), 1/0.725)/(I548*1.378)</f>
        <v>5.4782262733389961</v>
      </c>
      <c r="J550">
        <f t="shared" si="76"/>
        <v>5.4782262733389961</v>
      </c>
    </row>
    <row r="551" spans="1:10" x14ac:dyDescent="0.25">
      <c r="A551" s="68"/>
      <c r="C551" t="s">
        <v>356</v>
      </c>
      <c r="D551">
        <f>0.0254*POWER(D547/(0.024*POWER(D549, 0.44)), 1/0.725)/(D548*1.378)</f>
        <v>6.4836813405534928</v>
      </c>
      <c r="E551">
        <f t="shared" ref="E551:I551" si="77">0.0254*POWER(E547/(0.024*POWER(E549, 0.44)), 1/0.725)/(E548*1.378)</f>
        <v>2.8335209157266786E-2</v>
      </c>
      <c r="F551">
        <f t="shared" si="77"/>
        <v>0.59503622903255293</v>
      </c>
      <c r="G551">
        <f t="shared" si="77"/>
        <v>42.282523559497292</v>
      </c>
      <c r="H551">
        <f t="shared" si="77"/>
        <v>14.251276083899347</v>
      </c>
      <c r="I551">
        <f t="shared" si="77"/>
        <v>14.251276083899347</v>
      </c>
    </row>
    <row r="552" spans="1:10" x14ac:dyDescent="0.25">
      <c r="A552" s="68"/>
      <c r="C552" t="s">
        <v>354</v>
      </c>
      <c r="D552">
        <v>8</v>
      </c>
      <c r="E552">
        <v>1</v>
      </c>
      <c r="F552">
        <v>1</v>
      </c>
      <c r="G552">
        <v>8</v>
      </c>
      <c r="H552">
        <v>8</v>
      </c>
    </row>
    <row r="553" spans="1:10" x14ac:dyDescent="0.25">
      <c r="A553" s="68"/>
      <c r="C553" t="s">
        <v>359</v>
      </c>
      <c r="D553">
        <f>POWER(D547/POWER(D552*(D548*1.378)/0.0254, 0.725)/0.048, 1/0.44)</f>
        <v>0.7318559619713908</v>
      </c>
      <c r="E553">
        <f t="shared" ref="E553:H553" si="78">POWER(E547/POWER(E552*(E548*1.378)/0.0254, 0.725)/0.048, 1/0.44)</f>
        <v>2.9151906392472556E-3</v>
      </c>
      <c r="F553">
        <f t="shared" si="78"/>
        <v>0.43986554940209394</v>
      </c>
      <c r="G553">
        <f t="shared" si="78"/>
        <v>16.078094835159579</v>
      </c>
      <c r="H553">
        <f t="shared" si="78"/>
        <v>2.6791758539545092</v>
      </c>
    </row>
    <row r="554" spans="1:10" x14ac:dyDescent="0.25">
      <c r="A554" s="68"/>
      <c r="C554" t="s">
        <v>358</v>
      </c>
      <c r="D554">
        <f>POWER(D547/POWER(D552*(D548*1.378)/0.0254, 0.725)/0.024, 1/0.44)</f>
        <v>3.5365898499283999</v>
      </c>
      <c r="E554">
        <f t="shared" ref="E554:H554" si="79">POWER(E547/POWER(E552*(E548*1.378)/0.0254, 0.725)/0.024, 1/0.44)</f>
        <v>1.4087244158805046E-2</v>
      </c>
      <c r="F554">
        <f t="shared" si="79"/>
        <v>2.1255877087593311</v>
      </c>
      <c r="G554">
        <f t="shared" si="79"/>
        <v>77.695106625959824</v>
      </c>
      <c r="H554">
        <f t="shared" si="79"/>
        <v>12.946736275462857</v>
      </c>
    </row>
    <row r="555" spans="1:10" x14ac:dyDescent="0.25">
      <c r="A555" s="68"/>
      <c r="C555" t="s">
        <v>353</v>
      </c>
      <c r="D555">
        <v>100</v>
      </c>
      <c r="E555">
        <v>200</v>
      </c>
      <c r="F555">
        <v>120</v>
      </c>
      <c r="G555">
        <v>100</v>
      </c>
      <c r="H555">
        <v>100</v>
      </c>
    </row>
    <row r="556" spans="1:10" x14ac:dyDescent="0.25">
      <c r="A556" s="68"/>
      <c r="C556" t="s">
        <v>181</v>
      </c>
      <c r="D556">
        <f>(0.0000000168)*(D555/1000)/((D552/1000)*0.0000348*D548)</f>
        <v>3.0172413793103452E-3</v>
      </c>
      <c r="E556">
        <f>(0.0000000168)*(E555/1000)/((E552/1000)*0.0000348*E548)</f>
        <v>4.8275862068965524E-2</v>
      </c>
      <c r="F556">
        <f>(0.0000000168)*(F555/1000)/((F552/1000)*0.0000348*F548)</f>
        <v>2.8965517241379312E-2</v>
      </c>
      <c r="G556">
        <f>(0.0000000168)*(G555/1000)/((G552/1000)*0.0000348*G548)</f>
        <v>3.0172413793103452E-3</v>
      </c>
      <c r="H556">
        <f>(0.0000000168)*(H555/1000)/((H552/1000)*0.0000348*H548)</f>
        <v>3.0172413793103452E-3</v>
      </c>
    </row>
    <row r="557" spans="1:10" x14ac:dyDescent="0.25">
      <c r="A557" s="68"/>
      <c r="C557" t="s">
        <v>357</v>
      </c>
      <c r="D557">
        <f>POWER(D547, 2)*D556</f>
        <v>9.6308256864577377E-2</v>
      </c>
      <c r="E557">
        <f>POWER(E547, 2)*E556</f>
        <v>5.8413793103448278E-4</v>
      </c>
      <c r="F557">
        <f>POWER(F547, 2)*F556</f>
        <v>2.8965517241379312E-2</v>
      </c>
      <c r="G557">
        <f>POWER(G547, 2)*G556</f>
        <v>1.460344827586207</v>
      </c>
      <c r="H557">
        <f>POWER(H547, 2)*H556</f>
        <v>0.30172413793103453</v>
      </c>
    </row>
    <row r="558" spans="1:10" x14ac:dyDescent="0.25">
      <c r="A558" s="68"/>
      <c r="C558" t="s">
        <v>360</v>
      </c>
      <c r="D558">
        <f>D547*D556</f>
        <v>1.7046561465030197E-2</v>
      </c>
      <c r="E558">
        <f t="shared" ref="E558:H558" si="80">E547*E556</f>
        <v>5.3103448275862077E-3</v>
      </c>
      <c r="F558">
        <f t="shared" si="80"/>
        <v>2.8965517241379312E-2</v>
      </c>
      <c r="G558">
        <f t="shared" si="80"/>
        <v>6.6379310344827594E-2</v>
      </c>
      <c r="H558">
        <f t="shared" si="80"/>
        <v>3.0172413793103453E-2</v>
      </c>
    </row>
    <row r="559" spans="1:10" x14ac:dyDescent="0.25">
      <c r="A559" s="68"/>
    </row>
    <row r="560" spans="1:10" x14ac:dyDescent="0.25">
      <c r="A560" s="24"/>
    </row>
    <row r="561" spans="1:4" x14ac:dyDescent="0.25">
      <c r="A561" s="24"/>
    </row>
    <row r="565" spans="1:4" x14ac:dyDescent="0.25">
      <c r="A565" s="66" t="s">
        <v>432</v>
      </c>
      <c r="C565" t="s">
        <v>4</v>
      </c>
      <c r="D565">
        <v>1.2</v>
      </c>
    </row>
    <row r="566" spans="1:4" x14ac:dyDescent="0.25">
      <c r="A566" s="66"/>
      <c r="C566" t="s">
        <v>767</v>
      </c>
      <c r="D566" s="34">
        <v>2</v>
      </c>
    </row>
    <row r="567" spans="1:4" x14ac:dyDescent="0.25">
      <c r="A567" s="66"/>
      <c r="C567" t="s">
        <v>768</v>
      </c>
      <c r="D567" s="34">
        <f>1.2*D8</f>
        <v>4800</v>
      </c>
    </row>
    <row r="568" spans="1:4" x14ac:dyDescent="0.25">
      <c r="A568" s="66"/>
      <c r="C568" t="s">
        <v>770</v>
      </c>
      <c r="D568" s="34">
        <v>25000</v>
      </c>
    </row>
    <row r="569" spans="1:4" x14ac:dyDescent="0.25">
      <c r="A569" s="66"/>
      <c r="C569" t="s">
        <v>769</v>
      </c>
      <c r="D569" s="36">
        <v>1000000000</v>
      </c>
    </row>
    <row r="570" spans="1:4" x14ac:dyDescent="0.25">
      <c r="A570" s="66"/>
      <c r="C570" t="s">
        <v>772</v>
      </c>
      <c r="D570" s="34">
        <v>3.5</v>
      </c>
    </row>
    <row r="571" spans="1:4" x14ac:dyDescent="0.25">
      <c r="A571" s="66"/>
      <c r="C571" t="s">
        <v>774</v>
      </c>
      <c r="D571" s="34">
        <f>D568/D565</f>
        <v>20833.333333333336</v>
      </c>
    </row>
    <row r="572" spans="1:4" x14ac:dyDescent="0.25">
      <c r="A572" s="66"/>
      <c r="C572" t="s">
        <v>773</v>
      </c>
      <c r="D572">
        <f>D570/D565</f>
        <v>2.916666666666667</v>
      </c>
    </row>
    <row r="573" spans="1:4" x14ac:dyDescent="0.25">
      <c r="A573" s="66"/>
      <c r="C573" t="s">
        <v>771</v>
      </c>
      <c r="D573" s="34">
        <f>CEILING(D567/D571, 1)</f>
        <v>1</v>
      </c>
    </row>
    <row r="574" spans="1:4" x14ac:dyDescent="0.25">
      <c r="A574" s="66"/>
      <c r="C574" t="s">
        <v>433</v>
      </c>
      <c r="D574" s="34">
        <v>6</v>
      </c>
    </row>
    <row r="575" spans="1:4" x14ac:dyDescent="0.25">
      <c r="A575" s="66"/>
      <c r="C575" t="s">
        <v>777</v>
      </c>
      <c r="D575" s="43">
        <f>D567/D574</f>
        <v>800</v>
      </c>
    </row>
    <row r="576" spans="1:4" x14ac:dyDescent="0.25">
      <c r="A576" s="66"/>
      <c r="C576" t="s">
        <v>199</v>
      </c>
      <c r="D576" s="33">
        <f>D569*D574</f>
        <v>6000000000</v>
      </c>
    </row>
    <row r="577" spans="1:5" x14ac:dyDescent="0.25">
      <c r="A577" s="66"/>
      <c r="C577" t="s">
        <v>434</v>
      </c>
      <c r="D577" s="18">
        <f>D567/D566</f>
        <v>2400</v>
      </c>
    </row>
    <row r="578" spans="1:5" x14ac:dyDescent="0.25">
      <c r="A578" s="66"/>
      <c r="C578" t="s">
        <v>435</v>
      </c>
      <c r="D578" s="18">
        <f>D576/D577</f>
        <v>2500000</v>
      </c>
    </row>
    <row r="579" spans="1:5" x14ac:dyDescent="0.25">
      <c r="A579" s="66"/>
      <c r="C579" t="s">
        <v>472</v>
      </c>
      <c r="D579" s="36">
        <f>D578</f>
        <v>2500000</v>
      </c>
    </row>
    <row r="580" spans="1:5" x14ac:dyDescent="0.25">
      <c r="A580" s="66"/>
      <c r="C580" t="s">
        <v>436</v>
      </c>
      <c r="D580" s="33">
        <f>D567/D576</f>
        <v>7.9999999999999996E-7</v>
      </c>
      <c r="E580" t="s">
        <v>17</v>
      </c>
    </row>
    <row r="581" spans="1:5" x14ac:dyDescent="0.25">
      <c r="A581" s="66"/>
      <c r="C581" t="s">
        <v>437</v>
      </c>
      <c r="D581" s="33">
        <f>POWER(D580, 2)*D569</f>
        <v>6.3999999999999994E-4</v>
      </c>
    </row>
    <row r="582" spans="1:5" x14ac:dyDescent="0.25">
      <c r="A582" s="66"/>
      <c r="C582" t="s">
        <v>776</v>
      </c>
      <c r="D582" s="33" t="b">
        <f>D575&lt;=D571</f>
        <v>1</v>
      </c>
    </row>
    <row r="583" spans="1:5" x14ac:dyDescent="0.25">
      <c r="A583" s="66"/>
      <c r="C583" t="s">
        <v>775</v>
      </c>
      <c r="D583" s="33" t="b">
        <f>D581&lt;=D572</f>
        <v>1</v>
      </c>
    </row>
    <row r="584" spans="1:5" x14ac:dyDescent="0.25">
      <c r="A584" s="66"/>
      <c r="C584" t="s">
        <v>438</v>
      </c>
      <c r="D584" s="33">
        <f>D581*D574</f>
        <v>3.8399999999999997E-3</v>
      </c>
    </row>
    <row r="585" spans="1:5" x14ac:dyDescent="0.25">
      <c r="A585" s="66"/>
      <c r="C585" t="s">
        <v>439</v>
      </c>
      <c r="D585" s="33">
        <f>POWER(D580, 2)*D579</f>
        <v>1.5999999999999997E-6</v>
      </c>
    </row>
    <row r="587" spans="1:5" x14ac:dyDescent="0.25">
      <c r="A587" s="66" t="s">
        <v>432</v>
      </c>
      <c r="C587" t="s">
        <v>4</v>
      </c>
      <c r="D587">
        <v>1.2</v>
      </c>
    </row>
    <row r="588" spans="1:5" x14ac:dyDescent="0.25">
      <c r="A588" s="66"/>
      <c r="C588" t="s">
        <v>767</v>
      </c>
      <c r="D588" s="34">
        <v>2</v>
      </c>
    </row>
    <row r="589" spans="1:5" x14ac:dyDescent="0.25">
      <c r="A589" s="66"/>
      <c r="C589" t="s">
        <v>768</v>
      </c>
      <c r="D589" s="34">
        <f>1.2*D12</f>
        <v>480</v>
      </c>
    </row>
    <row r="590" spans="1:5" x14ac:dyDescent="0.25">
      <c r="A590" s="66"/>
      <c r="C590" t="s">
        <v>770</v>
      </c>
      <c r="D590" s="34">
        <v>25000</v>
      </c>
    </row>
    <row r="591" spans="1:5" x14ac:dyDescent="0.25">
      <c r="A591" s="66"/>
      <c r="C591" t="s">
        <v>769</v>
      </c>
      <c r="D591" s="36">
        <v>100000000</v>
      </c>
    </row>
    <row r="592" spans="1:5" x14ac:dyDescent="0.25">
      <c r="A592" s="66"/>
      <c r="C592" t="s">
        <v>772</v>
      </c>
      <c r="D592" s="34">
        <v>3.5</v>
      </c>
    </row>
    <row r="593" spans="1:4" x14ac:dyDescent="0.25">
      <c r="A593" s="66"/>
      <c r="C593" t="s">
        <v>774</v>
      </c>
      <c r="D593" s="34">
        <f>D590/D587</f>
        <v>20833.333333333336</v>
      </c>
    </row>
    <row r="594" spans="1:4" x14ac:dyDescent="0.25">
      <c r="A594" s="66"/>
      <c r="C594" t="s">
        <v>773</v>
      </c>
      <c r="D594">
        <f>D592/D587</f>
        <v>2.916666666666667</v>
      </c>
    </row>
    <row r="595" spans="1:4" x14ac:dyDescent="0.25">
      <c r="A595" s="66"/>
      <c r="C595" t="s">
        <v>771</v>
      </c>
      <c r="D595" s="34">
        <f>CEILING(D589/D593, 1)</f>
        <v>1</v>
      </c>
    </row>
    <row r="596" spans="1:4" x14ac:dyDescent="0.25">
      <c r="A596" s="66"/>
      <c r="C596" t="s">
        <v>433</v>
      </c>
      <c r="D596" s="34">
        <v>2</v>
      </c>
    </row>
    <row r="597" spans="1:4" x14ac:dyDescent="0.25">
      <c r="A597" s="66"/>
      <c r="C597" t="s">
        <v>777</v>
      </c>
      <c r="D597" s="43">
        <f>D589/D596</f>
        <v>240</v>
      </c>
    </row>
    <row r="598" spans="1:4" x14ac:dyDescent="0.25">
      <c r="A598" s="66"/>
      <c r="C598" t="s">
        <v>199</v>
      </c>
      <c r="D598" s="33">
        <f>D591*D596</f>
        <v>200000000</v>
      </c>
    </row>
    <row r="599" spans="1:4" x14ac:dyDescent="0.25">
      <c r="A599" s="66"/>
      <c r="C599" t="s">
        <v>434</v>
      </c>
      <c r="D599" s="18">
        <f>D589/D588</f>
        <v>240</v>
      </c>
    </row>
    <row r="600" spans="1:4" x14ac:dyDescent="0.25">
      <c r="A600" s="66"/>
      <c r="C600" t="s">
        <v>435</v>
      </c>
      <c r="D600" s="18">
        <f>D598/D599</f>
        <v>833333.33333333337</v>
      </c>
    </row>
    <row r="601" spans="1:4" x14ac:dyDescent="0.25">
      <c r="A601" s="66"/>
      <c r="C601" t="s">
        <v>472</v>
      </c>
      <c r="D601" s="36">
        <f>D600</f>
        <v>833333.33333333337</v>
      </c>
    </row>
    <row r="602" spans="1:4" x14ac:dyDescent="0.25">
      <c r="A602" s="66"/>
      <c r="C602" t="s">
        <v>845</v>
      </c>
      <c r="D602" s="36">
        <f>(D596*D591)/D601</f>
        <v>240</v>
      </c>
    </row>
    <row r="603" spans="1:4" x14ac:dyDescent="0.25">
      <c r="A603" s="66"/>
      <c r="C603" t="s">
        <v>436</v>
      </c>
      <c r="D603" s="33">
        <f>D589/D598</f>
        <v>2.3999999999999999E-6</v>
      </c>
    </row>
    <row r="604" spans="1:4" x14ac:dyDescent="0.25">
      <c r="A604" s="66"/>
      <c r="C604" t="s">
        <v>437</v>
      </c>
      <c r="D604" s="33">
        <f>POWER(D603,2)*D591</f>
        <v>5.7600000000000001E-4</v>
      </c>
    </row>
    <row r="605" spans="1:4" x14ac:dyDescent="0.25">
      <c r="A605" s="66"/>
      <c r="C605" t="s">
        <v>776</v>
      </c>
      <c r="D605" s="33" t="b">
        <f>D597&lt;=D593</f>
        <v>1</v>
      </c>
    </row>
    <row r="606" spans="1:4" x14ac:dyDescent="0.25">
      <c r="A606" s="66"/>
      <c r="C606" t="s">
        <v>775</v>
      </c>
      <c r="D606" s="33" t="b">
        <f>D604&lt;=D594</f>
        <v>1</v>
      </c>
    </row>
    <row r="607" spans="1:4" x14ac:dyDescent="0.25">
      <c r="A607" s="66"/>
      <c r="C607" t="s">
        <v>438</v>
      </c>
      <c r="D607" s="33">
        <f>D604*D596</f>
        <v>1.152E-3</v>
      </c>
    </row>
    <row r="608" spans="1:4" x14ac:dyDescent="0.25">
      <c r="A608" s="66"/>
      <c r="C608" t="s">
        <v>439</v>
      </c>
      <c r="D608" s="33">
        <f>POWER(D603, 2)*D601</f>
        <v>4.7999999999999998E-6</v>
      </c>
    </row>
    <row r="609" spans="1:5" x14ac:dyDescent="0.25">
      <c r="A609" s="42"/>
      <c r="D609" s="33"/>
    </row>
    <row r="610" spans="1:5" x14ac:dyDescent="0.25">
      <c r="C610" t="s">
        <v>441</v>
      </c>
      <c r="D610">
        <v>3</v>
      </c>
    </row>
    <row r="611" spans="1:5" x14ac:dyDescent="0.25">
      <c r="A611" s="68" t="s">
        <v>440</v>
      </c>
      <c r="C611" t="s">
        <v>442</v>
      </c>
      <c r="D611">
        <v>550</v>
      </c>
      <c r="E611" t="s">
        <v>444</v>
      </c>
    </row>
    <row r="612" spans="1:5" x14ac:dyDescent="0.25">
      <c r="A612" s="68"/>
      <c r="C612" t="s">
        <v>443</v>
      </c>
      <c r="D612">
        <f>25.4*41.9*0.000001</f>
        <v>1.06426E-3</v>
      </c>
    </row>
    <row r="613" spans="1:5" x14ac:dyDescent="0.25">
      <c r="A613" s="68"/>
      <c r="C613" t="s">
        <v>445</v>
      </c>
      <c r="D613">
        <f>D612*D611*0.3048</f>
        <v>0.17841254640000004</v>
      </c>
      <c r="E613" t="s">
        <v>362</v>
      </c>
    </row>
    <row r="614" spans="1:5" x14ac:dyDescent="0.25">
      <c r="A614" s="68"/>
      <c r="C614" t="s">
        <v>446</v>
      </c>
      <c r="D614">
        <f>D613*50</f>
        <v>8.9206273200000012</v>
      </c>
    </row>
    <row r="615" spans="1:5" x14ac:dyDescent="0.25">
      <c r="A615" s="68"/>
    </row>
    <row r="616" spans="1:5" x14ac:dyDescent="0.25">
      <c r="A616" s="68"/>
    </row>
    <row r="617" spans="1:5" x14ac:dyDescent="0.25">
      <c r="A617" s="68"/>
    </row>
    <row r="618" spans="1:5" x14ac:dyDescent="0.25">
      <c r="A618" s="68"/>
    </row>
    <row r="619" spans="1:5" x14ac:dyDescent="0.25">
      <c r="A619" s="68"/>
    </row>
    <row r="620" spans="1:5" x14ac:dyDescent="0.25">
      <c r="A620" s="68"/>
    </row>
    <row r="621" spans="1:5" x14ac:dyDescent="0.25">
      <c r="A621" s="68"/>
    </row>
    <row r="622" spans="1:5" x14ac:dyDescent="0.25">
      <c r="A622" s="68"/>
    </row>
    <row r="623" spans="1:5" x14ac:dyDescent="0.25">
      <c r="A623" s="68"/>
    </row>
    <row r="624" spans="1:5" x14ac:dyDescent="0.25">
      <c r="C624" t="s">
        <v>474</v>
      </c>
      <c r="E624" s="1">
        <f>D71</f>
        <v>0.64</v>
      </c>
    </row>
    <row r="625" spans="1:5" x14ac:dyDescent="0.25">
      <c r="A625" s="68" t="s">
        <v>473</v>
      </c>
      <c r="C625" t="s">
        <v>475</v>
      </c>
      <c r="E625">
        <f>D27</f>
        <v>1.2</v>
      </c>
    </row>
    <row r="626" spans="1:5" x14ac:dyDescent="0.25">
      <c r="A626" s="68"/>
      <c r="C626" t="s">
        <v>476</v>
      </c>
      <c r="E626" s="1">
        <f>D205+D206</f>
        <v>4.6346790413670496</v>
      </c>
    </row>
    <row r="627" spans="1:5" x14ac:dyDescent="0.25">
      <c r="A627" s="68"/>
      <c r="C627" t="s">
        <v>477</v>
      </c>
      <c r="E627" s="1">
        <f>E624+E625+E626</f>
        <v>6.4746790413670494</v>
      </c>
    </row>
    <row r="628" spans="1:5" x14ac:dyDescent="0.25">
      <c r="A628" s="68"/>
    </row>
    <row r="629" spans="1:5" x14ac:dyDescent="0.25">
      <c r="A629" s="68"/>
    </row>
    <row r="630" spans="1:5" x14ac:dyDescent="0.25">
      <c r="A630" s="68"/>
      <c r="C630" t="s">
        <v>4</v>
      </c>
      <c r="E630">
        <v>2</v>
      </c>
    </row>
    <row r="631" spans="1:5" x14ac:dyDescent="0.25">
      <c r="A631" s="68"/>
      <c r="C631" t="s">
        <v>363</v>
      </c>
      <c r="D631" t="s">
        <v>193</v>
      </c>
      <c r="E631">
        <v>0.17399999999999999</v>
      </c>
    </row>
    <row r="632" spans="1:5" x14ac:dyDescent="0.25">
      <c r="A632" s="68"/>
      <c r="C632" t="s">
        <v>364</v>
      </c>
      <c r="D632" t="s">
        <v>193</v>
      </c>
      <c r="E632">
        <v>0.5</v>
      </c>
    </row>
    <row r="633" spans="1:5" x14ac:dyDescent="0.25">
      <c r="A633" s="68"/>
      <c r="C633" t="s">
        <v>361</v>
      </c>
      <c r="D633" t="s">
        <v>372</v>
      </c>
      <c r="E633">
        <f>POWER(E631/2, 2)*PI()*E632</f>
        <v>1.1889357397510571E-2</v>
      </c>
    </row>
    <row r="634" spans="1:5" x14ac:dyDescent="0.25">
      <c r="A634" s="68"/>
      <c r="C634" t="s">
        <v>365</v>
      </c>
      <c r="E634" s="1">
        <f>E627</f>
        <v>6.4746790413670494</v>
      </c>
    </row>
    <row r="635" spans="1:5" x14ac:dyDescent="0.25">
      <c r="A635" s="68"/>
      <c r="C635" t="s">
        <v>370</v>
      </c>
      <c r="D635" t="s">
        <v>366</v>
      </c>
      <c r="E635">
        <v>2300</v>
      </c>
    </row>
    <row r="636" spans="1:5" x14ac:dyDescent="0.25">
      <c r="A636" s="68"/>
      <c r="C636" t="s">
        <v>367</v>
      </c>
      <c r="D636" t="s">
        <v>368</v>
      </c>
      <c r="E636">
        <v>20</v>
      </c>
    </row>
    <row r="637" spans="1:5" x14ac:dyDescent="0.25">
      <c r="A637" s="68"/>
      <c r="C637" t="s">
        <v>369</v>
      </c>
      <c r="D637" t="s">
        <v>371</v>
      </c>
      <c r="E637">
        <v>800</v>
      </c>
    </row>
    <row r="638" spans="1:5" x14ac:dyDescent="0.25">
      <c r="A638" s="68"/>
      <c r="C638" t="s">
        <v>373</v>
      </c>
      <c r="D638" t="s">
        <v>374</v>
      </c>
      <c r="E638">
        <f>E637*E633</f>
        <v>9.5114859180084572</v>
      </c>
    </row>
    <row r="639" spans="1:5" x14ac:dyDescent="0.25">
      <c r="A639" s="68"/>
      <c r="C639" t="s">
        <v>375</v>
      </c>
      <c r="D639" t="s">
        <v>376</v>
      </c>
      <c r="E639">
        <f>E635*E638*E636</f>
        <v>437528.35222838906</v>
      </c>
    </row>
    <row r="640" spans="1:5" x14ac:dyDescent="0.25">
      <c r="A640" s="68"/>
      <c r="C640" t="s">
        <v>377</v>
      </c>
      <c r="D640" t="s">
        <v>233</v>
      </c>
      <c r="E640">
        <f>E639/E634</f>
        <v>67575.295923241676</v>
      </c>
    </row>
    <row r="641" spans="1:5" x14ac:dyDescent="0.25">
      <c r="A641" s="68"/>
      <c r="C641" t="s">
        <v>378</v>
      </c>
      <c r="D641" t="s">
        <v>233</v>
      </c>
      <c r="E641">
        <f>E640/E630</f>
        <v>33787.647961620838</v>
      </c>
    </row>
    <row r="642" spans="1:5" x14ac:dyDescent="0.25">
      <c r="A642" s="68"/>
      <c r="C642" t="s">
        <v>379</v>
      </c>
      <c r="D642" t="s">
        <v>380</v>
      </c>
      <c r="E642">
        <f>E633/E641</f>
        <v>3.5188473050907872E-7</v>
      </c>
    </row>
    <row r="643" spans="1:5" x14ac:dyDescent="0.25">
      <c r="A643" s="68"/>
      <c r="C643" t="s">
        <v>379</v>
      </c>
      <c r="D643" t="s">
        <v>381</v>
      </c>
      <c r="E643">
        <f>(1000000)*E642</f>
        <v>0.3518847305090787</v>
      </c>
    </row>
    <row r="644" spans="1:5" x14ac:dyDescent="0.25">
      <c r="A644" s="68"/>
      <c r="C644" t="s">
        <v>382</v>
      </c>
      <c r="D644" t="s">
        <v>383</v>
      </c>
      <c r="E644">
        <v>0.1</v>
      </c>
    </row>
    <row r="645" spans="1:5" x14ac:dyDescent="0.25">
      <c r="A645" s="68"/>
      <c r="C645" t="s">
        <v>384</v>
      </c>
      <c r="D645" t="s">
        <v>194</v>
      </c>
      <c r="E645">
        <f>E642/E644</f>
        <v>3.5188473050907872E-6</v>
      </c>
    </row>
    <row r="646" spans="1:5" x14ac:dyDescent="0.25">
      <c r="A646" s="68"/>
      <c r="C646" t="s">
        <v>385</v>
      </c>
      <c r="D646" t="s">
        <v>193</v>
      </c>
      <c r="E646">
        <f>2*POWER(E645/PI(), 0.5)</f>
        <v>2.1166803114136884E-3</v>
      </c>
    </row>
    <row r="647" spans="1:5" x14ac:dyDescent="0.25">
      <c r="A647" s="68"/>
      <c r="C647" t="s">
        <v>387</v>
      </c>
      <c r="D647" t="s">
        <v>193</v>
      </c>
      <c r="E647">
        <f>CEILING(E646, 0.001)</f>
        <v>3.0000000000000001E-3</v>
      </c>
    </row>
    <row r="648" spans="1:5" x14ac:dyDescent="0.25">
      <c r="A648" s="68"/>
      <c r="C648" t="s">
        <v>386</v>
      </c>
      <c r="D648" t="s">
        <v>121</v>
      </c>
      <c r="E648">
        <f>E647*1000</f>
        <v>3</v>
      </c>
    </row>
    <row r="649" spans="1:5" x14ac:dyDescent="0.25">
      <c r="A649" s="68"/>
      <c r="C649" t="s">
        <v>392</v>
      </c>
      <c r="D649" t="s">
        <v>121</v>
      </c>
      <c r="E649">
        <v>9</v>
      </c>
    </row>
    <row r="650" spans="1:5" x14ac:dyDescent="0.25">
      <c r="A650" s="68"/>
      <c r="C650" t="s">
        <v>393</v>
      </c>
      <c r="E650">
        <f>E649/1000</f>
        <v>8.9999999999999993E-3</v>
      </c>
    </row>
    <row r="651" spans="1:5" x14ac:dyDescent="0.25">
      <c r="C651" t="s">
        <v>390</v>
      </c>
      <c r="E651">
        <f>0.00604</f>
        <v>6.0400000000000002E-3</v>
      </c>
    </row>
    <row r="652" spans="1:5" x14ac:dyDescent="0.25">
      <c r="C652" t="s">
        <v>389</v>
      </c>
      <c r="E652">
        <f>E651/E637</f>
        <v>7.5500000000000006E-6</v>
      </c>
    </row>
    <row r="653" spans="1:5" x14ac:dyDescent="0.25">
      <c r="C653" t="s">
        <v>388</v>
      </c>
      <c r="E653">
        <v>2300</v>
      </c>
    </row>
    <row r="654" spans="1:5" x14ac:dyDescent="0.25">
      <c r="C654" t="s">
        <v>391</v>
      </c>
      <c r="E654">
        <f>E637*E644*E650/E651</f>
        <v>119.20529801324503</v>
      </c>
    </row>
    <row r="655" spans="1:5" x14ac:dyDescent="0.25">
      <c r="C655" t="s">
        <v>394</v>
      </c>
      <c r="E655" t="b">
        <f>E654&lt;E653</f>
        <v>1</v>
      </c>
    </row>
    <row r="658" spans="1:15" x14ac:dyDescent="0.25">
      <c r="B658" t="s">
        <v>34</v>
      </c>
      <c r="C658" t="s">
        <v>39</v>
      </c>
      <c r="D658" t="s">
        <v>18</v>
      </c>
      <c r="E658">
        <f>D5</f>
        <v>35.400000000000006</v>
      </c>
    </row>
    <row r="659" spans="1:15" x14ac:dyDescent="0.25">
      <c r="A659" s="68" t="s">
        <v>481</v>
      </c>
      <c r="B659" t="s">
        <v>300</v>
      </c>
      <c r="C659" t="s">
        <v>301</v>
      </c>
      <c r="D659" t="s">
        <v>18</v>
      </c>
      <c r="E659">
        <f>D6</f>
        <v>38.099999999999994</v>
      </c>
    </row>
    <row r="660" spans="1:15" x14ac:dyDescent="0.25">
      <c r="A660" s="68"/>
      <c r="B660" t="s">
        <v>35</v>
      </c>
      <c r="C660" t="s">
        <v>38</v>
      </c>
      <c r="D660" t="s">
        <v>18</v>
      </c>
      <c r="E660">
        <f>D7</f>
        <v>44.1</v>
      </c>
    </row>
    <row r="661" spans="1:15" x14ac:dyDescent="0.25">
      <c r="A661" s="68"/>
      <c r="C661" t="s">
        <v>482</v>
      </c>
      <c r="D661" t="s">
        <v>17</v>
      </c>
      <c r="E661">
        <v>3</v>
      </c>
    </row>
    <row r="662" spans="1:15" x14ac:dyDescent="0.25">
      <c r="A662" s="68"/>
      <c r="C662" t="s">
        <v>483</v>
      </c>
      <c r="E662">
        <f>(E660/E661)</f>
        <v>14.700000000000001</v>
      </c>
    </row>
    <row r="663" spans="1:15" x14ac:dyDescent="0.25">
      <c r="A663" s="68"/>
      <c r="C663" t="s">
        <v>484</v>
      </c>
      <c r="E663">
        <f>E658/E661</f>
        <v>11.800000000000002</v>
      </c>
    </row>
    <row r="664" spans="1:15" ht="18.75" customHeight="1" x14ac:dyDescent="0.25">
      <c r="A664" s="68"/>
      <c r="C664" t="s">
        <v>485</v>
      </c>
      <c r="E664">
        <f>E659/E661</f>
        <v>12.699999999999998</v>
      </c>
    </row>
    <row r="665" spans="1:15" hidden="1" x14ac:dyDescent="0.25">
      <c r="A665" s="68"/>
      <c r="C665" t="s">
        <v>486</v>
      </c>
      <c r="E665">
        <f>12</f>
        <v>12</v>
      </c>
    </row>
    <row r="666" spans="1:15" ht="115.5" customHeight="1" x14ac:dyDescent="0.25">
      <c r="A666" s="68"/>
      <c r="C666" t="s">
        <v>487</v>
      </c>
      <c r="E666">
        <f>E660*E660/E665</f>
        <v>162.06750000000002</v>
      </c>
      <c r="G666" s="12" t="s">
        <v>181</v>
      </c>
      <c r="H666" s="27" t="s">
        <v>493</v>
      </c>
      <c r="I666" s="27" t="s">
        <v>496</v>
      </c>
      <c r="J666" s="27" t="s">
        <v>495</v>
      </c>
      <c r="K666" s="27" t="s">
        <v>494</v>
      </c>
      <c r="L666" s="27" t="s">
        <v>497</v>
      </c>
      <c r="M666" s="27" t="s">
        <v>498</v>
      </c>
      <c r="N666" s="27" t="s">
        <v>500</v>
      </c>
      <c r="O666" s="26"/>
    </row>
    <row r="667" spans="1:15" x14ac:dyDescent="0.25">
      <c r="A667" s="68"/>
      <c r="C667" t="s">
        <v>488</v>
      </c>
      <c r="E667">
        <f>6</f>
        <v>6</v>
      </c>
      <c r="G667" s="12">
        <v>1</v>
      </c>
      <c r="H667" s="12">
        <f>E660/G667</f>
        <v>44.1</v>
      </c>
      <c r="I667" s="12">
        <f>H667*H667*G667</f>
        <v>1944.8100000000002</v>
      </c>
      <c r="J667" s="12">
        <f>I667/2</f>
        <v>972.40500000000009</v>
      </c>
      <c r="K667" s="12">
        <f>E658/G667</f>
        <v>35.400000000000006</v>
      </c>
      <c r="L667" s="12">
        <f>E658*E658/G667</f>
        <v>1253.1600000000003</v>
      </c>
      <c r="M667" s="12">
        <f>L667/2</f>
        <v>626.58000000000015</v>
      </c>
      <c r="N667" s="26"/>
    </row>
    <row r="668" spans="1:15" x14ac:dyDescent="0.25">
      <c r="A668" s="68"/>
      <c r="C668" t="s">
        <v>489</v>
      </c>
      <c r="E668">
        <v>2</v>
      </c>
      <c r="G668" s="12">
        <v>2</v>
      </c>
      <c r="H668" s="12">
        <f>E660/G668</f>
        <v>22.05</v>
      </c>
      <c r="I668" s="12">
        <f t="shared" ref="I668:I681" si="81">H668*H668*G668</f>
        <v>972.40500000000009</v>
      </c>
      <c r="J668" s="12">
        <f>I668/2</f>
        <v>486.20250000000004</v>
      </c>
      <c r="K668" s="12">
        <f>E658/G668</f>
        <v>17.700000000000003</v>
      </c>
      <c r="L668" s="12">
        <f>E658*E658/G668</f>
        <v>626.58000000000015</v>
      </c>
      <c r="M668" s="12">
        <f>L668/2</f>
        <v>313.29000000000008</v>
      </c>
      <c r="N668" s="26"/>
    </row>
    <row r="669" spans="1:15" x14ac:dyDescent="0.25">
      <c r="A669" s="68"/>
      <c r="C669" t="s">
        <v>490</v>
      </c>
      <c r="E669">
        <f xml:space="preserve"> E667*E668</f>
        <v>12</v>
      </c>
      <c r="G669" s="12">
        <v>3</v>
      </c>
      <c r="H669" s="12">
        <f>E660/G669</f>
        <v>14.700000000000001</v>
      </c>
      <c r="I669" s="12">
        <f t="shared" si="81"/>
        <v>648.2700000000001</v>
      </c>
      <c r="J669" s="12">
        <f>I669/2</f>
        <v>324.13500000000005</v>
      </c>
      <c r="K669" s="12">
        <f>E658/G669</f>
        <v>11.800000000000002</v>
      </c>
      <c r="L669" s="12">
        <f>E658*E658/G669</f>
        <v>417.72000000000008</v>
      </c>
      <c r="M669" s="12">
        <f>L669/2</f>
        <v>208.86000000000004</v>
      </c>
    </row>
    <row r="670" spans="1:15" x14ac:dyDescent="0.25">
      <c r="A670" s="68"/>
      <c r="G670" s="12">
        <v>4</v>
      </c>
      <c r="H670" s="12">
        <f>E660/G670</f>
        <v>11.025</v>
      </c>
      <c r="I670" s="12">
        <f t="shared" si="81"/>
        <v>486.20250000000004</v>
      </c>
      <c r="J670" s="12">
        <f t="shared" ref="J670:J681" si="82">I670/2</f>
        <v>243.10125000000002</v>
      </c>
      <c r="K670" s="12">
        <f>E658/G670</f>
        <v>8.8500000000000014</v>
      </c>
      <c r="L670" s="12">
        <f>E658*E658/G670</f>
        <v>313.29000000000008</v>
      </c>
      <c r="M670" s="12">
        <f t="shared" ref="M670:M681" si="83">L670/2</f>
        <v>156.64500000000004</v>
      </c>
    </row>
    <row r="671" spans="1:15" x14ac:dyDescent="0.25">
      <c r="A671" s="68"/>
      <c r="C671" t="s">
        <v>491</v>
      </c>
      <c r="E671">
        <f>(POWER(E660,2))/(200*2)</f>
        <v>4.862025</v>
      </c>
      <c r="G671" s="12">
        <v>5</v>
      </c>
      <c r="H671" s="12">
        <f>E660/G671</f>
        <v>8.82</v>
      </c>
      <c r="I671" s="12">
        <f t="shared" si="81"/>
        <v>388.96199999999999</v>
      </c>
      <c r="J671" s="12">
        <f t="shared" si="82"/>
        <v>194.48099999999999</v>
      </c>
      <c r="K671" s="12">
        <f>E658/G671</f>
        <v>7.080000000000001</v>
      </c>
      <c r="L671" s="12">
        <f>E658*E658/G671</f>
        <v>250.63200000000006</v>
      </c>
      <c r="M671" s="12">
        <f t="shared" si="83"/>
        <v>125.31600000000003</v>
      </c>
      <c r="N671" t="s">
        <v>499</v>
      </c>
    </row>
    <row r="672" spans="1:15" x14ac:dyDescent="0.25">
      <c r="A672" s="68"/>
      <c r="C672" t="s">
        <v>492</v>
      </c>
      <c r="E672">
        <f>E660/E671</f>
        <v>9.0702947845804989</v>
      </c>
      <c r="G672" s="12">
        <v>6</v>
      </c>
      <c r="H672" s="12">
        <f>E660/G672</f>
        <v>7.3500000000000005</v>
      </c>
      <c r="I672" s="12">
        <f t="shared" si="81"/>
        <v>324.13500000000005</v>
      </c>
      <c r="J672" s="12">
        <f t="shared" si="82"/>
        <v>162.06750000000002</v>
      </c>
      <c r="K672" s="12">
        <f>E658/G672</f>
        <v>5.9000000000000012</v>
      </c>
      <c r="L672" s="12">
        <f>E658*E658/G672</f>
        <v>208.86000000000004</v>
      </c>
      <c r="M672" s="12">
        <f t="shared" si="83"/>
        <v>104.43000000000002</v>
      </c>
      <c r="N672" t="s">
        <v>501</v>
      </c>
    </row>
    <row r="673" spans="1:14" x14ac:dyDescent="0.25">
      <c r="A673" s="68"/>
      <c r="G673" s="12">
        <v>7</v>
      </c>
      <c r="H673" s="12">
        <f>E660/G673</f>
        <v>6.3</v>
      </c>
      <c r="I673" s="12">
        <f t="shared" si="81"/>
        <v>277.83</v>
      </c>
      <c r="J673" s="12">
        <f t="shared" si="82"/>
        <v>138.91499999999999</v>
      </c>
      <c r="K673" s="12">
        <f>E658/G673</f>
        <v>5.0571428571428578</v>
      </c>
      <c r="L673" s="12">
        <f>E658*E658/G673</f>
        <v>179.02285714285719</v>
      </c>
      <c r="M673" s="12">
        <f t="shared" si="83"/>
        <v>89.511428571428596</v>
      </c>
      <c r="N673" t="s">
        <v>502</v>
      </c>
    </row>
    <row r="674" spans="1:14" x14ac:dyDescent="0.25">
      <c r="G674" s="12">
        <v>8</v>
      </c>
      <c r="H674" s="12">
        <f>E660/G674</f>
        <v>5.5125000000000002</v>
      </c>
      <c r="I674" s="12">
        <f t="shared" si="81"/>
        <v>243.10125000000002</v>
      </c>
      <c r="J674" s="12">
        <f t="shared" si="82"/>
        <v>121.55062500000001</v>
      </c>
      <c r="K674" s="12">
        <f>E658/G674</f>
        <v>4.4250000000000007</v>
      </c>
      <c r="L674" s="12">
        <f>E658*E658/G674</f>
        <v>156.64500000000004</v>
      </c>
      <c r="M674" s="12">
        <f t="shared" si="83"/>
        <v>78.322500000000019</v>
      </c>
      <c r="N674" t="s">
        <v>503</v>
      </c>
    </row>
    <row r="675" spans="1:14" x14ac:dyDescent="0.25">
      <c r="G675" s="12">
        <v>9</v>
      </c>
      <c r="H675" s="12">
        <f>E660/G675</f>
        <v>4.9000000000000004</v>
      </c>
      <c r="I675" s="12">
        <f t="shared" si="81"/>
        <v>216.09000000000003</v>
      </c>
      <c r="J675" s="12">
        <f t="shared" si="82"/>
        <v>108.04500000000002</v>
      </c>
      <c r="K675" s="12">
        <f>E658/G675</f>
        <v>3.933333333333334</v>
      </c>
      <c r="L675" s="12">
        <f>E658*E658/G675</f>
        <v>139.24000000000004</v>
      </c>
      <c r="M675" s="12">
        <f t="shared" si="83"/>
        <v>69.620000000000019</v>
      </c>
      <c r="N675" t="s">
        <v>504</v>
      </c>
    </row>
    <row r="676" spans="1:14" x14ac:dyDescent="0.25">
      <c r="G676" s="12">
        <v>10</v>
      </c>
      <c r="H676" s="12">
        <f>E660/G676</f>
        <v>4.41</v>
      </c>
      <c r="I676" s="12">
        <f t="shared" si="81"/>
        <v>194.48099999999999</v>
      </c>
      <c r="J676" s="12">
        <f t="shared" si="82"/>
        <v>97.240499999999997</v>
      </c>
      <c r="K676" s="12">
        <f>E658/G676</f>
        <v>3.5400000000000005</v>
      </c>
      <c r="L676" s="12">
        <f>E658*E658/G676</f>
        <v>125.31600000000003</v>
      </c>
      <c r="M676" s="12">
        <f t="shared" si="83"/>
        <v>62.658000000000015</v>
      </c>
      <c r="N676" t="s">
        <v>505</v>
      </c>
    </row>
    <row r="677" spans="1:14" x14ac:dyDescent="0.25">
      <c r="A677" s="68" t="s">
        <v>586</v>
      </c>
      <c r="B677" t="s">
        <v>572</v>
      </c>
      <c r="C677" t="s">
        <v>571</v>
      </c>
      <c r="E677">
        <v>5</v>
      </c>
      <c r="F677" s="7" t="s">
        <v>18</v>
      </c>
      <c r="G677" s="12">
        <v>11</v>
      </c>
      <c r="H677" s="12">
        <f>E660/G677</f>
        <v>4.0090909090909088</v>
      </c>
      <c r="I677" s="12">
        <f t="shared" si="81"/>
        <v>176.80090909090904</v>
      </c>
      <c r="J677" s="12">
        <f t="shared" si="82"/>
        <v>88.400454545454522</v>
      </c>
      <c r="K677" s="12">
        <f>E658/G677</f>
        <v>3.2181818181818187</v>
      </c>
      <c r="L677" s="12">
        <f>E658*E658/G677</f>
        <v>113.92363636363639</v>
      </c>
      <c r="M677" s="12">
        <f t="shared" si="83"/>
        <v>56.961818181818195</v>
      </c>
      <c r="N677" t="s">
        <v>506</v>
      </c>
    </row>
    <row r="678" spans="1:14" x14ac:dyDescent="0.25">
      <c r="A678" s="68"/>
      <c r="B678" t="s">
        <v>574</v>
      </c>
      <c r="C678" t="s">
        <v>575</v>
      </c>
      <c r="E678">
        <f>2000</f>
        <v>2000</v>
      </c>
      <c r="F678" s="7" t="s">
        <v>21</v>
      </c>
      <c r="G678" s="12">
        <v>12</v>
      </c>
      <c r="H678" s="12">
        <f>E660/G678</f>
        <v>3.6750000000000003</v>
      </c>
      <c r="I678" s="12">
        <f t="shared" si="81"/>
        <v>162.06750000000002</v>
      </c>
      <c r="J678" s="12">
        <f t="shared" si="82"/>
        <v>81.033750000000012</v>
      </c>
      <c r="K678" s="12">
        <f>E658/G678</f>
        <v>2.9500000000000006</v>
      </c>
      <c r="L678" s="12">
        <f>E658*E658/G678</f>
        <v>104.43000000000002</v>
      </c>
      <c r="M678" s="12">
        <f t="shared" si="83"/>
        <v>52.215000000000011</v>
      </c>
      <c r="N678" t="s">
        <v>508</v>
      </c>
    </row>
    <row r="679" spans="1:14" x14ac:dyDescent="0.25">
      <c r="A679" s="68"/>
      <c r="B679" t="s">
        <v>573</v>
      </c>
      <c r="C679" t="s">
        <v>576</v>
      </c>
      <c r="E679">
        <f>((E677/1.23)-1)*E678</f>
        <v>6130.081300813009</v>
      </c>
      <c r="F679" s="7" t="s">
        <v>21</v>
      </c>
      <c r="G679" s="12">
        <v>13</v>
      </c>
      <c r="H679" s="12">
        <f>E660/G679</f>
        <v>3.3923076923076922</v>
      </c>
      <c r="I679" s="12">
        <f t="shared" si="81"/>
        <v>149.60076923076923</v>
      </c>
      <c r="J679" s="12">
        <f t="shared" si="82"/>
        <v>74.800384615384615</v>
      </c>
      <c r="K679" s="12">
        <f>E658/G679</f>
        <v>2.7230769230769236</v>
      </c>
      <c r="L679" s="12">
        <f>E658*E658/G679</f>
        <v>96.396923076923102</v>
      </c>
      <c r="M679" s="12">
        <f t="shared" si="83"/>
        <v>48.198461538461551</v>
      </c>
      <c r="N679" t="s">
        <v>507</v>
      </c>
    </row>
    <row r="680" spans="1:14" x14ac:dyDescent="0.25">
      <c r="A680" s="30"/>
      <c r="B680" t="s">
        <v>585</v>
      </c>
      <c r="C680" t="s">
        <v>591</v>
      </c>
      <c r="E680">
        <f>1/(31000*E679)</f>
        <v>5.26225720886455E-9</v>
      </c>
      <c r="F680" s="7" t="s">
        <v>20</v>
      </c>
      <c r="G680" s="12"/>
      <c r="H680" s="12"/>
      <c r="I680" s="12"/>
      <c r="J680" s="12"/>
      <c r="K680" s="12"/>
      <c r="L680" s="12"/>
      <c r="M680" s="12"/>
    </row>
    <row r="681" spans="1:14" x14ac:dyDescent="0.25">
      <c r="G681" s="12">
        <v>14</v>
      </c>
      <c r="H681" s="12">
        <f>E660/G681</f>
        <v>3.15</v>
      </c>
      <c r="I681" s="12">
        <f t="shared" si="81"/>
        <v>138.91499999999999</v>
      </c>
      <c r="J681" s="12">
        <f t="shared" si="82"/>
        <v>69.457499999999996</v>
      </c>
      <c r="K681" s="12">
        <f>E658/G681</f>
        <v>2.5285714285714289</v>
      </c>
      <c r="L681" s="12">
        <f>E658*E658/G681</f>
        <v>89.511428571428596</v>
      </c>
      <c r="M681" s="12">
        <f t="shared" si="83"/>
        <v>44.755714285714298</v>
      </c>
      <c r="N681" t="s">
        <v>509</v>
      </c>
    </row>
    <row r="682" spans="1:14" x14ac:dyDescent="0.25">
      <c r="A682" s="68" t="s">
        <v>587</v>
      </c>
      <c r="B682" t="s">
        <v>572</v>
      </c>
      <c r="C682" t="s">
        <v>571</v>
      </c>
      <c r="E682">
        <v>3.3</v>
      </c>
      <c r="F682" s="7" t="s">
        <v>18</v>
      </c>
    </row>
    <row r="683" spans="1:14" x14ac:dyDescent="0.25">
      <c r="A683" s="68"/>
      <c r="B683" t="s">
        <v>574</v>
      </c>
      <c r="C683" t="s">
        <v>575</v>
      </c>
      <c r="E683">
        <f>2000</f>
        <v>2000</v>
      </c>
      <c r="F683" s="7" t="s">
        <v>21</v>
      </c>
    </row>
    <row r="684" spans="1:14" x14ac:dyDescent="0.25">
      <c r="A684" s="68"/>
      <c r="B684" t="s">
        <v>573</v>
      </c>
      <c r="C684" t="s">
        <v>576</v>
      </c>
      <c r="E684">
        <f>((E682/1.23)-1)*E683</f>
        <v>3365.8536585365846</v>
      </c>
      <c r="F684" s="7" t="s">
        <v>21</v>
      </c>
    </row>
    <row r="685" spans="1:14" x14ac:dyDescent="0.25">
      <c r="B685" t="s">
        <v>585</v>
      </c>
      <c r="C685" t="s">
        <v>591</v>
      </c>
      <c r="E685">
        <f>1/(31000*E684)</f>
        <v>9.583917718560077E-9</v>
      </c>
      <c r="F685" s="7" t="s">
        <v>20</v>
      </c>
    </row>
    <row r="687" spans="1:14" x14ac:dyDescent="0.25">
      <c r="A687" s="68" t="s">
        <v>590</v>
      </c>
      <c r="B687" t="s">
        <v>572</v>
      </c>
      <c r="C687" t="s">
        <v>571</v>
      </c>
      <c r="E687">
        <v>10</v>
      </c>
      <c r="F687" s="7" t="s">
        <v>18</v>
      </c>
    </row>
    <row r="688" spans="1:14" x14ac:dyDescent="0.25">
      <c r="A688" s="68"/>
      <c r="B688" t="s">
        <v>574</v>
      </c>
      <c r="C688" t="s">
        <v>575</v>
      </c>
      <c r="E688">
        <f>2000</f>
        <v>2000</v>
      </c>
      <c r="F688" s="7" t="s">
        <v>21</v>
      </c>
    </row>
    <row r="689" spans="1:6" x14ac:dyDescent="0.25">
      <c r="A689" s="68"/>
      <c r="B689" t="s">
        <v>573</v>
      </c>
      <c r="C689" t="s">
        <v>576</v>
      </c>
      <c r="E689">
        <f>((E687/1.23)-1)*E688</f>
        <v>14260.162601626018</v>
      </c>
      <c r="F689" s="7" t="s">
        <v>21</v>
      </c>
    </row>
    <row r="690" spans="1:6" x14ac:dyDescent="0.25">
      <c r="B690" t="s">
        <v>585</v>
      </c>
      <c r="C690" t="s">
        <v>591</v>
      </c>
      <c r="E690">
        <f>1/(31000*E689)</f>
        <v>2.2621105675506673E-9</v>
      </c>
      <c r="F690" s="7" t="s">
        <v>20</v>
      </c>
    </row>
    <row r="692" spans="1:6" x14ac:dyDescent="0.25">
      <c r="A692" s="68" t="s">
        <v>588</v>
      </c>
      <c r="B692" t="s">
        <v>578</v>
      </c>
      <c r="C692" t="s">
        <v>577</v>
      </c>
      <c r="E692">
        <v>2</v>
      </c>
      <c r="F692" s="7" t="s">
        <v>18</v>
      </c>
    </row>
    <row r="693" spans="1:6" x14ac:dyDescent="0.25">
      <c r="A693" s="68"/>
      <c r="B693" t="s">
        <v>579</v>
      </c>
      <c r="C693" t="s">
        <v>580</v>
      </c>
      <c r="E693">
        <v>30</v>
      </c>
      <c r="F693" s="7" t="s">
        <v>18</v>
      </c>
    </row>
    <row r="694" spans="1:6" x14ac:dyDescent="0.25">
      <c r="A694" s="68"/>
      <c r="B694" t="s">
        <v>574</v>
      </c>
      <c r="C694" t="s">
        <v>575</v>
      </c>
      <c r="E694">
        <f>2000</f>
        <v>2000</v>
      </c>
      <c r="F694" s="7" t="s">
        <v>21</v>
      </c>
    </row>
    <row r="695" spans="1:6" x14ac:dyDescent="0.25">
      <c r="A695" s="68"/>
      <c r="B695" t="s">
        <v>584</v>
      </c>
      <c r="C695" t="s">
        <v>581</v>
      </c>
      <c r="E695">
        <f>((E692/1.23)-1)*E694</f>
        <v>1252.0325203252032</v>
      </c>
      <c r="F695" s="7" t="s">
        <v>21</v>
      </c>
    </row>
    <row r="696" spans="1:6" x14ac:dyDescent="0.25">
      <c r="A696" s="68"/>
      <c r="B696" t="s">
        <v>583</v>
      </c>
      <c r="C696" t="s">
        <v>582</v>
      </c>
      <c r="E696">
        <f>((E693/1.23)-1)*E694</f>
        <v>46780.487804878052</v>
      </c>
      <c r="F696" s="7" t="s">
        <v>21</v>
      </c>
    </row>
    <row r="697" spans="1:6" x14ac:dyDescent="0.25">
      <c r="A697" s="68"/>
      <c r="B697" t="s">
        <v>585</v>
      </c>
      <c r="C697" t="s">
        <v>591</v>
      </c>
      <c r="E697">
        <f>1/(31000*E695)</f>
        <v>2.5764558022622537E-8</v>
      </c>
      <c r="F697" s="7" t="s">
        <v>20</v>
      </c>
    </row>
    <row r="699" spans="1:6" x14ac:dyDescent="0.25">
      <c r="A699" s="68" t="s">
        <v>589</v>
      </c>
      <c r="B699" t="s">
        <v>578</v>
      </c>
      <c r="C699" t="s">
        <v>577</v>
      </c>
      <c r="E699">
        <v>9</v>
      </c>
      <c r="F699" s="7" t="s">
        <v>18</v>
      </c>
    </row>
    <row r="700" spans="1:6" x14ac:dyDescent="0.25">
      <c r="A700" s="68"/>
      <c r="B700" t="s">
        <v>579</v>
      </c>
      <c r="C700" t="s">
        <v>580</v>
      </c>
      <c r="E700">
        <v>20</v>
      </c>
      <c r="F700" s="7" t="s">
        <v>18</v>
      </c>
    </row>
    <row r="701" spans="1:6" x14ac:dyDescent="0.25">
      <c r="A701" s="68"/>
      <c r="B701" t="s">
        <v>574</v>
      </c>
      <c r="C701" t="s">
        <v>575</v>
      </c>
      <c r="E701">
        <f>2000</f>
        <v>2000</v>
      </c>
      <c r="F701" s="7" t="s">
        <v>21</v>
      </c>
    </row>
    <row r="702" spans="1:6" x14ac:dyDescent="0.25">
      <c r="A702" s="68"/>
      <c r="B702" t="s">
        <v>584</v>
      </c>
      <c r="C702" t="s">
        <v>581</v>
      </c>
      <c r="E702">
        <f>((E699/1.23)-1)*E701</f>
        <v>12634.146341463415</v>
      </c>
      <c r="F702" s="7" t="s">
        <v>21</v>
      </c>
    </row>
    <row r="703" spans="1:6" x14ac:dyDescent="0.25">
      <c r="A703" s="68"/>
      <c r="B703" t="s">
        <v>583</v>
      </c>
      <c r="C703" t="s">
        <v>582</v>
      </c>
      <c r="E703">
        <f>((E700/1.23)-1)*E701</f>
        <v>30520.325203252036</v>
      </c>
      <c r="F703" s="7" t="s">
        <v>21</v>
      </c>
    </row>
    <row r="704" spans="1:6" x14ac:dyDescent="0.25">
      <c r="A704" s="68"/>
      <c r="B704" t="s">
        <v>585</v>
      </c>
      <c r="C704" t="s">
        <v>591</v>
      </c>
      <c r="E704">
        <f>1/(31000*E702)</f>
        <v>2.5532444887283596E-9</v>
      </c>
      <c r="F704" s="7" t="s">
        <v>20</v>
      </c>
    </row>
    <row r="713" spans="1:14" x14ac:dyDescent="0.25">
      <c r="A713" s="66" t="s">
        <v>783</v>
      </c>
      <c r="C713" t="s">
        <v>795</v>
      </c>
      <c r="E713" t="s">
        <v>796</v>
      </c>
      <c r="G713" t="s">
        <v>797</v>
      </c>
    </row>
    <row r="714" spans="1:14" x14ac:dyDescent="0.25">
      <c r="A714" s="66"/>
      <c r="B714" t="s">
        <v>784</v>
      </c>
      <c r="E714">
        <f>PI()*0.0000004</f>
        <v>1.2566370614359173E-6</v>
      </c>
      <c r="F714" s="7" t="s">
        <v>193</v>
      </c>
      <c r="G714">
        <f t="shared" ref="G714:N714" si="84">$E714</f>
        <v>1.2566370614359173E-6</v>
      </c>
      <c r="H714">
        <f t="shared" si="84"/>
        <v>1.2566370614359173E-6</v>
      </c>
      <c r="I714">
        <f t="shared" si="84"/>
        <v>1.2566370614359173E-6</v>
      </c>
      <c r="J714">
        <f t="shared" si="84"/>
        <v>1.2566370614359173E-6</v>
      </c>
      <c r="K714">
        <f t="shared" si="84"/>
        <v>1.2566370614359173E-6</v>
      </c>
      <c r="L714">
        <f t="shared" si="84"/>
        <v>1.2566370614359173E-6</v>
      </c>
      <c r="M714">
        <f t="shared" si="84"/>
        <v>1.2566370614359173E-6</v>
      </c>
      <c r="N714">
        <f t="shared" si="84"/>
        <v>1.2566370614359173E-6</v>
      </c>
    </row>
    <row r="715" spans="1:14" x14ac:dyDescent="0.25">
      <c r="A715" s="66"/>
      <c r="B715" t="s">
        <v>785</v>
      </c>
      <c r="C715" t="s">
        <v>831</v>
      </c>
      <c r="E715">
        <v>6.0000000000000001E-3</v>
      </c>
      <c r="F715" s="7" t="s">
        <v>193</v>
      </c>
    </row>
    <row r="716" spans="1:14" x14ac:dyDescent="0.25">
      <c r="A716" s="66"/>
      <c r="B716" t="s">
        <v>123</v>
      </c>
      <c r="C716" t="s">
        <v>830</v>
      </c>
      <c r="E716">
        <v>0.04</v>
      </c>
      <c r="F716" s="7" t="s">
        <v>193</v>
      </c>
    </row>
    <row r="717" spans="1:14" x14ac:dyDescent="0.25">
      <c r="A717" s="66"/>
      <c r="C717" t="s">
        <v>832</v>
      </c>
      <c r="E717">
        <f>2*E715/E716</f>
        <v>0.3</v>
      </c>
      <c r="F717" s="7"/>
    </row>
    <row r="718" spans="1:14" x14ac:dyDescent="0.25">
      <c r="A718" s="66"/>
      <c r="C718" t="s">
        <v>833</v>
      </c>
      <c r="E718">
        <f>1/E717</f>
        <v>3.3333333333333335</v>
      </c>
      <c r="F718" s="7"/>
    </row>
    <row r="719" spans="1:14" x14ac:dyDescent="0.25">
      <c r="A719" s="66"/>
      <c r="C719" t="s">
        <v>834</v>
      </c>
      <c r="E719">
        <f>POWER(E717, 2)</f>
        <v>0.09</v>
      </c>
      <c r="F719" s="7"/>
    </row>
    <row r="720" spans="1:14" x14ac:dyDescent="0.25">
      <c r="A720" s="66"/>
      <c r="C720" t="s">
        <v>835</v>
      </c>
      <c r="E720">
        <f>1/E719</f>
        <v>11.111111111111111</v>
      </c>
      <c r="F720" s="7"/>
    </row>
    <row r="721" spans="1:14" x14ac:dyDescent="0.25">
      <c r="A721" s="66"/>
      <c r="F721" s="7"/>
    </row>
    <row r="722" spans="1:14" x14ac:dyDescent="0.25">
      <c r="A722" s="66"/>
      <c r="B722" t="s">
        <v>787</v>
      </c>
      <c r="C722" t="s">
        <v>788</v>
      </c>
      <c r="E722">
        <f>(E714/(4*PI()))*(LN(E717+SQRT(1+E719)) - SQRT(1+E720)+E718)</f>
        <v>1.4890421125990595E-8</v>
      </c>
      <c r="F722" t="s">
        <v>142</v>
      </c>
      <c r="G722">
        <f t="shared" ref="G722:N722" si="85">(G714/(4*PI()))*(LN(G717+SQRT(1+G719)) - SQRT(1+G720)+G718)</f>
        <v>-1.0000000000000001E-7</v>
      </c>
      <c r="H722">
        <f t="shared" si="85"/>
        <v>-1.0000000000000001E-7</v>
      </c>
      <c r="I722">
        <f t="shared" si="85"/>
        <v>-1.0000000000000001E-7</v>
      </c>
      <c r="J722">
        <f t="shared" si="85"/>
        <v>-1.0000000000000001E-7</v>
      </c>
      <c r="K722">
        <f t="shared" si="85"/>
        <v>-1.0000000000000001E-7</v>
      </c>
      <c r="L722">
        <f t="shared" si="85"/>
        <v>-1.0000000000000001E-7</v>
      </c>
      <c r="M722">
        <f t="shared" si="85"/>
        <v>-1.0000000000000001E-7</v>
      </c>
      <c r="N722">
        <f t="shared" si="85"/>
        <v>-1.0000000000000001E-7</v>
      </c>
    </row>
    <row r="723" spans="1:14" x14ac:dyDescent="0.25">
      <c r="A723" s="66"/>
      <c r="B723" t="s">
        <v>789</v>
      </c>
      <c r="C723" t="s">
        <v>790</v>
      </c>
      <c r="E723">
        <f>22*16000*4</f>
        <v>1408000</v>
      </c>
    </row>
    <row r="724" spans="1:14" x14ac:dyDescent="0.25">
      <c r="A724" s="66"/>
      <c r="B724" s="44" t="s">
        <v>793</v>
      </c>
      <c r="C724" t="s">
        <v>794</v>
      </c>
      <c r="E724">
        <v>0</v>
      </c>
      <c r="F724">
        <v>0</v>
      </c>
      <c r="G724">
        <v>0</v>
      </c>
      <c r="H724">
        <v>0</v>
      </c>
      <c r="I724">
        <v>0</v>
      </c>
      <c r="J724">
        <v>0</v>
      </c>
      <c r="K724">
        <v>0</v>
      </c>
      <c r="L724">
        <v>0</v>
      </c>
      <c r="M724">
        <v>0</v>
      </c>
      <c r="N724">
        <v>0</v>
      </c>
    </row>
    <row r="725" spans="1:14" x14ac:dyDescent="0.25">
      <c r="A725" s="66"/>
      <c r="B725" t="s">
        <v>792</v>
      </c>
      <c r="C725" t="s">
        <v>791</v>
      </c>
      <c r="E725">
        <f>E723*COS(E724)*E722</f>
        <v>2.096571294539476E-2</v>
      </c>
      <c r="F725" t="e">
        <f t="shared" ref="F725:N725" si="86">F723*COS(F724)*F722</f>
        <v>#VALUE!</v>
      </c>
      <c r="G725">
        <f t="shared" si="86"/>
        <v>0</v>
      </c>
      <c r="H725">
        <f t="shared" si="86"/>
        <v>0</v>
      </c>
      <c r="I725">
        <f t="shared" si="86"/>
        <v>0</v>
      </c>
      <c r="J725">
        <f t="shared" si="86"/>
        <v>0</v>
      </c>
      <c r="K725">
        <f t="shared" si="86"/>
        <v>0</v>
      </c>
      <c r="L725">
        <f t="shared" si="86"/>
        <v>0</v>
      </c>
      <c r="M725">
        <f t="shared" si="86"/>
        <v>0</v>
      </c>
      <c r="N725">
        <f t="shared" si="86"/>
        <v>0</v>
      </c>
    </row>
    <row r="726" spans="1:14" x14ac:dyDescent="0.25">
      <c r="A726" s="24"/>
    </row>
    <row r="727" spans="1:14" x14ac:dyDescent="0.25">
      <c r="A727" s="66" t="s">
        <v>805</v>
      </c>
      <c r="B727" t="s">
        <v>806</v>
      </c>
      <c r="C727" t="s">
        <v>807</v>
      </c>
      <c r="E727">
        <v>1.4999999999999999E-2</v>
      </c>
      <c r="F727" t="s">
        <v>193</v>
      </c>
    </row>
    <row r="728" spans="1:14" x14ac:dyDescent="0.25">
      <c r="A728" s="66"/>
      <c r="B728" t="s">
        <v>786</v>
      </c>
      <c r="C728" t="s">
        <v>808</v>
      </c>
      <c r="E728">
        <v>1E-3</v>
      </c>
      <c r="F728" t="s">
        <v>193</v>
      </c>
    </row>
    <row r="729" spans="1:14" x14ac:dyDescent="0.25">
      <c r="A729" s="66"/>
      <c r="B729" t="s">
        <v>809</v>
      </c>
      <c r="C729" t="s">
        <v>810</v>
      </c>
      <c r="E729">
        <v>1.6000000000000001E-3</v>
      </c>
      <c r="F729" t="s">
        <v>193</v>
      </c>
    </row>
    <row r="730" spans="1:14" x14ac:dyDescent="0.25">
      <c r="A730" s="66"/>
      <c r="B730" t="s">
        <v>811</v>
      </c>
      <c r="E730">
        <f>0.00000000508*E727*(LN(2*E727/(E728+E729))+0.5+(0.2235*(E728+E729)/E727))</f>
        <v>2.2741325637156556E-10</v>
      </c>
      <c r="F730" t="s">
        <v>142</v>
      </c>
    </row>
    <row r="731" spans="1:14" x14ac:dyDescent="0.25">
      <c r="A731" s="66"/>
    </row>
    <row r="732" spans="1:14" x14ac:dyDescent="0.25">
      <c r="A732" s="66"/>
    </row>
    <row r="733" spans="1:14" x14ac:dyDescent="0.25">
      <c r="A733" s="66"/>
    </row>
    <row r="735" spans="1:14" x14ac:dyDescent="0.25">
      <c r="A735" s="66" t="s">
        <v>836</v>
      </c>
      <c r="B735" t="s">
        <v>837</v>
      </c>
      <c r="C735" t="s">
        <v>837</v>
      </c>
      <c r="E735" s="34" t="b">
        <v>0</v>
      </c>
    </row>
    <row r="736" spans="1:14" x14ac:dyDescent="0.25">
      <c r="A736" s="66"/>
      <c r="B736" t="s">
        <v>317</v>
      </c>
      <c r="E736" s="18">
        <f>IF(E735, 0.024, 0.048)</f>
        <v>4.8000000000000001E-2</v>
      </c>
    </row>
    <row r="737" spans="1:6" x14ac:dyDescent="0.25">
      <c r="A737" s="66"/>
      <c r="B737" t="s">
        <v>838</v>
      </c>
      <c r="C737" t="s">
        <v>843</v>
      </c>
      <c r="E737" s="34">
        <f>22/SQRT(3)</f>
        <v>12.701705922171767</v>
      </c>
      <c r="F737" t="s">
        <v>17</v>
      </c>
    </row>
    <row r="738" spans="1:6" x14ac:dyDescent="0.25">
      <c r="A738" s="66"/>
      <c r="B738" s="44" t="s">
        <v>427</v>
      </c>
      <c r="C738" t="s">
        <v>839</v>
      </c>
      <c r="E738">
        <v>10</v>
      </c>
      <c r="F738" t="s">
        <v>234</v>
      </c>
    </row>
    <row r="739" spans="1:6" x14ac:dyDescent="0.25">
      <c r="A739" s="66"/>
      <c r="C739" t="s">
        <v>842</v>
      </c>
      <c r="E739">
        <v>2</v>
      </c>
    </row>
    <row r="740" spans="1:6" x14ac:dyDescent="0.25">
      <c r="A740" s="66"/>
      <c r="B740" t="s">
        <v>17</v>
      </c>
      <c r="C740" t="s">
        <v>840</v>
      </c>
      <c r="E740">
        <f>POWER(E737/(E736*POWER(E738, 0.44)), (1/0.725))</f>
        <v>542.8119517712156</v>
      </c>
      <c r="F740" t="s">
        <v>841</v>
      </c>
    </row>
    <row r="741" spans="1:6" x14ac:dyDescent="0.25">
      <c r="A741" s="66"/>
      <c r="C741" t="s">
        <v>844</v>
      </c>
      <c r="E741">
        <f>E740/(E739*1.378*39.37)</f>
        <v>5.0027036102653044</v>
      </c>
      <c r="F741" t="s">
        <v>121</v>
      </c>
    </row>
  </sheetData>
  <mergeCells count="32">
    <mergeCell ref="G30:K38"/>
    <mergeCell ref="A146:A153"/>
    <mergeCell ref="A210:A228"/>
    <mergeCell ref="A727:A733"/>
    <mergeCell ref="A735:A741"/>
    <mergeCell ref="A659:A673"/>
    <mergeCell ref="A405:A417"/>
    <mergeCell ref="A547:A559"/>
    <mergeCell ref="A461:A532"/>
    <mergeCell ref="A419:A458"/>
    <mergeCell ref="A565:A585"/>
    <mergeCell ref="A587:A608"/>
    <mergeCell ref="A677:A679"/>
    <mergeCell ref="A682:A684"/>
    <mergeCell ref="A687:A689"/>
    <mergeCell ref="A692:A697"/>
    <mergeCell ref="A713:A725"/>
    <mergeCell ref="H136:M136"/>
    <mergeCell ref="A699:A704"/>
    <mergeCell ref="A625:A650"/>
    <mergeCell ref="A20:A27"/>
    <mergeCell ref="A29:A52"/>
    <mergeCell ref="A62:A73"/>
    <mergeCell ref="A78:A106"/>
    <mergeCell ref="A257:A293"/>
    <mergeCell ref="A611:A623"/>
    <mergeCell ref="A295:A403"/>
    <mergeCell ref="M122:Q122"/>
    <mergeCell ref="A184:A208"/>
    <mergeCell ref="A155:A181"/>
    <mergeCell ref="A109:A144"/>
    <mergeCell ref="G19:J22"/>
  </mergeCells>
  <conditionalFormatting sqref="D133">
    <cfRule type="cellIs" dxfId="15" priority="21" operator="notEqual">
      <formula>FALSE</formula>
    </cfRule>
    <cfRule type="cellIs" dxfId="14" priority="22" operator="equal">
      <formula>FALSE</formula>
    </cfRule>
  </conditionalFormatting>
  <conditionalFormatting sqref="E655">
    <cfRule type="cellIs" dxfId="13" priority="19" operator="notEqual">
      <formula>TRUE</formula>
    </cfRule>
    <cfRule type="cellIs" dxfId="12" priority="20" operator="equal">
      <formula>TRUE</formula>
    </cfRule>
  </conditionalFormatting>
  <conditionalFormatting sqref="D50">
    <cfRule type="cellIs" dxfId="11" priority="17" operator="equal">
      <formula>TRUE</formula>
    </cfRule>
    <cfRule type="cellIs" dxfId="10" priority="18" operator="notEqual">
      <formula>TRUE</formula>
    </cfRule>
  </conditionalFormatting>
  <conditionalFormatting sqref="D15">
    <cfRule type="cellIs" dxfId="9" priority="15" operator="notEqual">
      <formula>TRUE</formula>
    </cfRule>
    <cfRule type="cellIs" dxfId="8" priority="16" operator="equal">
      <formula>TRUE</formula>
    </cfRule>
  </conditionalFormatting>
  <conditionalFormatting sqref="D73">
    <cfRule type="cellIs" dxfId="7" priority="13" operator="notEqual">
      <formula>TRUE</formula>
    </cfRule>
    <cfRule type="cellIs" dxfId="6" priority="14" operator="equal">
      <formula>TRUE</formula>
    </cfRule>
  </conditionalFormatting>
  <conditionalFormatting sqref="D52">
    <cfRule type="cellIs" dxfId="5" priority="7" operator="equal">
      <formula>TRUE</formula>
    </cfRule>
    <cfRule type="cellIs" dxfId="4" priority="8" operator="notEqual">
      <formula>TRUE</formula>
    </cfRule>
  </conditionalFormatting>
  <conditionalFormatting sqref="D139">
    <cfRule type="cellIs" dxfId="3" priority="5" operator="notEqual">
      <formula>TRUE</formula>
    </cfRule>
    <cfRule type="cellIs" dxfId="2" priority="6" operator="equal">
      <formula>TRUE</formula>
    </cfRule>
  </conditionalFormatting>
  <conditionalFormatting sqref="D142">
    <cfRule type="cellIs" dxfId="1" priority="3" operator="notEqual">
      <formula>FALSE</formula>
    </cfRule>
    <cfRule type="cellIs" dxfId="0" priority="4" operator="equal">
      <formula>FALSE</formula>
    </cfRule>
  </conditionalFormatting>
  <hyperlinks>
    <hyperlink ref="G93" r:id="rId1"/>
    <hyperlink ref="F316" r:id="rId2" display="https://www.mouser.co.uk/ProductDetail/TDK/FG26X7R2A105KNT06?qs=sGAEpiMZZMvsSlwiRhF8qjQUafaa8S5xA6BgDdbMmMhufnE%252BCCuluQ%3D%3D"/>
  </hyperlinks>
  <pageMargins left="0.7" right="0.7" top="0.75" bottom="0.75" header="0.3" footer="0.3"/>
  <pageSetup paperSize="9" orientation="portrait" r:id="rId3"/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D20"/>
  <sheetViews>
    <sheetView workbookViewId="0">
      <selection activeCell="B20" sqref="B20:D20"/>
    </sheetView>
  </sheetViews>
  <sheetFormatPr defaultRowHeight="15" x14ac:dyDescent="0.25"/>
  <cols>
    <col min="2" max="2" width="30.85546875" customWidth="1"/>
  </cols>
  <sheetData>
    <row r="2" spans="2:4" x14ac:dyDescent="0.25">
      <c r="B2" t="s">
        <v>112</v>
      </c>
      <c r="C2" t="s">
        <v>57</v>
      </c>
      <c r="D2" t="s">
        <v>16</v>
      </c>
    </row>
    <row r="3" spans="2:4" x14ac:dyDescent="0.25">
      <c r="B3" t="s">
        <v>118</v>
      </c>
      <c r="C3">
        <v>0.02</v>
      </c>
    </row>
    <row r="4" spans="2:4" x14ac:dyDescent="0.25">
      <c r="B4" t="s">
        <v>119</v>
      </c>
      <c r="C4">
        <v>25.4</v>
      </c>
    </row>
    <row r="5" spans="2:4" x14ac:dyDescent="0.25">
      <c r="B5" t="s">
        <v>120</v>
      </c>
      <c r="C5">
        <f>0.6*C4</f>
        <v>15.239999999999998</v>
      </c>
      <c r="D5" t="s">
        <v>121</v>
      </c>
    </row>
    <row r="6" spans="2:4" x14ac:dyDescent="0.25">
      <c r="B6" t="s">
        <v>122</v>
      </c>
      <c r="C6">
        <f>C5*(1+C3)</f>
        <v>15.544799999999999</v>
      </c>
      <c r="D6" t="s">
        <v>121</v>
      </c>
    </row>
    <row r="7" spans="2:4" x14ac:dyDescent="0.25">
      <c r="B7" t="s">
        <v>123</v>
      </c>
      <c r="C7">
        <f>0.032*C4</f>
        <v>0.81279999999999997</v>
      </c>
      <c r="D7" t="s">
        <v>121</v>
      </c>
    </row>
    <row r="8" spans="2:4" x14ac:dyDescent="0.25">
      <c r="B8" t="s">
        <v>124</v>
      </c>
      <c r="C8">
        <f>C7*(1+C3)</f>
        <v>0.82905600000000002</v>
      </c>
      <c r="D8" t="s">
        <v>121</v>
      </c>
    </row>
    <row r="9" spans="2:4" x14ac:dyDescent="0.25">
      <c r="B9" t="s">
        <v>125</v>
      </c>
      <c r="C9">
        <f>0.17*C4</f>
        <v>4.3180000000000005</v>
      </c>
      <c r="D9" t="s">
        <v>121</v>
      </c>
    </row>
    <row r="10" spans="2:4" x14ac:dyDescent="0.25">
      <c r="B10" s="11" t="s">
        <v>36</v>
      </c>
      <c r="C10" s="11">
        <f>C9*(1+C3)</f>
        <v>4.4043600000000005</v>
      </c>
      <c r="D10" s="11" t="s">
        <v>121</v>
      </c>
    </row>
    <row r="11" spans="2:4" x14ac:dyDescent="0.25">
      <c r="B11" s="9" t="s">
        <v>126</v>
      </c>
      <c r="C11" s="9">
        <v>5</v>
      </c>
      <c r="D11" s="9" t="s">
        <v>121</v>
      </c>
    </row>
    <row r="12" spans="2:4" x14ac:dyDescent="0.25">
      <c r="B12" t="s">
        <v>127</v>
      </c>
      <c r="C12">
        <v>5</v>
      </c>
      <c r="D12" t="s">
        <v>121</v>
      </c>
    </row>
    <row r="13" spans="2:4" x14ac:dyDescent="0.25">
      <c r="B13" s="10" t="s">
        <v>128</v>
      </c>
      <c r="C13" s="10">
        <f>C6+(2*C12)</f>
        <v>25.544799999999999</v>
      </c>
      <c r="D13" s="10" t="s">
        <v>121</v>
      </c>
    </row>
    <row r="14" spans="2:4" x14ac:dyDescent="0.25">
      <c r="B14" t="s">
        <v>129</v>
      </c>
      <c r="C14">
        <f>C7+0.2</f>
        <v>1.0127999999999999</v>
      </c>
      <c r="D14" t="s">
        <v>121</v>
      </c>
    </row>
    <row r="15" spans="2:4" x14ac:dyDescent="0.25">
      <c r="B15" t="s">
        <v>130</v>
      </c>
      <c r="C15">
        <f>C8+0.3</f>
        <v>1.1290560000000001</v>
      </c>
      <c r="D15" t="s">
        <v>121</v>
      </c>
    </row>
    <row r="16" spans="2:4" x14ac:dyDescent="0.25">
      <c r="B16" s="10" t="s">
        <v>134</v>
      </c>
      <c r="C16" s="10">
        <v>1.1000000000000001</v>
      </c>
      <c r="D16" s="10" t="s">
        <v>121</v>
      </c>
    </row>
    <row r="17" spans="2:4" x14ac:dyDescent="0.25">
      <c r="B17" t="s">
        <v>131</v>
      </c>
      <c r="C17">
        <f>C16+(2*0.3)</f>
        <v>1.7000000000000002</v>
      </c>
      <c r="D17" t="s">
        <v>121</v>
      </c>
    </row>
    <row r="18" spans="2:4" x14ac:dyDescent="0.25">
      <c r="B18" t="s">
        <v>132</v>
      </c>
      <c r="C18">
        <f>C16+(2*0.5)</f>
        <v>2.1</v>
      </c>
      <c r="D18" t="s">
        <v>121</v>
      </c>
    </row>
    <row r="19" spans="2:4" x14ac:dyDescent="0.25">
      <c r="B19" t="s">
        <v>133</v>
      </c>
      <c r="C19">
        <f>C16+(2*0.7)</f>
        <v>2.5</v>
      </c>
      <c r="D19" t="s">
        <v>121</v>
      </c>
    </row>
    <row r="20" spans="2:4" x14ac:dyDescent="0.25">
      <c r="B20" s="10" t="s">
        <v>135</v>
      </c>
      <c r="C20" s="10">
        <v>2.5</v>
      </c>
      <c r="D20" s="10" t="s">
        <v>121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3"/>
  <sheetViews>
    <sheetView topLeftCell="B1" zoomScale="85" zoomScaleNormal="85" workbookViewId="0">
      <selection activeCell="F23" sqref="F23"/>
    </sheetView>
  </sheetViews>
  <sheetFormatPr defaultRowHeight="15" x14ac:dyDescent="0.25"/>
  <cols>
    <col min="3" max="3" width="36.140625" customWidth="1"/>
  </cols>
  <sheetData>
    <row r="1" spans="1:2" x14ac:dyDescent="0.25">
      <c r="A1" s="71" t="s">
        <v>137</v>
      </c>
      <c r="B1" s="71"/>
    </row>
    <row r="18" spans="3:5" x14ac:dyDescent="0.25">
      <c r="C18" s="72" t="s">
        <v>149</v>
      </c>
      <c r="D18" s="73"/>
      <c r="E18" s="74"/>
    </row>
    <row r="19" spans="3:5" x14ac:dyDescent="0.25">
      <c r="C19" s="12" t="s">
        <v>20</v>
      </c>
      <c r="D19" s="12">
        <v>12</v>
      </c>
      <c r="E19" s="12" t="s">
        <v>121</v>
      </c>
    </row>
    <row r="20" spans="3:5" x14ac:dyDescent="0.25">
      <c r="C20" s="12" t="s">
        <v>138</v>
      </c>
      <c r="D20" s="12">
        <f>D19+0.5</f>
        <v>12.5</v>
      </c>
      <c r="E20" s="12" t="s">
        <v>121</v>
      </c>
    </row>
    <row r="21" spans="3:5" x14ac:dyDescent="0.25">
      <c r="C21" s="12" t="s">
        <v>36</v>
      </c>
      <c r="D21" s="12">
        <v>19.399999999999999</v>
      </c>
      <c r="E21" s="12" t="s">
        <v>121</v>
      </c>
    </row>
    <row r="22" spans="3:5" x14ac:dyDescent="0.25">
      <c r="C22" s="12" t="s">
        <v>136</v>
      </c>
      <c r="D22" s="12">
        <v>7.9</v>
      </c>
      <c r="E22" s="12" t="s">
        <v>121</v>
      </c>
    </row>
    <row r="23" spans="3:5" x14ac:dyDescent="0.25">
      <c r="C23" s="12" t="s">
        <v>123</v>
      </c>
      <c r="D23" s="12">
        <v>0.8</v>
      </c>
      <c r="E23" s="12" t="s">
        <v>121</v>
      </c>
    </row>
    <row r="24" spans="3:5" x14ac:dyDescent="0.25">
      <c r="C24" s="12" t="s">
        <v>129</v>
      </c>
      <c r="D24" s="12">
        <f>D23+0.2</f>
        <v>1</v>
      </c>
      <c r="E24" s="12" t="s">
        <v>121</v>
      </c>
    </row>
    <row r="25" spans="3:5" x14ac:dyDescent="0.25">
      <c r="C25" s="12" t="s">
        <v>130</v>
      </c>
      <c r="D25" s="12">
        <f>D23+0.3</f>
        <v>1.1000000000000001</v>
      </c>
      <c r="E25" s="12" t="s">
        <v>121</v>
      </c>
    </row>
    <row r="26" spans="3:5" x14ac:dyDescent="0.25">
      <c r="C26" s="14" t="s">
        <v>134</v>
      </c>
      <c r="D26" s="14">
        <v>1.1000000000000001</v>
      </c>
      <c r="E26" s="14" t="s">
        <v>121</v>
      </c>
    </row>
    <row r="27" spans="3:5" x14ac:dyDescent="0.25">
      <c r="C27" s="12" t="s">
        <v>131</v>
      </c>
      <c r="D27" s="12">
        <f>D26+(2*0.3)</f>
        <v>1.7000000000000002</v>
      </c>
      <c r="E27" s="12" t="s">
        <v>121</v>
      </c>
    </row>
    <row r="28" spans="3:5" x14ac:dyDescent="0.25">
      <c r="C28" s="12" t="s">
        <v>132</v>
      </c>
      <c r="D28" s="12">
        <f>D26+(2*0.5)</f>
        <v>2.1</v>
      </c>
      <c r="E28" s="12" t="s">
        <v>121</v>
      </c>
    </row>
    <row r="29" spans="3:5" x14ac:dyDescent="0.25">
      <c r="C29" s="12" t="s">
        <v>133</v>
      </c>
      <c r="D29" s="12">
        <f>D26+(2*0.7)</f>
        <v>2.5</v>
      </c>
      <c r="E29" s="12" t="s">
        <v>121</v>
      </c>
    </row>
    <row r="30" spans="3:5" x14ac:dyDescent="0.25">
      <c r="C30" s="14" t="s">
        <v>135</v>
      </c>
      <c r="D30" s="14">
        <v>2.5</v>
      </c>
      <c r="E30" s="14" t="s">
        <v>121</v>
      </c>
    </row>
    <row r="31" spans="3:5" x14ac:dyDescent="0.25">
      <c r="C31" s="12" t="s">
        <v>139</v>
      </c>
      <c r="D31" s="12">
        <v>1</v>
      </c>
      <c r="E31" s="12" t="s">
        <v>121</v>
      </c>
    </row>
    <row r="32" spans="3:5" x14ac:dyDescent="0.25">
      <c r="C32" s="12" t="s">
        <v>140</v>
      </c>
      <c r="D32" s="12">
        <f>CEILING((2*D31)+D21, 1)</f>
        <v>22</v>
      </c>
      <c r="E32" s="12" t="s">
        <v>121</v>
      </c>
    </row>
    <row r="33" spans="3:5" x14ac:dyDescent="0.25">
      <c r="C33" s="12" t="s">
        <v>141</v>
      </c>
      <c r="D33" s="12">
        <f>CEILING((2*D31)+D22, 1)</f>
        <v>10</v>
      </c>
      <c r="E33" s="12" t="s">
        <v>121</v>
      </c>
    </row>
  </sheetData>
  <mergeCells count="2">
    <mergeCell ref="A1:B1"/>
    <mergeCell ref="C18:E18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7"/>
  <sheetViews>
    <sheetView workbookViewId="0">
      <selection activeCell="F34" sqref="F34"/>
    </sheetView>
  </sheetViews>
  <sheetFormatPr defaultRowHeight="15" x14ac:dyDescent="0.25"/>
  <cols>
    <col min="2" max="2" width="33.42578125" customWidth="1"/>
  </cols>
  <sheetData>
    <row r="1" spans="1:2" x14ac:dyDescent="0.25">
      <c r="A1" s="71" t="s">
        <v>148</v>
      </c>
      <c r="B1" s="71"/>
    </row>
    <row r="17" spans="1:4" x14ac:dyDescent="0.25">
      <c r="B17" s="72" t="s">
        <v>149</v>
      </c>
      <c r="C17" s="73"/>
      <c r="D17" s="74"/>
    </row>
    <row r="18" spans="1:4" x14ac:dyDescent="0.25">
      <c r="B18" s="12" t="s">
        <v>144</v>
      </c>
      <c r="C18" s="12">
        <v>8</v>
      </c>
      <c r="D18" s="12" t="s">
        <v>121</v>
      </c>
    </row>
    <row r="19" spans="1:4" x14ac:dyDescent="0.25">
      <c r="B19" s="12" t="s">
        <v>145</v>
      </c>
      <c r="C19" s="12">
        <f>C18+0.5</f>
        <v>8.5</v>
      </c>
      <c r="D19" s="12" t="s">
        <v>121</v>
      </c>
    </row>
    <row r="20" spans="1:4" x14ac:dyDescent="0.25">
      <c r="B20" s="12" t="s">
        <v>120</v>
      </c>
      <c r="C20" s="12">
        <v>10</v>
      </c>
      <c r="D20" s="12" t="s">
        <v>121</v>
      </c>
    </row>
    <row r="21" spans="1:4" x14ac:dyDescent="0.25">
      <c r="A21" s="13"/>
      <c r="B21" s="12" t="s">
        <v>122</v>
      </c>
      <c r="C21" s="12">
        <f>C20+2</f>
        <v>12</v>
      </c>
      <c r="D21" s="12" t="s">
        <v>121</v>
      </c>
    </row>
    <row r="22" spans="1:4" x14ac:dyDescent="0.25">
      <c r="B22" s="12" t="s">
        <v>142</v>
      </c>
      <c r="C22" s="12">
        <v>2</v>
      </c>
      <c r="D22" s="12"/>
    </row>
    <row r="23" spans="1:4" x14ac:dyDescent="0.25">
      <c r="B23" s="12" t="s">
        <v>143</v>
      </c>
      <c r="C23" s="12">
        <f>C22+1</f>
        <v>3</v>
      </c>
      <c r="D23" s="12" t="s">
        <v>121</v>
      </c>
    </row>
    <row r="24" spans="1:4" x14ac:dyDescent="0.25">
      <c r="B24" s="12" t="s">
        <v>123</v>
      </c>
      <c r="C24" s="12">
        <v>0.6</v>
      </c>
      <c r="D24" s="12" t="s">
        <v>121</v>
      </c>
    </row>
    <row r="25" spans="1:4" x14ac:dyDescent="0.25">
      <c r="B25" s="12" t="s">
        <v>124</v>
      </c>
      <c r="C25" s="12">
        <f>C24+0.2</f>
        <v>0.8</v>
      </c>
      <c r="D25" s="12" t="s">
        <v>121</v>
      </c>
    </row>
    <row r="26" spans="1:4" x14ac:dyDescent="0.25">
      <c r="B26" s="12" t="s">
        <v>129</v>
      </c>
      <c r="C26" s="12">
        <f>C25+0.2</f>
        <v>1</v>
      </c>
      <c r="D26" s="12" t="s">
        <v>121</v>
      </c>
    </row>
    <row r="27" spans="1:4" x14ac:dyDescent="0.25">
      <c r="B27" s="12" t="s">
        <v>130</v>
      </c>
      <c r="C27" s="12">
        <f>C25+0.3</f>
        <v>1.1000000000000001</v>
      </c>
      <c r="D27" s="12" t="s">
        <v>121</v>
      </c>
    </row>
    <row r="28" spans="1:4" x14ac:dyDescent="0.25">
      <c r="B28" s="14" t="s">
        <v>134</v>
      </c>
      <c r="C28" s="14">
        <v>1</v>
      </c>
      <c r="D28" s="14" t="s">
        <v>121</v>
      </c>
    </row>
    <row r="29" spans="1:4" x14ac:dyDescent="0.25">
      <c r="B29" s="12" t="s">
        <v>131</v>
      </c>
      <c r="C29" s="12">
        <f>C28+(2*0.3)</f>
        <v>1.6</v>
      </c>
      <c r="D29" s="12" t="s">
        <v>121</v>
      </c>
    </row>
    <row r="30" spans="1:4" x14ac:dyDescent="0.25">
      <c r="B30" s="12" t="s">
        <v>132</v>
      </c>
      <c r="C30" s="12">
        <f>C28+(2*0.5)</f>
        <v>2</v>
      </c>
      <c r="D30" s="12" t="s">
        <v>121</v>
      </c>
    </row>
    <row r="31" spans="1:4" x14ac:dyDescent="0.25">
      <c r="B31" s="12" t="s">
        <v>133</v>
      </c>
      <c r="C31" s="12">
        <f>C28+(2*0.7)</f>
        <v>2.4</v>
      </c>
      <c r="D31" s="12" t="s">
        <v>121</v>
      </c>
    </row>
    <row r="32" spans="1:4" x14ac:dyDescent="0.25">
      <c r="B32" s="14" t="s">
        <v>135</v>
      </c>
      <c r="C32" s="14">
        <v>2.4</v>
      </c>
      <c r="D32" s="14" t="s">
        <v>121</v>
      </c>
    </row>
    <row r="33" spans="2:4" x14ac:dyDescent="0.25">
      <c r="B33" s="12" t="s">
        <v>139</v>
      </c>
      <c r="C33" s="12">
        <v>1</v>
      </c>
      <c r="D33" s="12" t="s">
        <v>121</v>
      </c>
    </row>
    <row r="34" spans="2:4" x14ac:dyDescent="0.25">
      <c r="B34" s="12" t="s">
        <v>140</v>
      </c>
      <c r="C34" s="12">
        <f>CEILING((2*C33)+C21, 1)</f>
        <v>14</v>
      </c>
      <c r="D34" s="12" t="s">
        <v>121</v>
      </c>
    </row>
    <row r="35" spans="2:4" x14ac:dyDescent="0.25">
      <c r="B35" s="12" t="s">
        <v>141</v>
      </c>
      <c r="C35" s="12">
        <f>CEILING((2*C33)+C23, 1)</f>
        <v>5</v>
      </c>
      <c r="D35" s="12" t="s">
        <v>121</v>
      </c>
    </row>
    <row r="36" spans="2:4" x14ac:dyDescent="0.25">
      <c r="B36" s="15" t="s">
        <v>146</v>
      </c>
      <c r="C36" s="15">
        <f>C19</f>
        <v>8.5</v>
      </c>
      <c r="D36" s="15" t="s">
        <v>121</v>
      </c>
    </row>
    <row r="37" spans="2:4" x14ac:dyDescent="0.25">
      <c r="B37" s="16" t="s">
        <v>147</v>
      </c>
      <c r="C37" s="16">
        <f>C36-C32</f>
        <v>6.1</v>
      </c>
      <c r="D37" s="16" t="s">
        <v>121</v>
      </c>
    </row>
  </sheetData>
  <mergeCells count="2">
    <mergeCell ref="B17:D17"/>
    <mergeCell ref="A1:B1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7"/>
  <sheetViews>
    <sheetView topLeftCell="A37" workbookViewId="0">
      <selection activeCell="D20" sqref="D20"/>
    </sheetView>
  </sheetViews>
  <sheetFormatPr defaultRowHeight="15" x14ac:dyDescent="0.25"/>
  <cols>
    <col min="2" max="2" width="33.42578125" customWidth="1"/>
  </cols>
  <sheetData>
    <row r="1" spans="1:2" x14ac:dyDescent="0.25">
      <c r="A1" s="71" t="s">
        <v>154</v>
      </c>
      <c r="B1" s="71"/>
    </row>
    <row r="17" spans="1:4" x14ac:dyDescent="0.25">
      <c r="B17" s="72" t="s">
        <v>149</v>
      </c>
      <c r="C17" s="73"/>
      <c r="D17" s="74"/>
    </row>
    <row r="18" spans="1:4" x14ac:dyDescent="0.25">
      <c r="B18" s="12" t="s">
        <v>144</v>
      </c>
      <c r="C18" s="12">
        <v>46</v>
      </c>
      <c r="D18" s="12" t="s">
        <v>121</v>
      </c>
    </row>
    <row r="19" spans="1:4" x14ac:dyDescent="0.25">
      <c r="B19" s="12" t="s">
        <v>145</v>
      </c>
      <c r="C19" s="12">
        <f>C18+0.5</f>
        <v>46.5</v>
      </c>
      <c r="D19" s="12" t="s">
        <v>121</v>
      </c>
    </row>
    <row r="20" spans="1:4" x14ac:dyDescent="0.25">
      <c r="B20" s="12" t="s">
        <v>120</v>
      </c>
      <c r="C20" s="12">
        <v>50</v>
      </c>
      <c r="D20" s="12" t="s">
        <v>121</v>
      </c>
    </row>
    <row r="21" spans="1:4" x14ac:dyDescent="0.25">
      <c r="A21" s="13"/>
      <c r="B21" s="12" t="s">
        <v>122</v>
      </c>
      <c r="C21" s="12">
        <f>C20+2</f>
        <v>52</v>
      </c>
      <c r="D21" s="12" t="s">
        <v>121</v>
      </c>
    </row>
    <row r="22" spans="1:4" x14ac:dyDescent="0.25">
      <c r="B22" s="12" t="s">
        <v>142</v>
      </c>
      <c r="C22" s="12">
        <v>2</v>
      </c>
      <c r="D22" s="12"/>
    </row>
    <row r="23" spans="1:4" x14ac:dyDescent="0.25">
      <c r="B23" s="12" t="s">
        <v>143</v>
      </c>
      <c r="C23" s="12">
        <f>C22+1</f>
        <v>3</v>
      </c>
      <c r="D23" s="12" t="s">
        <v>121</v>
      </c>
    </row>
    <row r="24" spans="1:4" x14ac:dyDescent="0.25">
      <c r="B24" s="12" t="s">
        <v>123</v>
      </c>
      <c r="C24" s="12">
        <v>0.8</v>
      </c>
      <c r="D24" s="12" t="s">
        <v>121</v>
      </c>
    </row>
    <row r="25" spans="1:4" x14ac:dyDescent="0.25">
      <c r="B25" s="12" t="s">
        <v>124</v>
      </c>
      <c r="C25" s="12">
        <f>C24+0.2</f>
        <v>1</v>
      </c>
      <c r="D25" s="12" t="s">
        <v>121</v>
      </c>
    </row>
    <row r="26" spans="1:4" x14ac:dyDescent="0.25">
      <c r="B26" s="12" t="s">
        <v>129</v>
      </c>
      <c r="C26" s="12">
        <f>C25+0.2</f>
        <v>1.2</v>
      </c>
      <c r="D26" s="12" t="s">
        <v>121</v>
      </c>
    </row>
    <row r="27" spans="1:4" x14ac:dyDescent="0.25">
      <c r="B27" s="12" t="s">
        <v>130</v>
      </c>
      <c r="C27" s="12">
        <f>C25+0.3</f>
        <v>1.3</v>
      </c>
      <c r="D27" s="12" t="s">
        <v>121</v>
      </c>
    </row>
    <row r="28" spans="1:4" x14ac:dyDescent="0.25">
      <c r="B28" s="14" t="s">
        <v>134</v>
      </c>
      <c r="C28" s="14">
        <v>1.2</v>
      </c>
      <c r="D28" s="14" t="s">
        <v>121</v>
      </c>
    </row>
    <row r="29" spans="1:4" x14ac:dyDescent="0.25">
      <c r="B29" s="12" t="s">
        <v>131</v>
      </c>
      <c r="C29" s="12">
        <f>C28+(2*0.3)</f>
        <v>1.7999999999999998</v>
      </c>
      <c r="D29" s="12" t="s">
        <v>121</v>
      </c>
    </row>
    <row r="30" spans="1:4" x14ac:dyDescent="0.25">
      <c r="B30" s="12" t="s">
        <v>132</v>
      </c>
      <c r="C30" s="12">
        <f>C28+(2*0.5)</f>
        <v>2.2000000000000002</v>
      </c>
      <c r="D30" s="12" t="s">
        <v>121</v>
      </c>
    </row>
    <row r="31" spans="1:4" x14ac:dyDescent="0.25">
      <c r="B31" s="12" t="s">
        <v>133</v>
      </c>
      <c r="C31" s="12">
        <f>C28+(2*0.7)</f>
        <v>2.5999999999999996</v>
      </c>
      <c r="D31" s="12" t="s">
        <v>121</v>
      </c>
    </row>
    <row r="32" spans="1:4" x14ac:dyDescent="0.25">
      <c r="B32" s="14" t="s">
        <v>135</v>
      </c>
      <c r="C32" s="14">
        <v>2.6</v>
      </c>
      <c r="D32" s="14" t="s">
        <v>121</v>
      </c>
    </row>
    <row r="33" spans="2:4" x14ac:dyDescent="0.25">
      <c r="B33" s="12" t="s">
        <v>139</v>
      </c>
      <c r="C33" s="12">
        <v>1</v>
      </c>
      <c r="D33" s="12" t="s">
        <v>121</v>
      </c>
    </row>
    <row r="34" spans="2:4" x14ac:dyDescent="0.25">
      <c r="B34" s="12" t="s">
        <v>140</v>
      </c>
      <c r="C34" s="12">
        <f>CEILING((2*C33)+C21, 1)</f>
        <v>54</v>
      </c>
      <c r="D34" s="12" t="s">
        <v>121</v>
      </c>
    </row>
    <row r="35" spans="2:4" x14ac:dyDescent="0.25">
      <c r="B35" s="12" t="s">
        <v>141</v>
      </c>
      <c r="C35" s="12">
        <f>CEILING((2*C33)+C23, 1)</f>
        <v>5</v>
      </c>
      <c r="D35" s="12" t="s">
        <v>121</v>
      </c>
    </row>
    <row r="36" spans="2:4" x14ac:dyDescent="0.25">
      <c r="B36" s="15" t="s">
        <v>146</v>
      </c>
      <c r="C36" s="15">
        <f>C19</f>
        <v>46.5</v>
      </c>
      <c r="D36" s="15" t="s">
        <v>121</v>
      </c>
    </row>
    <row r="37" spans="2:4" x14ac:dyDescent="0.25">
      <c r="B37" s="16" t="s">
        <v>147</v>
      </c>
      <c r="C37" s="16">
        <f>C36-C32</f>
        <v>43.9</v>
      </c>
      <c r="D37" s="16" t="s">
        <v>121</v>
      </c>
    </row>
  </sheetData>
  <mergeCells count="2">
    <mergeCell ref="A1:B1"/>
    <mergeCell ref="B17:D17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S2:U18"/>
  <sheetViews>
    <sheetView topLeftCell="A7" zoomScale="115" zoomScaleNormal="115" workbookViewId="0">
      <selection activeCell="C25" sqref="C25"/>
    </sheetView>
  </sheetViews>
  <sheetFormatPr defaultRowHeight="15" x14ac:dyDescent="0.25"/>
  <sheetData>
    <row r="2" spans="19:20" x14ac:dyDescent="0.25">
      <c r="S2" t="s">
        <v>318</v>
      </c>
      <c r="T2">
        <v>399</v>
      </c>
    </row>
    <row r="3" spans="19:20" x14ac:dyDescent="0.25">
      <c r="S3" t="s">
        <v>326</v>
      </c>
      <c r="T3">
        <v>14000</v>
      </c>
    </row>
    <row r="4" spans="19:20" x14ac:dyDescent="0.25">
      <c r="S4" t="s">
        <v>331</v>
      </c>
      <c r="T4" s="1">
        <v>5.4399999999999996E-6</v>
      </c>
    </row>
    <row r="5" spans="19:20" x14ac:dyDescent="0.25">
      <c r="S5" t="s">
        <v>320</v>
      </c>
      <c r="T5">
        <v>40</v>
      </c>
    </row>
    <row r="6" spans="19:20" x14ac:dyDescent="0.25">
      <c r="S6" t="s">
        <v>321</v>
      </c>
      <c r="T6">
        <v>20</v>
      </c>
    </row>
    <row r="7" spans="19:20" x14ac:dyDescent="0.25">
      <c r="S7" t="s">
        <v>323</v>
      </c>
      <c r="T7">
        <v>1E-4</v>
      </c>
    </row>
    <row r="8" spans="19:20" x14ac:dyDescent="0.25">
      <c r="S8" t="s">
        <v>325</v>
      </c>
      <c r="T8">
        <f>POWER(T4/T7, 0.5)</f>
        <v>0.23323807579381201</v>
      </c>
    </row>
    <row r="9" spans="19:20" x14ac:dyDescent="0.25">
      <c r="S9" t="s">
        <v>324</v>
      </c>
      <c r="T9">
        <v>0.1</v>
      </c>
    </row>
    <row r="10" spans="19:20" x14ac:dyDescent="0.25">
      <c r="S10" t="s">
        <v>333</v>
      </c>
      <c r="T10">
        <f>T9/T12</f>
        <v>2.2471910112359553E-3</v>
      </c>
    </row>
    <row r="11" spans="19:20" x14ac:dyDescent="0.25">
      <c r="S11" t="s">
        <v>319</v>
      </c>
      <c r="T11">
        <f>T9/T12</f>
        <v>2.2471910112359553E-3</v>
      </c>
    </row>
    <row r="12" spans="19:20" x14ac:dyDescent="0.25">
      <c r="S12" t="s">
        <v>322</v>
      </c>
      <c r="T12">
        <v>44.5</v>
      </c>
    </row>
    <row r="13" spans="19:20" x14ac:dyDescent="0.25">
      <c r="S13" t="s">
        <v>327</v>
      </c>
      <c r="T13">
        <f>T6-POWER(POWER((T9-(T11*T12))/T8, 2)+POWER(T6, 2), 0.5)</f>
        <v>0</v>
      </c>
    </row>
    <row r="14" spans="19:20" x14ac:dyDescent="0.25">
      <c r="S14" t="s">
        <v>328</v>
      </c>
      <c r="T14">
        <f>(1/T11)*(T13-T6)</f>
        <v>-8899.9999999999982</v>
      </c>
    </row>
    <row r="15" spans="19:20" x14ac:dyDescent="0.25">
      <c r="S15" t="s">
        <v>329</v>
      </c>
      <c r="T15">
        <f>T13-T14</f>
        <v>8899.9999999999982</v>
      </c>
    </row>
    <row r="16" spans="19:20" x14ac:dyDescent="0.25">
      <c r="S16" t="s">
        <v>330</v>
      </c>
      <c r="T16">
        <f>T5</f>
        <v>40</v>
      </c>
    </row>
    <row r="17" spans="19:21" x14ac:dyDescent="0.25">
      <c r="S17" t="s">
        <v>323</v>
      </c>
      <c r="T17">
        <f>T4*POWER(T5, 2)/POWER(T9-(T3/T2), 2)</f>
        <v>7.1102949277174389E-6</v>
      </c>
    </row>
    <row r="18" spans="19:21" x14ac:dyDescent="0.25">
      <c r="S18" t="s">
        <v>332</v>
      </c>
      <c r="T18" t="str">
        <f>IF(T11&lt;T9/T12, "Decrease V_max by", "Increase V_max by")</f>
        <v>Increase V_max by</v>
      </c>
      <c r="U18">
        <f>T11/(T9/T12)</f>
        <v>1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topLeftCell="A19" zoomScale="115" zoomScaleNormal="115" workbookViewId="0">
      <selection activeCell="D28" sqref="B3:D28"/>
    </sheetView>
  </sheetViews>
  <sheetFormatPr defaultRowHeight="15" x14ac:dyDescent="0.25"/>
  <cols>
    <col min="2" max="2" width="46.85546875" bestFit="1" customWidth="1"/>
    <col min="4" max="4" width="12" bestFit="1" customWidth="1"/>
  </cols>
  <sheetData/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E11"/>
  <sheetViews>
    <sheetView workbookViewId="0">
      <selection activeCell="E14" sqref="E14"/>
    </sheetView>
  </sheetViews>
  <sheetFormatPr defaultRowHeight="15" x14ac:dyDescent="0.25"/>
  <sheetData>
    <row r="3" spans="1:5" x14ac:dyDescent="0.25">
      <c r="A3" t="s">
        <v>397</v>
      </c>
      <c r="B3" t="s">
        <v>396</v>
      </c>
      <c r="C3" t="s">
        <v>111</v>
      </c>
      <c r="D3" t="s">
        <v>398</v>
      </c>
    </row>
    <row r="4" spans="1:5" x14ac:dyDescent="0.25">
      <c r="A4" t="s">
        <v>395</v>
      </c>
      <c r="B4" t="s">
        <v>400</v>
      </c>
      <c r="D4">
        <v>12</v>
      </c>
      <c r="E4" t="s">
        <v>407</v>
      </c>
    </row>
    <row r="5" spans="1:5" x14ac:dyDescent="0.25">
      <c r="A5" t="s">
        <v>399</v>
      </c>
      <c r="B5" t="s">
        <v>404</v>
      </c>
      <c r="D5">
        <v>5</v>
      </c>
      <c r="E5" t="s">
        <v>406</v>
      </c>
    </row>
    <row r="6" spans="1:5" x14ac:dyDescent="0.25">
      <c r="A6" t="s">
        <v>401</v>
      </c>
      <c r="B6" t="s">
        <v>403</v>
      </c>
      <c r="D6">
        <v>8</v>
      </c>
      <c r="E6" t="s">
        <v>408</v>
      </c>
    </row>
    <row r="7" spans="1:5" x14ac:dyDescent="0.25">
      <c r="A7" t="s">
        <v>402</v>
      </c>
      <c r="B7" t="s">
        <v>400</v>
      </c>
      <c r="D7">
        <v>4</v>
      </c>
      <c r="E7" t="s">
        <v>405</v>
      </c>
    </row>
    <row r="8" spans="1:5" x14ac:dyDescent="0.25">
      <c r="A8" t="s">
        <v>395</v>
      </c>
      <c r="B8" t="s">
        <v>403</v>
      </c>
      <c r="D8">
        <v>4</v>
      </c>
      <c r="E8" t="s">
        <v>407</v>
      </c>
    </row>
    <row r="9" spans="1:5" x14ac:dyDescent="0.25">
      <c r="A9" t="s">
        <v>401</v>
      </c>
      <c r="B9" t="s">
        <v>410</v>
      </c>
      <c r="D9">
        <v>4</v>
      </c>
      <c r="E9" t="s">
        <v>409</v>
      </c>
    </row>
    <row r="10" spans="1:5" x14ac:dyDescent="0.25">
      <c r="A10" t="s">
        <v>412</v>
      </c>
      <c r="E10" t="s">
        <v>411</v>
      </c>
    </row>
    <row r="11" spans="1:5" x14ac:dyDescent="0.25">
      <c r="A11" t="s">
        <v>399</v>
      </c>
      <c r="B11" t="s">
        <v>413</v>
      </c>
      <c r="D11">
        <v>16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Driver And Controller</vt:lpstr>
      <vt:lpstr>Villard Diode PCB Calcs</vt:lpstr>
      <vt:lpstr>Villard Capacitor PCB Calcs</vt:lpstr>
      <vt:lpstr>Villard Capacitor Bleeder Calcs</vt:lpstr>
      <vt:lpstr>Output Series Compsite Resistor</vt:lpstr>
      <vt:lpstr>Regenerative snubber design</vt:lpstr>
      <vt:lpstr>Active Cooling</vt:lpstr>
      <vt:lpstr>Sheet3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2024-11-04T21:29:48Z</dcterms:created>
  <dcterms:modified xsi:type="dcterms:W3CDTF">2026-06-02T10:30:07Z</dcterms:modified>
</cp:coreProperties>
</file>