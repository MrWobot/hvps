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150" i="1" l="1"/>
  <c r="D18" i="1"/>
  <c r="D79" i="1"/>
  <c r="D78" i="1"/>
  <c r="D70" i="1"/>
  <c r="D74" i="1"/>
  <c r="D65" i="1"/>
  <c r="D613" i="1" l="1"/>
  <c r="D603" i="1"/>
  <c r="D570" i="1"/>
  <c r="D592" i="1" s="1"/>
  <c r="D220" i="1" l="1"/>
  <c r="F233" i="1" s="1"/>
  <c r="D219" i="1"/>
  <c r="D222" i="1"/>
  <c r="F227" i="1" s="1"/>
  <c r="BP227" i="1" s="1"/>
  <c r="D221" i="1"/>
  <c r="D225" i="1" s="1"/>
  <c r="D215" i="1"/>
  <c r="D157" i="1"/>
  <c r="D214" i="1" s="1"/>
  <c r="F232" i="1" s="1"/>
  <c r="D189" i="1" l="1"/>
  <c r="CU227" i="1"/>
  <c r="T227" i="1"/>
  <c r="R227" i="1"/>
  <c r="AV227" i="1"/>
  <c r="BO227" i="1"/>
  <c r="CT227" i="1"/>
  <c r="S227" i="1"/>
  <c r="AD227" i="1"/>
  <c r="BI227" i="1"/>
  <c r="CR227" i="1"/>
  <c r="Q227" i="1"/>
  <c r="AR227" i="1"/>
  <c r="CA227" i="1"/>
  <c r="BG227" i="1"/>
  <c r="CP227" i="1"/>
  <c r="BF227" i="1"/>
  <c r="BY227" i="1"/>
  <c r="BE227" i="1"/>
  <c r="DA227" i="1"/>
  <c r="X227" i="1"/>
  <c r="P227" i="1"/>
  <c r="CL227" i="1"/>
  <c r="CJ227" i="1"/>
  <c r="AU227" i="1"/>
  <c r="CD227" i="1"/>
  <c r="AT227" i="1"/>
  <c r="CC227" i="1"/>
  <c r="AS227" i="1"/>
  <c r="CB227" i="1"/>
  <c r="AB227" i="1"/>
  <c r="AA227" i="1"/>
  <c r="CO227" i="1"/>
  <c r="AO227" i="1"/>
  <c r="CN227" i="1"/>
  <c r="AN227" i="1"/>
  <c r="BW227" i="1"/>
  <c r="BC227" i="1"/>
  <c r="W227" i="1"/>
  <c r="CY227" i="1"/>
  <c r="BB227" i="1"/>
  <c r="V227" i="1"/>
  <c r="BU227" i="1"/>
  <c r="N227" i="1"/>
  <c r="AK227" i="1"/>
  <c r="BT227" i="1"/>
  <c r="BS227" i="1"/>
  <c r="L227" i="1"/>
  <c r="AY227" i="1"/>
  <c r="CH227" i="1"/>
  <c r="BN227" i="1"/>
  <c r="AX227" i="1"/>
  <c r="AH227" i="1"/>
  <c r="CW227" i="1"/>
  <c r="CG227" i="1"/>
  <c r="BQ227" i="1"/>
  <c r="BL227" i="1"/>
  <c r="AF227" i="1"/>
  <c r="CE227" i="1"/>
  <c r="BK227" i="1"/>
  <c r="AE227" i="1"/>
  <c r="BJ227" i="1"/>
  <c r="CS227" i="1"/>
  <c r="AC227" i="1"/>
  <c r="BH227" i="1"/>
  <c r="CQ227" i="1"/>
  <c r="AQ227" i="1"/>
  <c r="BZ227" i="1"/>
  <c r="AP227" i="1"/>
  <c r="Z227" i="1"/>
  <c r="DB227" i="1"/>
  <c r="Y227" i="1"/>
  <c r="BX227" i="1"/>
  <c r="BD227" i="1"/>
  <c r="CM227" i="1"/>
  <c r="CZ227" i="1"/>
  <c r="AM227" i="1"/>
  <c r="BV227" i="1"/>
  <c r="O227" i="1"/>
  <c r="AL227" i="1"/>
  <c r="CK227" i="1"/>
  <c r="CX227" i="1"/>
  <c r="BA227" i="1"/>
  <c r="U227" i="1"/>
  <c r="M227" i="1"/>
  <c r="AZ227" i="1"/>
  <c r="AJ227" i="1"/>
  <c r="CI227" i="1"/>
  <c r="AI227" i="1"/>
  <c r="BR227" i="1"/>
  <c r="BM227" i="1"/>
  <c r="AW227" i="1"/>
  <c r="AG227" i="1"/>
  <c r="CV227" i="1"/>
  <c r="CF227" i="1"/>
  <c r="DI164" i="1"/>
  <c r="DJ164" i="1" s="1"/>
  <c r="DK164" i="1" s="1"/>
  <c r="DL164" i="1" s="1"/>
  <c r="DM164" i="1" s="1"/>
  <c r="DN164" i="1" s="1"/>
  <c r="DO164" i="1" s="1"/>
  <c r="DP164" i="1" s="1"/>
  <c r="DQ164" i="1" s="1"/>
  <c r="DR164" i="1" s="1"/>
  <c r="DS164" i="1" s="1"/>
  <c r="DT164" i="1" s="1"/>
  <c r="DU164" i="1" s="1"/>
  <c r="DV164" i="1" s="1"/>
  <c r="DW164" i="1" s="1"/>
  <c r="DX164" i="1" s="1"/>
  <c r="DY164" i="1" s="1"/>
  <c r="DZ164" i="1" s="1"/>
  <c r="EA164" i="1" s="1"/>
  <c r="EB164" i="1" s="1"/>
  <c r="EC164" i="1" s="1"/>
  <c r="ED164" i="1" s="1"/>
  <c r="EE164" i="1" s="1"/>
  <c r="EF164" i="1" s="1"/>
  <c r="EG164" i="1" s="1"/>
  <c r="EH164" i="1" s="1"/>
  <c r="EI164" i="1" s="1"/>
  <c r="EJ164" i="1" s="1"/>
  <c r="EK164" i="1" s="1"/>
  <c r="EL164" i="1" s="1"/>
  <c r="EM164" i="1" s="1"/>
  <c r="EN164" i="1" s="1"/>
  <c r="EO164" i="1" s="1"/>
  <c r="EP164" i="1" s="1"/>
  <c r="EQ164" i="1" s="1"/>
  <c r="ER164" i="1" s="1"/>
  <c r="ES164" i="1" s="1"/>
  <c r="ET164" i="1" s="1"/>
  <c r="EU164" i="1" s="1"/>
  <c r="EV164" i="1" s="1"/>
  <c r="EW164" i="1" s="1"/>
  <c r="EX164" i="1" s="1"/>
  <c r="EY164" i="1" s="1"/>
  <c r="EZ164" i="1" s="1"/>
  <c r="FA164" i="1" s="1"/>
  <c r="FB164" i="1" s="1"/>
  <c r="FC164" i="1" s="1"/>
  <c r="FD164" i="1" s="1"/>
  <c r="FE164" i="1" s="1"/>
  <c r="FF164" i="1" s="1"/>
  <c r="FG164" i="1" s="1"/>
  <c r="FH164" i="1" s="1"/>
  <c r="FI164" i="1" s="1"/>
  <c r="FJ164" i="1" s="1"/>
  <c r="FK164" i="1" s="1"/>
  <c r="FL164" i="1" s="1"/>
  <c r="FM164" i="1" s="1"/>
  <c r="FN164" i="1" s="1"/>
  <c r="FO164" i="1" s="1"/>
  <c r="FP164" i="1" s="1"/>
  <c r="FQ164" i="1" s="1"/>
  <c r="FR164" i="1" s="1"/>
  <c r="FS164" i="1" s="1"/>
  <c r="FT164" i="1" s="1"/>
  <c r="FU164" i="1" s="1"/>
  <c r="FV164" i="1" s="1"/>
  <c r="FW164" i="1" s="1"/>
  <c r="FX164" i="1" s="1"/>
  <c r="FY164" i="1" s="1"/>
  <c r="FZ164" i="1" s="1"/>
  <c r="GA164" i="1" s="1"/>
  <c r="GB164" i="1" s="1"/>
  <c r="GC164" i="1" s="1"/>
  <c r="GD164" i="1" s="1"/>
  <c r="GE164" i="1" s="1"/>
  <c r="GF164" i="1" s="1"/>
  <c r="GG164" i="1" s="1"/>
  <c r="GH164" i="1" s="1"/>
  <c r="GI164" i="1" s="1"/>
  <c r="GJ164" i="1" s="1"/>
  <c r="GK164" i="1" s="1"/>
  <c r="GL164" i="1" s="1"/>
  <c r="GM164" i="1" s="1"/>
  <c r="GN164" i="1" s="1"/>
  <c r="GO164" i="1" s="1"/>
  <c r="GP164" i="1" s="1"/>
  <c r="GQ164" i="1" s="1"/>
  <c r="DG164" i="1"/>
  <c r="G231" i="1"/>
  <c r="H231" i="1" s="1"/>
  <c r="I231" i="1" s="1"/>
  <c r="J231" i="1" s="1"/>
  <c r="K231" i="1" s="1"/>
  <c r="CW164" i="1"/>
  <c r="CX164" i="1"/>
  <c r="CY164" i="1"/>
  <c r="CZ164" i="1"/>
  <c r="DA164" i="1"/>
  <c r="DB164" i="1"/>
  <c r="DC164" i="1"/>
  <c r="DD164" i="1"/>
  <c r="DE164" i="1"/>
  <c r="DF164" i="1"/>
  <c r="H227" i="1"/>
  <c r="I227" i="1"/>
  <c r="J227" i="1"/>
  <c r="K227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BF164" i="1"/>
  <c r="BG164" i="1"/>
  <c r="BH164" i="1"/>
  <c r="BI164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CD164" i="1"/>
  <c r="CE164" i="1"/>
  <c r="CF164" i="1"/>
  <c r="CG164" i="1"/>
  <c r="CH164" i="1"/>
  <c r="CI164" i="1"/>
  <c r="CJ164" i="1"/>
  <c r="CK164" i="1"/>
  <c r="CL164" i="1"/>
  <c r="CM164" i="1"/>
  <c r="CN164" i="1"/>
  <c r="CO164" i="1"/>
  <c r="CP164" i="1"/>
  <c r="CQ164" i="1"/>
  <c r="CR164" i="1"/>
  <c r="CS164" i="1"/>
  <c r="CT164" i="1"/>
  <c r="CU164" i="1"/>
  <c r="CV164" i="1"/>
  <c r="G227" i="1"/>
  <c r="G226" i="1"/>
  <c r="H226" i="1" s="1"/>
  <c r="I226" i="1" s="1"/>
  <c r="J226" i="1" s="1"/>
  <c r="K226" i="1" s="1"/>
  <c r="D223" i="1"/>
  <c r="D217" i="1"/>
  <c r="G228" i="1" l="1"/>
  <c r="Q168" i="1"/>
  <c r="R168" i="1" s="1"/>
  <c r="S168" i="1" s="1"/>
  <c r="T168" i="1" s="1"/>
  <c r="U168" i="1" s="1"/>
  <c r="V168" i="1" s="1"/>
  <c r="W168" i="1" s="1"/>
  <c r="X168" i="1" s="1"/>
  <c r="Y168" i="1" s="1"/>
  <c r="Z168" i="1" s="1"/>
  <c r="AA168" i="1" s="1"/>
  <c r="AB168" i="1" s="1"/>
  <c r="AC168" i="1" s="1"/>
  <c r="AD168" i="1" s="1"/>
  <c r="AE168" i="1" s="1"/>
  <c r="AF168" i="1" s="1"/>
  <c r="AG168" i="1" s="1"/>
  <c r="AH168" i="1" s="1"/>
  <c r="AI168" i="1" s="1"/>
  <c r="AJ168" i="1" s="1"/>
  <c r="AK168" i="1" s="1"/>
  <c r="AL168" i="1" s="1"/>
  <c r="AM168" i="1" s="1"/>
  <c r="AN168" i="1" s="1"/>
  <c r="AO168" i="1" s="1"/>
  <c r="AP168" i="1" s="1"/>
  <c r="AQ168" i="1" s="1"/>
  <c r="AR168" i="1" s="1"/>
  <c r="AS168" i="1" s="1"/>
  <c r="AT168" i="1" s="1"/>
  <c r="AU168" i="1" s="1"/>
  <c r="AV168" i="1" s="1"/>
  <c r="AW168" i="1" s="1"/>
  <c r="AX168" i="1" s="1"/>
  <c r="AY168" i="1" s="1"/>
  <c r="AZ168" i="1" s="1"/>
  <c r="BA168" i="1" s="1"/>
  <c r="BB168" i="1" s="1"/>
  <c r="BC168" i="1" s="1"/>
  <c r="BD168" i="1" s="1"/>
  <c r="BE168" i="1" s="1"/>
  <c r="BF168" i="1" s="1"/>
  <c r="BG168" i="1" s="1"/>
  <c r="BH168" i="1" s="1"/>
  <c r="BI168" i="1" s="1"/>
  <c r="BJ168" i="1" s="1"/>
  <c r="BK168" i="1" s="1"/>
  <c r="BL168" i="1" s="1"/>
  <c r="BM168" i="1" s="1"/>
  <c r="BN168" i="1" s="1"/>
  <c r="BO168" i="1" s="1"/>
  <c r="BP168" i="1" s="1"/>
  <c r="BQ168" i="1" s="1"/>
  <c r="BR168" i="1" s="1"/>
  <c r="BS168" i="1" s="1"/>
  <c r="BT168" i="1" s="1"/>
  <c r="BU168" i="1" s="1"/>
  <c r="BV168" i="1" s="1"/>
  <c r="BW168" i="1" s="1"/>
  <c r="BX168" i="1" s="1"/>
  <c r="BY168" i="1" s="1"/>
  <c r="BZ168" i="1" s="1"/>
  <c r="CA168" i="1" s="1"/>
  <c r="CB168" i="1" s="1"/>
  <c r="CC168" i="1" s="1"/>
  <c r="CD168" i="1" s="1"/>
  <c r="CE168" i="1" s="1"/>
  <c r="CF168" i="1" s="1"/>
  <c r="CG168" i="1" s="1"/>
  <c r="CH168" i="1" s="1"/>
  <c r="CI168" i="1" s="1"/>
  <c r="CJ168" i="1" s="1"/>
  <c r="CK168" i="1" s="1"/>
  <c r="CL168" i="1" s="1"/>
  <c r="CM168" i="1" s="1"/>
  <c r="CN168" i="1" s="1"/>
  <c r="CO168" i="1" s="1"/>
  <c r="CP168" i="1" s="1"/>
  <c r="CQ168" i="1" s="1"/>
  <c r="CR168" i="1" s="1"/>
  <c r="CS168" i="1" s="1"/>
  <c r="CT168" i="1" s="1"/>
  <c r="CU168" i="1" s="1"/>
  <c r="CV168" i="1" s="1"/>
  <c r="CW168" i="1" s="1"/>
  <c r="CX168" i="1" s="1"/>
  <c r="CY168" i="1" s="1"/>
  <c r="CZ168" i="1" s="1"/>
  <c r="DA168" i="1" s="1"/>
  <c r="DB168" i="1" s="1"/>
  <c r="DC168" i="1" s="1"/>
  <c r="DD168" i="1" s="1"/>
  <c r="DE168" i="1" s="1"/>
  <c r="DF168" i="1" s="1"/>
  <c r="DG168" i="1" s="1"/>
  <c r="DH168" i="1" s="1"/>
  <c r="DI168" i="1" s="1"/>
  <c r="DJ168" i="1" s="1"/>
  <c r="DK168" i="1" s="1"/>
  <c r="DL168" i="1" s="1"/>
  <c r="DM168" i="1" s="1"/>
  <c r="DN168" i="1" s="1"/>
  <c r="DO168" i="1" s="1"/>
  <c r="DP168" i="1" s="1"/>
  <c r="DQ168" i="1" s="1"/>
  <c r="DR168" i="1" s="1"/>
  <c r="DS168" i="1" s="1"/>
  <c r="DT168" i="1" s="1"/>
  <c r="DU168" i="1" s="1"/>
  <c r="DV168" i="1" s="1"/>
  <c r="DW168" i="1" s="1"/>
  <c r="DX168" i="1" s="1"/>
  <c r="DY168" i="1" s="1"/>
  <c r="DZ168" i="1" s="1"/>
  <c r="EA168" i="1" s="1"/>
  <c r="EB168" i="1" s="1"/>
  <c r="EC168" i="1" s="1"/>
  <c r="ED168" i="1" s="1"/>
  <c r="EE168" i="1" s="1"/>
  <c r="EF168" i="1" s="1"/>
  <c r="EG168" i="1" s="1"/>
  <c r="EH168" i="1" s="1"/>
  <c r="EI168" i="1" s="1"/>
  <c r="EJ168" i="1" s="1"/>
  <c r="EK168" i="1" s="1"/>
  <c r="EL168" i="1" s="1"/>
  <c r="EM168" i="1" s="1"/>
  <c r="EN168" i="1" s="1"/>
  <c r="EO168" i="1" s="1"/>
  <c r="EP168" i="1" s="1"/>
  <c r="EQ168" i="1" s="1"/>
  <c r="ER168" i="1" s="1"/>
  <c r="ES168" i="1" s="1"/>
  <c r="ET168" i="1" s="1"/>
  <c r="EU168" i="1" s="1"/>
  <c r="EV168" i="1" s="1"/>
  <c r="EW168" i="1" s="1"/>
  <c r="EX168" i="1" s="1"/>
  <c r="EY168" i="1" s="1"/>
  <c r="EZ168" i="1" s="1"/>
  <c r="FA168" i="1" s="1"/>
  <c r="FB168" i="1" s="1"/>
  <c r="FC168" i="1" s="1"/>
  <c r="FD168" i="1" s="1"/>
  <c r="FE168" i="1" s="1"/>
  <c r="FF168" i="1" s="1"/>
  <c r="FG168" i="1" s="1"/>
  <c r="FH168" i="1" s="1"/>
  <c r="FI168" i="1" s="1"/>
  <c r="FJ168" i="1" s="1"/>
  <c r="FK168" i="1" s="1"/>
  <c r="FL168" i="1" s="1"/>
  <c r="FM168" i="1" s="1"/>
  <c r="FN168" i="1" s="1"/>
  <c r="FO168" i="1" s="1"/>
  <c r="FP168" i="1" s="1"/>
  <c r="FQ168" i="1" s="1"/>
  <c r="FR168" i="1" s="1"/>
  <c r="FS168" i="1" s="1"/>
  <c r="FT168" i="1" s="1"/>
  <c r="FU168" i="1" s="1"/>
  <c r="FV168" i="1" s="1"/>
  <c r="FW168" i="1" s="1"/>
  <c r="FX168" i="1" s="1"/>
  <c r="FY168" i="1" s="1"/>
  <c r="FZ168" i="1" s="1"/>
  <c r="GA168" i="1" s="1"/>
  <c r="GB168" i="1" s="1"/>
  <c r="GC168" i="1" s="1"/>
  <c r="GD168" i="1" s="1"/>
  <c r="GE168" i="1" s="1"/>
  <c r="GF168" i="1" s="1"/>
  <c r="GG168" i="1" s="1"/>
  <c r="GH168" i="1" s="1"/>
  <c r="GI168" i="1" s="1"/>
  <c r="GJ168" i="1" s="1"/>
  <c r="GK168" i="1" s="1"/>
  <c r="GL168" i="1" s="1"/>
  <c r="GM168" i="1" s="1"/>
  <c r="GN168" i="1" s="1"/>
  <c r="GO168" i="1" s="1"/>
  <c r="GP168" i="1" s="1"/>
  <c r="GQ168" i="1" s="1"/>
  <c r="L231" i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AG231" i="1" s="1"/>
  <c r="AH231" i="1" s="1"/>
  <c r="AI231" i="1" s="1"/>
  <c r="AJ231" i="1" s="1"/>
  <c r="AK231" i="1" s="1"/>
  <c r="AL231" i="1" s="1"/>
  <c r="AM231" i="1" s="1"/>
  <c r="AN231" i="1" s="1"/>
  <c r="AO231" i="1" s="1"/>
  <c r="AP231" i="1" s="1"/>
  <c r="AQ231" i="1" s="1"/>
  <c r="AR231" i="1" s="1"/>
  <c r="AS231" i="1" s="1"/>
  <c r="AT231" i="1" s="1"/>
  <c r="AU231" i="1" s="1"/>
  <c r="AV231" i="1" s="1"/>
  <c r="AW231" i="1" s="1"/>
  <c r="AX231" i="1" s="1"/>
  <c r="AY231" i="1" s="1"/>
  <c r="AZ231" i="1" s="1"/>
  <c r="BA231" i="1" s="1"/>
  <c r="BB231" i="1" s="1"/>
  <c r="BC231" i="1" s="1"/>
  <c r="BD231" i="1" s="1"/>
  <c r="BE231" i="1" s="1"/>
  <c r="BF231" i="1" s="1"/>
  <c r="BG231" i="1" s="1"/>
  <c r="BH231" i="1" s="1"/>
  <c r="BI231" i="1" s="1"/>
  <c r="BJ231" i="1" s="1"/>
  <c r="BK231" i="1" s="1"/>
  <c r="BL231" i="1" s="1"/>
  <c r="BM231" i="1" s="1"/>
  <c r="BN231" i="1" s="1"/>
  <c r="BO231" i="1" s="1"/>
  <c r="BP231" i="1" s="1"/>
  <c r="BQ231" i="1" s="1"/>
  <c r="BR231" i="1" s="1"/>
  <c r="BS231" i="1" s="1"/>
  <c r="BT231" i="1" s="1"/>
  <c r="BU231" i="1" s="1"/>
  <c r="BV231" i="1" s="1"/>
  <c r="BW231" i="1" s="1"/>
  <c r="BX231" i="1" s="1"/>
  <c r="BY231" i="1" s="1"/>
  <c r="BZ231" i="1" s="1"/>
  <c r="CA231" i="1" s="1"/>
  <c r="CB231" i="1" s="1"/>
  <c r="CC231" i="1" s="1"/>
  <c r="CD231" i="1" s="1"/>
  <c r="CE231" i="1" s="1"/>
  <c r="CF231" i="1" s="1"/>
  <c r="CG231" i="1" s="1"/>
  <c r="CH231" i="1" s="1"/>
  <c r="CI231" i="1" s="1"/>
  <c r="CJ231" i="1" s="1"/>
  <c r="CK231" i="1" s="1"/>
  <c r="CL231" i="1" s="1"/>
  <c r="CM231" i="1" s="1"/>
  <c r="CN231" i="1" s="1"/>
  <c r="CO231" i="1" s="1"/>
  <c r="CP231" i="1" s="1"/>
  <c r="CQ231" i="1" s="1"/>
  <c r="CR231" i="1" s="1"/>
  <c r="CS231" i="1" s="1"/>
  <c r="CT231" i="1" s="1"/>
  <c r="CU231" i="1" s="1"/>
  <c r="CV231" i="1" s="1"/>
  <c r="CW231" i="1" s="1"/>
  <c r="CX231" i="1" s="1"/>
  <c r="CY231" i="1" s="1"/>
  <c r="CZ231" i="1" s="1"/>
  <c r="DA231" i="1" s="1"/>
  <c r="DB231" i="1" s="1"/>
  <c r="Q163" i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AG163" i="1" s="1"/>
  <c r="AH163" i="1" s="1"/>
  <c r="AI163" i="1" s="1"/>
  <c r="AJ163" i="1" s="1"/>
  <c r="AK163" i="1" s="1"/>
  <c r="AL163" i="1" s="1"/>
  <c r="AM163" i="1" s="1"/>
  <c r="AN163" i="1" s="1"/>
  <c r="AO163" i="1" s="1"/>
  <c r="AP163" i="1" s="1"/>
  <c r="AQ163" i="1" s="1"/>
  <c r="AR163" i="1" s="1"/>
  <c r="AS163" i="1" s="1"/>
  <c r="AT163" i="1" s="1"/>
  <c r="AU163" i="1" s="1"/>
  <c r="AV163" i="1" s="1"/>
  <c r="AW163" i="1" s="1"/>
  <c r="AX163" i="1" s="1"/>
  <c r="AY163" i="1" s="1"/>
  <c r="AZ163" i="1" s="1"/>
  <c r="BA163" i="1" s="1"/>
  <c r="BB163" i="1" s="1"/>
  <c r="BC163" i="1" s="1"/>
  <c r="BD163" i="1" s="1"/>
  <c r="BE163" i="1" s="1"/>
  <c r="BF163" i="1" s="1"/>
  <c r="BG163" i="1" s="1"/>
  <c r="BH163" i="1" s="1"/>
  <c r="BI163" i="1" s="1"/>
  <c r="BJ163" i="1" s="1"/>
  <c r="BK163" i="1" s="1"/>
  <c r="BL163" i="1" s="1"/>
  <c r="BM163" i="1" s="1"/>
  <c r="BN163" i="1" s="1"/>
  <c r="BO163" i="1" s="1"/>
  <c r="BP163" i="1" s="1"/>
  <c r="BQ163" i="1" s="1"/>
  <c r="BR163" i="1" s="1"/>
  <c r="BS163" i="1" s="1"/>
  <c r="BT163" i="1" s="1"/>
  <c r="BU163" i="1" s="1"/>
  <c r="BV163" i="1" s="1"/>
  <c r="BW163" i="1" s="1"/>
  <c r="BX163" i="1" s="1"/>
  <c r="BY163" i="1" s="1"/>
  <c r="BZ163" i="1" s="1"/>
  <c r="CA163" i="1" s="1"/>
  <c r="CB163" i="1" s="1"/>
  <c r="CC163" i="1" s="1"/>
  <c r="CD163" i="1" s="1"/>
  <c r="CE163" i="1" s="1"/>
  <c r="CF163" i="1" s="1"/>
  <c r="CG163" i="1" s="1"/>
  <c r="CH163" i="1" s="1"/>
  <c r="CI163" i="1" s="1"/>
  <c r="CJ163" i="1" s="1"/>
  <c r="CK163" i="1" s="1"/>
  <c r="CL163" i="1" s="1"/>
  <c r="CM163" i="1" s="1"/>
  <c r="CN163" i="1" s="1"/>
  <c r="CO163" i="1" s="1"/>
  <c r="CP163" i="1" s="1"/>
  <c r="CQ163" i="1" s="1"/>
  <c r="CR163" i="1" s="1"/>
  <c r="CS163" i="1" s="1"/>
  <c r="CT163" i="1" s="1"/>
  <c r="CU163" i="1" s="1"/>
  <c r="CV163" i="1" s="1"/>
  <c r="CW163" i="1" s="1"/>
  <c r="CX163" i="1" s="1"/>
  <c r="CY163" i="1" s="1"/>
  <c r="CZ163" i="1" s="1"/>
  <c r="DA163" i="1" s="1"/>
  <c r="DB163" i="1" s="1"/>
  <c r="DC163" i="1" s="1"/>
  <c r="DD163" i="1" s="1"/>
  <c r="DE163" i="1" s="1"/>
  <c r="DF163" i="1" s="1"/>
  <c r="DG163" i="1" s="1"/>
  <c r="DH163" i="1" s="1"/>
  <c r="DI163" i="1" s="1"/>
  <c r="DJ163" i="1" s="1"/>
  <c r="DK163" i="1" s="1"/>
  <c r="DL163" i="1" s="1"/>
  <c r="DM163" i="1" s="1"/>
  <c r="DN163" i="1" s="1"/>
  <c r="DO163" i="1" s="1"/>
  <c r="DP163" i="1" s="1"/>
  <c r="DQ163" i="1" s="1"/>
  <c r="DR163" i="1" s="1"/>
  <c r="DS163" i="1" s="1"/>
  <c r="DT163" i="1" s="1"/>
  <c r="DU163" i="1" s="1"/>
  <c r="DV163" i="1" s="1"/>
  <c r="DW163" i="1" s="1"/>
  <c r="DX163" i="1" s="1"/>
  <c r="DY163" i="1" s="1"/>
  <c r="DZ163" i="1" s="1"/>
  <c r="EA163" i="1" s="1"/>
  <c r="EB163" i="1" s="1"/>
  <c r="EC163" i="1" s="1"/>
  <c r="ED163" i="1" s="1"/>
  <c r="EE163" i="1" s="1"/>
  <c r="EF163" i="1" s="1"/>
  <c r="EG163" i="1" s="1"/>
  <c r="EH163" i="1" s="1"/>
  <c r="EI163" i="1" s="1"/>
  <c r="EJ163" i="1" s="1"/>
  <c r="EK163" i="1" s="1"/>
  <c r="EL163" i="1" s="1"/>
  <c r="EM163" i="1" s="1"/>
  <c r="EN163" i="1" s="1"/>
  <c r="EO163" i="1" s="1"/>
  <c r="EP163" i="1" s="1"/>
  <c r="EQ163" i="1" s="1"/>
  <c r="ER163" i="1" s="1"/>
  <c r="ES163" i="1" s="1"/>
  <c r="ET163" i="1" s="1"/>
  <c r="EU163" i="1" s="1"/>
  <c r="EV163" i="1" s="1"/>
  <c r="EW163" i="1" s="1"/>
  <c r="EX163" i="1" s="1"/>
  <c r="EY163" i="1" s="1"/>
  <c r="EZ163" i="1" s="1"/>
  <c r="FA163" i="1" s="1"/>
  <c r="FB163" i="1" s="1"/>
  <c r="FC163" i="1" s="1"/>
  <c r="FD163" i="1" s="1"/>
  <c r="FE163" i="1" s="1"/>
  <c r="FF163" i="1" s="1"/>
  <c r="FG163" i="1" s="1"/>
  <c r="FH163" i="1" s="1"/>
  <c r="FI163" i="1" s="1"/>
  <c r="FJ163" i="1" s="1"/>
  <c r="FK163" i="1" s="1"/>
  <c r="FL163" i="1" s="1"/>
  <c r="FM163" i="1" s="1"/>
  <c r="FN163" i="1" s="1"/>
  <c r="FO163" i="1" s="1"/>
  <c r="FP163" i="1" s="1"/>
  <c r="FQ163" i="1" s="1"/>
  <c r="FR163" i="1" s="1"/>
  <c r="FS163" i="1" s="1"/>
  <c r="FT163" i="1" s="1"/>
  <c r="FU163" i="1" s="1"/>
  <c r="FV163" i="1" s="1"/>
  <c r="FW163" i="1" s="1"/>
  <c r="FX163" i="1" s="1"/>
  <c r="FY163" i="1" s="1"/>
  <c r="FZ163" i="1" s="1"/>
  <c r="GA163" i="1" s="1"/>
  <c r="GB163" i="1" s="1"/>
  <c r="GC163" i="1" s="1"/>
  <c r="GD163" i="1" s="1"/>
  <c r="GE163" i="1" s="1"/>
  <c r="GF163" i="1" s="1"/>
  <c r="GG163" i="1" s="1"/>
  <c r="GH163" i="1" s="1"/>
  <c r="GI163" i="1" s="1"/>
  <c r="GJ163" i="1" s="1"/>
  <c r="GK163" i="1" s="1"/>
  <c r="GL163" i="1" s="1"/>
  <c r="GM163" i="1" s="1"/>
  <c r="GN163" i="1" s="1"/>
  <c r="GO163" i="1" s="1"/>
  <c r="GP163" i="1" s="1"/>
  <c r="GQ163" i="1" s="1"/>
  <c r="L226" i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W226" i="1" s="1"/>
  <c r="X226" i="1" s="1"/>
  <c r="Y226" i="1" s="1"/>
  <c r="Z226" i="1" s="1"/>
  <c r="AA226" i="1" s="1"/>
  <c r="AB226" i="1" s="1"/>
  <c r="AC226" i="1" s="1"/>
  <c r="AD226" i="1" s="1"/>
  <c r="AE226" i="1" s="1"/>
  <c r="AF226" i="1" s="1"/>
  <c r="AG226" i="1" s="1"/>
  <c r="AH226" i="1" s="1"/>
  <c r="AI226" i="1" s="1"/>
  <c r="AJ226" i="1" s="1"/>
  <c r="AK226" i="1" s="1"/>
  <c r="AL226" i="1" s="1"/>
  <c r="AM226" i="1" s="1"/>
  <c r="AN226" i="1" s="1"/>
  <c r="AO226" i="1" s="1"/>
  <c r="AP226" i="1" s="1"/>
  <c r="AQ226" i="1" s="1"/>
  <c r="AR226" i="1" s="1"/>
  <c r="AS226" i="1" s="1"/>
  <c r="AT226" i="1" s="1"/>
  <c r="AU226" i="1" s="1"/>
  <c r="AV226" i="1" s="1"/>
  <c r="AW226" i="1" s="1"/>
  <c r="AX226" i="1" s="1"/>
  <c r="AY226" i="1" s="1"/>
  <c r="AZ226" i="1" s="1"/>
  <c r="BA226" i="1" s="1"/>
  <c r="BB226" i="1" s="1"/>
  <c r="BC226" i="1" s="1"/>
  <c r="BD226" i="1" s="1"/>
  <c r="BE226" i="1" s="1"/>
  <c r="BF226" i="1" s="1"/>
  <c r="BG226" i="1" s="1"/>
  <c r="BH226" i="1" s="1"/>
  <c r="BI226" i="1" s="1"/>
  <c r="BJ226" i="1" s="1"/>
  <c r="BK226" i="1" s="1"/>
  <c r="BL226" i="1" s="1"/>
  <c r="BM226" i="1" s="1"/>
  <c r="BN226" i="1" s="1"/>
  <c r="BO226" i="1" s="1"/>
  <c r="BP226" i="1" s="1"/>
  <c r="BQ226" i="1" s="1"/>
  <c r="BR226" i="1" s="1"/>
  <c r="BS226" i="1" s="1"/>
  <c r="BT226" i="1" s="1"/>
  <c r="BU226" i="1" s="1"/>
  <c r="BV226" i="1" s="1"/>
  <c r="BW226" i="1" s="1"/>
  <c r="BX226" i="1" s="1"/>
  <c r="BY226" i="1" s="1"/>
  <c r="BZ226" i="1" s="1"/>
  <c r="CA226" i="1" s="1"/>
  <c r="CB226" i="1" s="1"/>
  <c r="CC226" i="1" s="1"/>
  <c r="CD226" i="1" s="1"/>
  <c r="CE226" i="1" s="1"/>
  <c r="CF226" i="1" s="1"/>
  <c r="CG226" i="1" s="1"/>
  <c r="CH226" i="1" s="1"/>
  <c r="CI226" i="1" s="1"/>
  <c r="CJ226" i="1" s="1"/>
  <c r="CK226" i="1" s="1"/>
  <c r="CL226" i="1" s="1"/>
  <c r="CM226" i="1" s="1"/>
  <c r="CN226" i="1" s="1"/>
  <c r="CO226" i="1" s="1"/>
  <c r="CP226" i="1" s="1"/>
  <c r="CQ226" i="1" s="1"/>
  <c r="CR226" i="1" s="1"/>
  <c r="CS226" i="1" s="1"/>
  <c r="CT226" i="1" s="1"/>
  <c r="CU226" i="1" s="1"/>
  <c r="CV226" i="1" s="1"/>
  <c r="CW226" i="1" s="1"/>
  <c r="CX226" i="1" s="1"/>
  <c r="CY226" i="1" s="1"/>
  <c r="CZ226" i="1" s="1"/>
  <c r="DA226" i="1" s="1"/>
  <c r="DB226" i="1" s="1"/>
  <c r="D120" i="1"/>
  <c r="D82" i="1"/>
  <c r="D83" i="1"/>
  <c r="D216" i="1" s="1"/>
  <c r="D224" i="1" s="1"/>
  <c r="D84" i="1"/>
  <c r="D86" i="1"/>
  <c r="D85" i="1"/>
  <c r="D63" i="1"/>
  <c r="D64" i="1"/>
  <c r="D67" i="1"/>
  <c r="D71" i="1" s="1"/>
  <c r="D73" i="1"/>
  <c r="D30" i="1"/>
  <c r="D31" i="1"/>
  <c r="D52" i="1" s="1"/>
  <c r="D24" i="1"/>
  <c r="D36" i="1" s="1"/>
  <c r="D35" i="1"/>
  <c r="G233" i="1" l="1"/>
  <c r="G230" i="1"/>
  <c r="G232" i="1" s="1"/>
  <c r="D87" i="1"/>
  <c r="D88" i="1"/>
  <c r="D53" i="1"/>
  <c r="D77" i="1"/>
  <c r="D75" i="1"/>
  <c r="D76" i="1" s="1"/>
  <c r="D72" i="1"/>
  <c r="D37" i="1"/>
  <c r="D90" i="1" l="1"/>
  <c r="D91" i="1" s="1"/>
  <c r="D92" i="1" s="1"/>
  <c r="D89" i="1"/>
  <c r="D113" i="1"/>
  <c r="D465" i="1" l="1"/>
  <c r="E749" i="1" l="1"/>
  <c r="E748" i="1"/>
  <c r="E752" i="1" l="1"/>
  <c r="E753" i="1" s="1"/>
  <c r="E735" i="1"/>
  <c r="E729" i="1"/>
  <c r="E731" i="1" s="1"/>
  <c r="D333" i="1"/>
  <c r="D401" i="1" s="1"/>
  <c r="D331" i="1"/>
  <c r="E742" i="1"/>
  <c r="D403" i="1" s="1"/>
  <c r="D405" i="1" s="1"/>
  <c r="D402" i="1"/>
  <c r="F737" i="1"/>
  <c r="E726" i="1"/>
  <c r="D406" i="1" l="1"/>
  <c r="E730" i="1"/>
  <c r="E732" i="1"/>
  <c r="G726" i="1"/>
  <c r="N726" i="1"/>
  <c r="M726" i="1"/>
  <c r="L726" i="1"/>
  <c r="K726" i="1"/>
  <c r="J726" i="1"/>
  <c r="I726" i="1"/>
  <c r="H726" i="1"/>
  <c r="D601" i="1"/>
  <c r="D610" i="1"/>
  <c r="D606" i="1"/>
  <c r="D605" i="1"/>
  <c r="D611" i="1"/>
  <c r="D577" i="1"/>
  <c r="D576" i="1"/>
  <c r="D572" i="1"/>
  <c r="D582" i="1" s="1"/>
  <c r="D615" i="1" l="1"/>
  <c r="D616" i="1" s="1"/>
  <c r="H734" i="1"/>
  <c r="H737" i="1" s="1"/>
  <c r="J734" i="1"/>
  <c r="J737" i="1" s="1"/>
  <c r="N734" i="1"/>
  <c r="N737" i="1" s="1"/>
  <c r="I734" i="1"/>
  <c r="I737" i="1" s="1"/>
  <c r="K734" i="1"/>
  <c r="K737" i="1" s="1"/>
  <c r="L734" i="1"/>
  <c r="L737" i="1" s="1"/>
  <c r="M734" i="1"/>
  <c r="M737" i="1" s="1"/>
  <c r="G734" i="1"/>
  <c r="G737" i="1" s="1"/>
  <c r="E734" i="1"/>
  <c r="E737" i="1" s="1"/>
  <c r="D607" i="1"/>
  <c r="D609" i="1"/>
  <c r="D617" i="1" s="1"/>
  <c r="D612" i="1"/>
  <c r="D580" i="1"/>
  <c r="D588" i="1" s="1"/>
  <c r="D578" i="1"/>
  <c r="D275" i="1"/>
  <c r="D276" i="1" s="1"/>
  <c r="D277" i="1" s="1"/>
  <c r="D288" i="1"/>
  <c r="D287" i="1"/>
  <c r="D289" i="1" s="1"/>
  <c r="D620" i="1" l="1"/>
  <c r="D614" i="1"/>
  <c r="D621" i="1" s="1"/>
  <c r="D618" i="1"/>
  <c r="D619" i="1"/>
  <c r="D291" i="1"/>
  <c r="D293" i="1" s="1"/>
  <c r="D290" i="1"/>
  <c r="D292" i="1" s="1"/>
  <c r="D294" i="1" s="1"/>
  <c r="D295" i="1" l="1"/>
  <c r="D119" i="1"/>
  <c r="AF135" i="1" l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P135" i="1"/>
  <c r="Q135" i="1"/>
  <c r="R135" i="1"/>
  <c r="O135" i="1"/>
  <c r="D188" i="1"/>
  <c r="D198" i="1" s="1"/>
  <c r="D116" i="1"/>
  <c r="D115" i="1"/>
  <c r="D114" i="1"/>
  <c r="D128" i="1" l="1"/>
  <c r="D126" i="1"/>
  <c r="D127" i="1" s="1"/>
  <c r="D139" i="1"/>
  <c r="D123" i="1"/>
  <c r="D344" i="1"/>
  <c r="D349" i="1" s="1"/>
  <c r="D354" i="1"/>
  <c r="D320" i="1"/>
  <c r="D319" i="1"/>
  <c r="D301" i="1"/>
  <c r="D378" i="1" s="1"/>
  <c r="D300" i="1"/>
  <c r="D316" i="1" s="1"/>
  <c r="D299" i="1"/>
  <c r="D339" i="1" s="1"/>
  <c r="D321" i="1" l="1"/>
  <c r="D323" i="1" s="1"/>
  <c r="D324" i="1" s="1"/>
  <c r="D345" i="1"/>
  <c r="D346" i="1" s="1"/>
  <c r="D347" i="1" s="1"/>
  <c r="D397" i="1"/>
  <c r="D398" i="1" s="1"/>
  <c r="D399" i="1" s="1"/>
  <c r="D310" i="1"/>
  <c r="D312" i="1" s="1"/>
  <c r="D326" i="1"/>
  <c r="D334" i="1" s="1"/>
  <c r="E713" i="1"/>
  <c r="E714" i="1" s="1"/>
  <c r="E716" i="1" s="1"/>
  <c r="E700" i="1"/>
  <c r="E701" i="1" s="1"/>
  <c r="E702" i="1" s="1"/>
  <c r="E706" i="1"/>
  <c r="E707" i="1" s="1"/>
  <c r="E709" i="1" s="1"/>
  <c r="E695" i="1"/>
  <c r="E696" i="1" s="1"/>
  <c r="E697" i="1" s="1"/>
  <c r="E690" i="1"/>
  <c r="E691" i="1" s="1"/>
  <c r="E692" i="1" s="1"/>
  <c r="C461" i="1"/>
  <c r="D386" i="1" l="1"/>
  <c r="D322" i="1"/>
  <c r="D350" i="1"/>
  <c r="D352" i="1" s="1"/>
  <c r="D327" i="1"/>
  <c r="D358" i="1" s="1"/>
  <c r="D359" i="1" s="1"/>
  <c r="D360" i="1" s="1"/>
  <c r="D365" i="1"/>
  <c r="D368" i="1" s="1"/>
  <c r="D376" i="1" s="1"/>
  <c r="D355" i="1"/>
  <c r="D356" i="1" s="1"/>
  <c r="D369" i="1"/>
  <c r="D335" i="1"/>
  <c r="D340" i="1" s="1"/>
  <c r="D391" i="1"/>
  <c r="E708" i="1"/>
  <c r="E715" i="1"/>
  <c r="D393" i="1" l="1"/>
  <c r="D395" i="1" s="1"/>
  <c r="D357" i="1"/>
  <c r="D425" i="1"/>
  <c r="D427" i="1"/>
  <c r="D452" i="1" s="1"/>
  <c r="D454" i="1" s="1"/>
  <c r="D430" i="1" l="1"/>
  <c r="D448" i="1" s="1"/>
  <c r="D455" i="1"/>
  <c r="C455" i="1"/>
  <c r="C457" i="1" s="1"/>
  <c r="C458" i="1" s="1"/>
  <c r="D426" i="1"/>
  <c r="E679" i="1"/>
  <c r="E681" i="1" s="1"/>
  <c r="E677" i="1"/>
  <c r="E672" i="1"/>
  <c r="H686" i="1" s="1"/>
  <c r="I686" i="1" s="1"/>
  <c r="J686" i="1" s="1"/>
  <c r="E455" i="1" l="1"/>
  <c r="D457" i="1"/>
  <c r="D458" i="1" s="1"/>
  <c r="D435" i="1"/>
  <c r="D436" i="1" s="1"/>
  <c r="D443" i="1"/>
  <c r="E678" i="1"/>
  <c r="E683" i="1"/>
  <c r="E684" i="1" s="1"/>
  <c r="H679" i="1"/>
  <c r="I679" i="1" s="1"/>
  <c r="J679" i="1" s="1"/>
  <c r="H680" i="1"/>
  <c r="I680" i="1" s="1"/>
  <c r="J680" i="1" s="1"/>
  <c r="H681" i="1"/>
  <c r="I681" i="1" s="1"/>
  <c r="J681" i="1" s="1"/>
  <c r="H687" i="1"/>
  <c r="I687" i="1" s="1"/>
  <c r="J687" i="1" s="1"/>
  <c r="H688" i="1"/>
  <c r="I688" i="1" s="1"/>
  <c r="J688" i="1" s="1"/>
  <c r="H689" i="1"/>
  <c r="I689" i="1" s="1"/>
  <c r="J689" i="1" s="1"/>
  <c r="H690" i="1"/>
  <c r="I690" i="1" s="1"/>
  <c r="J690" i="1" s="1"/>
  <c r="H691" i="1"/>
  <c r="I691" i="1" s="1"/>
  <c r="J691" i="1" s="1"/>
  <c r="H693" i="1"/>
  <c r="I693" i="1" s="1"/>
  <c r="J693" i="1" s="1"/>
  <c r="H684" i="1"/>
  <c r="I684" i="1" s="1"/>
  <c r="J684" i="1" s="1"/>
  <c r="H682" i="1"/>
  <c r="I682" i="1" s="1"/>
  <c r="J682" i="1" s="1"/>
  <c r="E674" i="1"/>
  <c r="H683" i="1"/>
  <c r="I683" i="1" s="1"/>
  <c r="J683" i="1" s="1"/>
  <c r="H685" i="1"/>
  <c r="I685" i="1" s="1"/>
  <c r="J685" i="1" s="1"/>
  <c r="D446" i="1" l="1"/>
  <c r="D463" i="1"/>
  <c r="D439" i="1"/>
  <c r="C459" i="1"/>
  <c r="D459" i="1"/>
  <c r="F455" i="1"/>
  <c r="E457" i="1"/>
  <c r="E458" i="1" s="1"/>
  <c r="E459" i="1" s="1"/>
  <c r="G455" i="1" l="1"/>
  <c r="F457" i="1"/>
  <c r="F458" i="1" s="1"/>
  <c r="F459" i="1" s="1"/>
  <c r="E645" i="1"/>
  <c r="E650" i="1" s="1"/>
  <c r="E651" i="1" s="1"/>
  <c r="E662" i="1"/>
  <c r="E663" i="1"/>
  <c r="E664" i="1" s="1"/>
  <c r="H455" i="1" l="1"/>
  <c r="G457" i="1"/>
  <c r="G458" i="1" s="1"/>
  <c r="G459" i="1" s="1"/>
  <c r="E666" i="1"/>
  <c r="E667" i="1" s="1"/>
  <c r="D544" i="1"/>
  <c r="D543" i="1"/>
  <c r="D537" i="1"/>
  <c r="D542" i="1" s="1"/>
  <c r="H457" i="1" l="1"/>
  <c r="H458" i="1" s="1"/>
  <c r="H459" i="1" s="1"/>
  <c r="I455" i="1"/>
  <c r="D547" i="1"/>
  <c r="D546" i="1"/>
  <c r="D624" i="1"/>
  <c r="D625" i="1" s="1"/>
  <c r="D626" i="1" s="1"/>
  <c r="D581" i="1"/>
  <c r="D414" i="1"/>
  <c r="D413" i="1"/>
  <c r="D586" i="1" l="1"/>
  <c r="D587" i="1" s="1"/>
  <c r="D585" i="1"/>
  <c r="D594" i="1" s="1"/>
  <c r="I457" i="1"/>
  <c r="I458" i="1" s="1"/>
  <c r="I459" i="1" s="1"/>
  <c r="J455" i="1"/>
  <c r="D583" i="1"/>
  <c r="D416" i="1"/>
  <c r="D591" i="1" l="1"/>
  <c r="D593" i="1"/>
  <c r="D590" i="1"/>
  <c r="D589" i="1"/>
  <c r="K455" i="1"/>
  <c r="J457" i="1"/>
  <c r="J458" i="1" s="1"/>
  <c r="J459" i="1" s="1"/>
  <c r="F557" i="1"/>
  <c r="G557" i="1"/>
  <c r="H557" i="1"/>
  <c r="F558" i="1"/>
  <c r="G558" i="1"/>
  <c r="H558" i="1"/>
  <c r="E560" i="1"/>
  <c r="F560" i="1"/>
  <c r="F562" i="1" s="1"/>
  <c r="G560" i="1"/>
  <c r="G562" i="1" s="1"/>
  <c r="H560" i="1"/>
  <c r="H561" i="1" s="1"/>
  <c r="D560" i="1"/>
  <c r="E551" i="1"/>
  <c r="E554" i="1" s="1"/>
  <c r="J554" i="1"/>
  <c r="F555" i="1"/>
  <c r="G555" i="1"/>
  <c r="H555" i="1"/>
  <c r="I555" i="1"/>
  <c r="H554" i="1"/>
  <c r="I554" i="1"/>
  <c r="F554" i="1"/>
  <c r="G554" i="1"/>
  <c r="F561" i="1" l="1"/>
  <c r="L455" i="1"/>
  <c r="K457" i="1"/>
  <c r="K458" i="1" s="1"/>
  <c r="K459" i="1" s="1"/>
  <c r="G561" i="1"/>
  <c r="E558" i="1"/>
  <c r="E561" i="1"/>
  <c r="E555" i="1"/>
  <c r="H562" i="1"/>
  <c r="E557" i="1"/>
  <c r="E562" i="1"/>
  <c r="M455" i="1" l="1"/>
  <c r="L457" i="1"/>
  <c r="L458" i="1" s="1"/>
  <c r="L459" i="1" s="1"/>
  <c r="N455" i="1" l="1"/>
  <c r="M457" i="1"/>
  <c r="M458" i="1" s="1"/>
  <c r="M459" i="1" s="1"/>
  <c r="O455" i="1" l="1"/>
  <c r="N457" i="1"/>
  <c r="N458" i="1" s="1"/>
  <c r="N459" i="1" s="1"/>
  <c r="P455" i="1" l="1"/>
  <c r="O457" i="1"/>
  <c r="O458" i="1" s="1"/>
  <c r="O459" i="1" s="1"/>
  <c r="Q455" i="1" l="1"/>
  <c r="P457" i="1"/>
  <c r="P458" i="1" s="1"/>
  <c r="P459" i="1" s="1"/>
  <c r="Q457" i="1" l="1"/>
  <c r="Q458" i="1" s="1"/>
  <c r="Q459" i="1" s="1"/>
  <c r="R455" i="1"/>
  <c r="T11" i="6"/>
  <c r="U18" i="6" s="1"/>
  <c r="T10" i="6"/>
  <c r="T8" i="6"/>
  <c r="T16" i="6"/>
  <c r="S455" i="1" l="1"/>
  <c r="R457" i="1"/>
  <c r="R458" i="1" s="1"/>
  <c r="R459" i="1" s="1"/>
  <c r="T18" i="6"/>
  <c r="D523" i="1"/>
  <c r="D522" i="1"/>
  <c r="D517" i="1"/>
  <c r="D516" i="1"/>
  <c r="D511" i="1"/>
  <c r="D6" i="1"/>
  <c r="E671" i="1" s="1"/>
  <c r="E676" i="1" s="1"/>
  <c r="D5" i="1"/>
  <c r="D515" i="1"/>
  <c r="D512" i="1"/>
  <c r="D118" i="1" l="1"/>
  <c r="D263" i="1"/>
  <c r="T455" i="1"/>
  <c r="S457" i="1"/>
  <c r="S458" i="1" s="1"/>
  <c r="S459" i="1" s="1"/>
  <c r="D551" i="1"/>
  <c r="D555" i="1" s="1"/>
  <c r="E670" i="1"/>
  <c r="D524" i="1"/>
  <c r="D530" i="1" s="1"/>
  <c r="D534" i="1"/>
  <c r="D533" i="1"/>
  <c r="D532" i="1" s="1"/>
  <c r="D489" i="1"/>
  <c r="D490" i="1" s="1"/>
  <c r="D526" i="1"/>
  <c r="D529" i="1" s="1"/>
  <c r="D525" i="1"/>
  <c r="D531" i="1" s="1"/>
  <c r="D518" i="1"/>
  <c r="D519" i="1"/>
  <c r="D561" i="1" l="1"/>
  <c r="D557" i="1"/>
  <c r="D558" i="1"/>
  <c r="D554" i="1"/>
  <c r="D562" i="1"/>
  <c r="D129" i="1"/>
  <c r="D130" i="1" s="1"/>
  <c r="D140" i="1"/>
  <c r="U455" i="1"/>
  <c r="T457" i="1"/>
  <c r="T458" i="1" s="1"/>
  <c r="T459" i="1" s="1"/>
  <c r="L693" i="1"/>
  <c r="M693" i="1" s="1"/>
  <c r="K690" i="1"/>
  <c r="L690" i="1"/>
  <c r="M690" i="1" s="1"/>
  <c r="E675" i="1"/>
  <c r="L689" i="1"/>
  <c r="M689" i="1" s="1"/>
  <c r="K687" i="1"/>
  <c r="L688" i="1"/>
  <c r="M688" i="1" s="1"/>
  <c r="K686" i="1"/>
  <c r="K685" i="1"/>
  <c r="L686" i="1"/>
  <c r="M686" i="1" s="1"/>
  <c r="K684" i="1"/>
  <c r="K681" i="1"/>
  <c r="L681" i="1"/>
  <c r="M681" i="1" s="1"/>
  <c r="L680" i="1"/>
  <c r="M680" i="1" s="1"/>
  <c r="L679" i="1"/>
  <c r="M679" i="1" s="1"/>
  <c r="K693" i="1"/>
  <c r="K691" i="1"/>
  <c r="L691" i="1"/>
  <c r="M691" i="1" s="1"/>
  <c r="K689" i="1"/>
  <c r="K688" i="1"/>
  <c r="L687" i="1"/>
  <c r="M687" i="1" s="1"/>
  <c r="L685" i="1"/>
  <c r="M685" i="1" s="1"/>
  <c r="K683" i="1"/>
  <c r="L684" i="1"/>
  <c r="M684" i="1" s="1"/>
  <c r="K682" i="1"/>
  <c r="L683" i="1"/>
  <c r="M683" i="1" s="1"/>
  <c r="L682" i="1"/>
  <c r="M682" i="1" s="1"/>
  <c r="K679" i="1"/>
  <c r="K680" i="1"/>
  <c r="D527" i="1"/>
  <c r="D477" i="1"/>
  <c r="D479" i="1"/>
  <c r="D478" i="1"/>
  <c r="D504" i="1"/>
  <c r="D151" i="1" l="1"/>
  <c r="D152" i="1"/>
  <c r="D218" i="1" s="1"/>
  <c r="G229" i="1" s="1"/>
  <c r="D135" i="1"/>
  <c r="D190" i="1" s="1"/>
  <c r="D195" i="1" s="1"/>
  <c r="D131" i="1"/>
  <c r="D132" i="1" s="1"/>
  <c r="D133" i="1" s="1"/>
  <c r="D303" i="1"/>
  <c r="V455" i="1"/>
  <c r="U457" i="1"/>
  <c r="U458" i="1" s="1"/>
  <c r="U459" i="1" s="1"/>
  <c r="D536" i="1"/>
  <c r="D540" i="1" s="1"/>
  <c r="D548" i="1" s="1"/>
  <c r="D549" i="1" s="1"/>
  <c r="D535" i="1"/>
  <c r="D480" i="1"/>
  <c r="D503" i="1"/>
  <c r="D507" i="1" s="1"/>
  <c r="D505" i="1"/>
  <c r="D498" i="1"/>
  <c r="D497" i="1"/>
  <c r="D495" i="1"/>
  <c r="D473" i="1" s="1"/>
  <c r="D493" i="1"/>
  <c r="D491" i="1"/>
  <c r="D467" i="1"/>
  <c r="H228" i="1" l="1"/>
  <c r="H230" i="1"/>
  <c r="H229" i="1"/>
  <c r="D423" i="1"/>
  <c r="D429" i="1" s="1"/>
  <c r="D302" i="1"/>
  <c r="D136" i="1"/>
  <c r="D137" i="1" s="1"/>
  <c r="W455" i="1"/>
  <c r="V457" i="1"/>
  <c r="V458" i="1" s="1"/>
  <c r="V459" i="1" s="1"/>
  <c r="D432" i="1"/>
  <c r="D440" i="1" s="1"/>
  <c r="D492" i="1"/>
  <c r="D506" i="1"/>
  <c r="D508" i="1"/>
  <c r="D499" i="1"/>
  <c r="D500" i="1" s="1"/>
  <c r="D501" i="1" s="1"/>
  <c r="D502" i="1" s="1"/>
  <c r="D262" i="1"/>
  <c r="D265" i="1" s="1"/>
  <c r="D266" i="1" s="1"/>
  <c r="D270" i="1" s="1"/>
  <c r="D169" i="1"/>
  <c r="D182" i="1" s="1"/>
  <c r="I229" i="1" l="1"/>
  <c r="H232" i="1"/>
  <c r="I230" i="1"/>
  <c r="H233" i="1"/>
  <c r="I228" i="1"/>
  <c r="D447" i="1"/>
  <c r="D441" i="1"/>
  <c r="D424" i="1"/>
  <c r="D431" i="1" s="1"/>
  <c r="D442" i="1" s="1"/>
  <c r="D444" i="1"/>
  <c r="D272" i="1"/>
  <c r="D271" i="1"/>
  <c r="X455" i="1"/>
  <c r="W457" i="1"/>
  <c r="W458" i="1" s="1"/>
  <c r="W459" i="1" s="1"/>
  <c r="D194" i="1"/>
  <c r="D199" i="1"/>
  <c r="D196" i="1"/>
  <c r="D178" i="1"/>
  <c r="D170" i="1"/>
  <c r="D171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I233" i="1" l="1"/>
  <c r="J228" i="1"/>
  <c r="I232" i="1"/>
  <c r="J230" i="1"/>
  <c r="J229" i="1"/>
  <c r="K229" i="1" s="1"/>
  <c r="D273" i="1"/>
  <c r="D283" i="1"/>
  <c r="D280" i="1"/>
  <c r="D282" i="1"/>
  <c r="D279" i="1"/>
  <c r="Y455" i="1"/>
  <c r="X457" i="1"/>
  <c r="X458" i="1" s="1"/>
  <c r="X459" i="1" s="1"/>
  <c r="D437" i="1"/>
  <c r="D201" i="1"/>
  <c r="D166" i="1"/>
  <c r="D167" i="1" s="1"/>
  <c r="D173" i="1" s="1"/>
  <c r="D200" i="1"/>
  <c r="C26" i="5"/>
  <c r="J232" i="1" l="1"/>
  <c r="K230" i="1"/>
  <c r="J233" i="1"/>
  <c r="K228" i="1"/>
  <c r="D281" i="1"/>
  <c r="D284" i="1"/>
  <c r="D285" i="1" s="1"/>
  <c r="Z455" i="1"/>
  <c r="Y457" i="1"/>
  <c r="Y458" i="1" s="1"/>
  <c r="Y459" i="1" s="1"/>
  <c r="D202" i="1"/>
  <c r="D207" i="1" s="1"/>
  <c r="D210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33" i="1" s="1"/>
  <c r="R71" i="1"/>
  <c r="R69" i="1"/>
  <c r="R68" i="1"/>
  <c r="D10" i="1"/>
  <c r="D34" i="1" s="1"/>
  <c r="L228" i="1" l="1"/>
  <c r="K233" i="1"/>
  <c r="Q165" i="1"/>
  <c r="K232" i="1"/>
  <c r="L230" i="1"/>
  <c r="Q167" i="1"/>
  <c r="Q166" i="1"/>
  <c r="R166" i="1" s="1"/>
  <c r="L229" i="1"/>
  <c r="M229" i="1" s="1"/>
  <c r="D286" i="1"/>
  <c r="D296" i="1"/>
  <c r="AA455" i="1"/>
  <c r="Z457" i="1"/>
  <c r="Z458" i="1" s="1"/>
  <c r="Z459" i="1" s="1"/>
  <c r="C8" i="2"/>
  <c r="C15" i="2" s="1"/>
  <c r="R72" i="1"/>
  <c r="R74" i="1" s="1"/>
  <c r="R73" i="1"/>
  <c r="R75" i="1" s="1"/>
  <c r="Q169" i="1" l="1"/>
  <c r="R167" i="1"/>
  <c r="R165" i="1"/>
  <c r="S165" i="1" s="1"/>
  <c r="L232" i="1"/>
  <c r="M230" i="1"/>
  <c r="L233" i="1"/>
  <c r="M228" i="1"/>
  <c r="AB455" i="1"/>
  <c r="AA457" i="1"/>
  <c r="AA458" i="1" s="1"/>
  <c r="AA459" i="1" s="1"/>
  <c r="D93" i="1"/>
  <c r="R169" i="1" l="1"/>
  <c r="S167" i="1"/>
  <c r="M233" i="1"/>
  <c r="N228" i="1"/>
  <c r="M232" i="1"/>
  <c r="N230" i="1"/>
  <c r="N229" i="1"/>
  <c r="O229" i="1" s="1"/>
  <c r="S166" i="1"/>
  <c r="T166" i="1" s="1"/>
  <c r="D94" i="1"/>
  <c r="D106" i="1" s="1"/>
  <c r="D110" i="1" s="1"/>
  <c r="AC455" i="1"/>
  <c r="AB457" i="1"/>
  <c r="AB458" i="1" s="1"/>
  <c r="AB459" i="1" s="1"/>
  <c r="T165" i="1" l="1"/>
  <c r="N232" i="1"/>
  <c r="O230" i="1"/>
  <c r="N233" i="1"/>
  <c r="O228" i="1"/>
  <c r="O233" i="1" s="1"/>
  <c r="S169" i="1"/>
  <c r="T167" i="1"/>
  <c r="D105" i="1"/>
  <c r="D109" i="1" s="1"/>
  <c r="D104" i="1"/>
  <c r="D108" i="1" s="1"/>
  <c r="D103" i="1"/>
  <c r="D107" i="1" s="1"/>
  <c r="AD455" i="1"/>
  <c r="AC457" i="1"/>
  <c r="AC458" i="1" s="1"/>
  <c r="AC459" i="1" s="1"/>
  <c r="D117" i="1"/>
  <c r="D13" i="1"/>
  <c r="P228" i="1" l="1"/>
  <c r="T169" i="1"/>
  <c r="U167" i="1"/>
  <c r="O232" i="1"/>
  <c r="P230" i="1"/>
  <c r="P229" i="1"/>
  <c r="Q229" i="1" s="1"/>
  <c r="U165" i="1"/>
  <c r="U166" i="1"/>
  <c r="AE455" i="1"/>
  <c r="AD457" i="1"/>
  <c r="AD458" i="1" s="1"/>
  <c r="AD459" i="1" s="1"/>
  <c r="D40" i="1"/>
  <c r="D43" i="1" s="1"/>
  <c r="D466" i="1"/>
  <c r="V166" i="1" l="1"/>
  <c r="V165" i="1"/>
  <c r="P232" i="1"/>
  <c r="Q230" i="1"/>
  <c r="V167" i="1"/>
  <c r="U169" i="1"/>
  <c r="P233" i="1"/>
  <c r="Q228" i="1"/>
  <c r="Q233" i="1" s="1"/>
  <c r="D44" i="1"/>
  <c r="D138" i="1"/>
  <c r="D141" i="1" s="1"/>
  <c r="AF455" i="1"/>
  <c r="AE457" i="1"/>
  <c r="AE458" i="1" s="1"/>
  <c r="AE459" i="1" s="1"/>
  <c r="D42" i="1"/>
  <c r="D204" i="1"/>
  <c r="D468" i="1"/>
  <c r="D482" i="1" s="1"/>
  <c r="D481" i="1"/>
  <c r="D484" i="1" s="1"/>
  <c r="D485" i="1" s="1"/>
  <c r="D47" i="1"/>
  <c r="Q232" i="1" l="1"/>
  <c r="R230" i="1"/>
  <c r="V169" i="1"/>
  <c r="W167" i="1"/>
  <c r="R229" i="1"/>
  <c r="R228" i="1"/>
  <c r="W165" i="1"/>
  <c r="W166" i="1"/>
  <c r="D145" i="1"/>
  <c r="D143" i="1"/>
  <c r="D144" i="1"/>
  <c r="D45" i="1"/>
  <c r="D46" i="1" s="1"/>
  <c r="D51" i="1" s="1"/>
  <c r="D48" i="1"/>
  <c r="D142" i="1"/>
  <c r="D148" i="1"/>
  <c r="D160" i="1" s="1"/>
  <c r="D172" i="1" s="1"/>
  <c r="D174" i="1" s="1"/>
  <c r="D175" i="1" s="1"/>
  <c r="D176" i="1" s="1"/>
  <c r="D177" i="1" s="1"/>
  <c r="D184" i="1" s="1"/>
  <c r="D134" i="1"/>
  <c r="D159" i="1" s="1"/>
  <c r="D379" i="1"/>
  <c r="D380" i="1" s="1"/>
  <c r="D307" i="1"/>
  <c r="D309" i="1" s="1"/>
  <c r="D306" i="1"/>
  <c r="D387" i="1"/>
  <c r="AG455" i="1"/>
  <c r="AF457" i="1"/>
  <c r="AF458" i="1" s="1"/>
  <c r="AF459" i="1" s="1"/>
  <c r="D197" i="1"/>
  <c r="D205" i="1"/>
  <c r="D206" i="1"/>
  <c r="D470" i="1"/>
  <c r="D472" i="1" s="1"/>
  <c r="D487" i="1" s="1"/>
  <c r="D483" i="1"/>
  <c r="G10" i="1"/>
  <c r="D22" i="1"/>
  <c r="D27" i="1"/>
  <c r="X166" i="1" l="1"/>
  <c r="R233" i="1"/>
  <c r="S228" i="1"/>
  <c r="X165" i="1"/>
  <c r="S229" i="1"/>
  <c r="W169" i="1"/>
  <c r="X167" i="1"/>
  <c r="R232" i="1"/>
  <c r="S230" i="1"/>
  <c r="D146" i="1"/>
  <c r="D147" i="1" s="1"/>
  <c r="D185" i="1"/>
  <c r="D208" i="1"/>
  <c r="D209" i="1"/>
  <c r="E638" i="1" s="1"/>
  <c r="D390" i="1"/>
  <c r="D389" i="1"/>
  <c r="D381" i="1"/>
  <c r="AH455" i="1"/>
  <c r="AG457" i="1"/>
  <c r="AG458" i="1" s="1"/>
  <c r="AG459" i="1" s="1"/>
  <c r="D162" i="1"/>
  <c r="D179" i="1"/>
  <c r="D181" i="1" s="1"/>
  <c r="D15" i="1"/>
  <c r="D32" i="1"/>
  <c r="D49" i="1" s="1"/>
  <c r="E636" i="1"/>
  <c r="D28" i="1"/>
  <c r="E637" i="1" s="1"/>
  <c r="D382" i="1" l="1"/>
  <c r="D409" i="1"/>
  <c r="D417" i="1" s="1"/>
  <c r="D419" i="1" s="1"/>
  <c r="D421" i="1" s="1"/>
  <c r="S233" i="1"/>
  <c r="T228" i="1"/>
  <c r="X169" i="1"/>
  <c r="Y167" i="1"/>
  <c r="S232" i="1"/>
  <c r="T230" i="1"/>
  <c r="T229" i="1"/>
  <c r="Y165" i="1"/>
  <c r="Y166" i="1"/>
  <c r="D112" i="1"/>
  <c r="D211" i="1"/>
  <c r="AI455" i="1"/>
  <c r="AH457" i="1"/>
  <c r="AH458" i="1" s="1"/>
  <c r="AH459" i="1" s="1"/>
  <c r="D212" i="1"/>
  <c r="E639" i="1"/>
  <c r="E646" i="1" s="1"/>
  <c r="E652" i="1" s="1"/>
  <c r="E653" i="1" s="1"/>
  <c r="E654" i="1" s="1"/>
  <c r="E655" i="1" s="1"/>
  <c r="Z165" i="1" l="1"/>
  <c r="T232" i="1"/>
  <c r="U230" i="1"/>
  <c r="U229" i="1"/>
  <c r="T233" i="1"/>
  <c r="U228" i="1"/>
  <c r="U233" i="1" s="1"/>
  <c r="Z166" i="1"/>
  <c r="Y169" i="1"/>
  <c r="Z167" i="1"/>
  <c r="AJ455" i="1"/>
  <c r="AI457" i="1"/>
  <c r="AI458" i="1" s="1"/>
  <c r="AI459" i="1" s="1"/>
  <c r="E657" i="1"/>
  <c r="E658" i="1" s="1"/>
  <c r="E659" i="1" s="1"/>
  <c r="E660" i="1" s="1"/>
  <c r="U232" i="1" l="1"/>
  <c r="V230" i="1"/>
  <c r="Z169" i="1"/>
  <c r="AA167" i="1"/>
  <c r="AA166" i="1"/>
  <c r="V228" i="1"/>
  <c r="V229" i="1"/>
  <c r="AA165" i="1"/>
  <c r="AB165" i="1" s="1"/>
  <c r="AK455" i="1"/>
  <c r="AJ457" i="1"/>
  <c r="AJ458" i="1" s="1"/>
  <c r="AJ459" i="1" s="1"/>
  <c r="W229" i="1" l="1"/>
  <c r="V233" i="1"/>
  <c r="W228" i="1"/>
  <c r="W233" i="1" s="1"/>
  <c r="AB166" i="1"/>
  <c r="AA169" i="1"/>
  <c r="AB167" i="1"/>
  <c r="V232" i="1"/>
  <c r="W230" i="1"/>
  <c r="AL455" i="1"/>
  <c r="AK457" i="1"/>
  <c r="AK458" i="1" s="1"/>
  <c r="AK459" i="1" s="1"/>
  <c r="T17" i="6"/>
  <c r="AC166" i="1" l="1"/>
  <c r="W232" i="1"/>
  <c r="X230" i="1"/>
  <c r="AB169" i="1"/>
  <c r="AC167" i="1"/>
  <c r="X229" i="1"/>
  <c r="X228" i="1"/>
  <c r="AC165" i="1"/>
  <c r="AD165" i="1" s="1"/>
  <c r="AM455" i="1"/>
  <c r="AL457" i="1"/>
  <c r="AL458" i="1" s="1"/>
  <c r="AL459" i="1" s="1"/>
  <c r="T13" i="6"/>
  <c r="X233" i="1" l="1"/>
  <c r="Y228" i="1"/>
  <c r="Y229" i="1"/>
  <c r="AC169" i="1"/>
  <c r="AD167" i="1"/>
  <c r="X232" i="1"/>
  <c r="Y230" i="1"/>
  <c r="AD166" i="1"/>
  <c r="AE166" i="1" s="1"/>
  <c r="AN455" i="1"/>
  <c r="AM457" i="1"/>
  <c r="AM458" i="1" s="1"/>
  <c r="AM459" i="1" s="1"/>
  <c r="T14" i="6"/>
  <c r="T15" i="6" s="1"/>
  <c r="AE167" i="1" l="1"/>
  <c r="AD169" i="1"/>
  <c r="Y232" i="1"/>
  <c r="Z230" i="1"/>
  <c r="Z229" i="1"/>
  <c r="Y233" i="1"/>
  <c r="Z228" i="1"/>
  <c r="Z233" i="1" s="1"/>
  <c r="AE165" i="1"/>
  <c r="AF165" i="1" s="1"/>
  <c r="AO455" i="1"/>
  <c r="AN457" i="1"/>
  <c r="AN458" i="1" s="1"/>
  <c r="AN459" i="1" s="1"/>
  <c r="AA228" i="1" l="1"/>
  <c r="AA229" i="1"/>
  <c r="Z232" i="1"/>
  <c r="AA230" i="1"/>
  <c r="AF167" i="1"/>
  <c r="AE169" i="1"/>
  <c r="AF166" i="1"/>
  <c r="AG166" i="1" s="1"/>
  <c r="AP455" i="1"/>
  <c r="AO457" i="1"/>
  <c r="AO458" i="1" s="1"/>
  <c r="AO459" i="1" s="1"/>
  <c r="AF169" i="1" l="1"/>
  <c r="AG167" i="1"/>
  <c r="AA232" i="1"/>
  <c r="AB230" i="1"/>
  <c r="AB229" i="1"/>
  <c r="AA233" i="1"/>
  <c r="AB228" i="1"/>
  <c r="AB233" i="1" s="1"/>
  <c r="AG165" i="1"/>
  <c r="AH165" i="1" s="1"/>
  <c r="AQ455" i="1"/>
  <c r="AP457" i="1"/>
  <c r="AP458" i="1" s="1"/>
  <c r="AP459" i="1" s="1"/>
  <c r="AC228" i="1" l="1"/>
  <c r="AC229" i="1"/>
  <c r="AB232" i="1"/>
  <c r="AC230" i="1"/>
  <c r="AG169" i="1"/>
  <c r="AH167" i="1"/>
  <c r="AH166" i="1"/>
  <c r="AI166" i="1" s="1"/>
  <c r="AR455" i="1"/>
  <c r="AQ457" i="1"/>
  <c r="AQ458" i="1" s="1"/>
  <c r="AQ459" i="1" s="1"/>
  <c r="AC232" i="1" l="1"/>
  <c r="AD230" i="1"/>
  <c r="AI167" i="1"/>
  <c r="AH169" i="1"/>
  <c r="AD229" i="1"/>
  <c r="AC233" i="1"/>
  <c r="AD228" i="1"/>
  <c r="AI165" i="1"/>
  <c r="AJ165" i="1" s="1"/>
  <c r="AS455" i="1"/>
  <c r="AR457" i="1"/>
  <c r="AR458" i="1" s="1"/>
  <c r="AR459" i="1" s="1"/>
  <c r="AD232" i="1" l="1"/>
  <c r="AE230" i="1"/>
  <c r="AD233" i="1"/>
  <c r="AE228" i="1"/>
  <c r="AE229" i="1"/>
  <c r="AJ167" i="1"/>
  <c r="AI169" i="1"/>
  <c r="AJ166" i="1"/>
  <c r="AK166" i="1" s="1"/>
  <c r="AT455" i="1"/>
  <c r="AS457" i="1"/>
  <c r="AS458" i="1" s="1"/>
  <c r="AS459" i="1" s="1"/>
  <c r="AF229" i="1" l="1"/>
  <c r="AJ169" i="1"/>
  <c r="AK167" i="1"/>
  <c r="AE233" i="1"/>
  <c r="AF228" i="1"/>
  <c r="AK165" i="1"/>
  <c r="AL165" i="1" s="1"/>
  <c r="AE232" i="1"/>
  <c r="AF230" i="1"/>
  <c r="AU455" i="1"/>
  <c r="AT457" i="1"/>
  <c r="AT458" i="1" s="1"/>
  <c r="AT459" i="1" s="1"/>
  <c r="AL166" i="1" l="1"/>
  <c r="AF232" i="1"/>
  <c r="AG230" i="1"/>
  <c r="AF233" i="1"/>
  <c r="AG228" i="1"/>
  <c r="AG229" i="1"/>
  <c r="AH229" i="1" s="1"/>
  <c r="AK169" i="1"/>
  <c r="AL167" i="1"/>
  <c r="AV455" i="1"/>
  <c r="AU457" i="1"/>
  <c r="AU458" i="1" s="1"/>
  <c r="AU459" i="1" s="1"/>
  <c r="AM166" i="1" l="1"/>
  <c r="AM167" i="1"/>
  <c r="AL169" i="1"/>
  <c r="AG233" i="1"/>
  <c r="AH228" i="1"/>
  <c r="AG232" i="1"/>
  <c r="AH230" i="1"/>
  <c r="AM165" i="1"/>
  <c r="AW455" i="1"/>
  <c r="AV457" i="1"/>
  <c r="AV458" i="1" s="1"/>
  <c r="AV459" i="1" s="1"/>
  <c r="AN165" i="1" l="1"/>
  <c r="AI228" i="1"/>
  <c r="AI233" i="1" s="1"/>
  <c r="AH233" i="1"/>
  <c r="AH232" i="1"/>
  <c r="AI230" i="1"/>
  <c r="AM169" i="1"/>
  <c r="AN167" i="1"/>
  <c r="AN166" i="1"/>
  <c r="AO166" i="1" s="1"/>
  <c r="AI229" i="1"/>
  <c r="AJ229" i="1" s="1"/>
  <c r="AX455" i="1"/>
  <c r="AW457" i="1"/>
  <c r="AW458" i="1" s="1"/>
  <c r="AW459" i="1" s="1"/>
  <c r="AJ228" i="1" l="1"/>
  <c r="AI232" i="1"/>
  <c r="AJ230" i="1"/>
  <c r="AN169" i="1"/>
  <c r="AO167" i="1"/>
  <c r="AO165" i="1"/>
  <c r="AP165" i="1" s="1"/>
  <c r="AY455" i="1"/>
  <c r="AX457" i="1"/>
  <c r="AX458" i="1" s="1"/>
  <c r="AX459" i="1" s="1"/>
  <c r="AO169" i="1" l="1"/>
  <c r="AP167" i="1"/>
  <c r="AJ232" i="1"/>
  <c r="AK230" i="1"/>
  <c r="AP166" i="1"/>
  <c r="AQ166" i="1" s="1"/>
  <c r="AJ233" i="1"/>
  <c r="AK228" i="1"/>
  <c r="AK229" i="1"/>
  <c r="AZ455" i="1"/>
  <c r="AY457" i="1"/>
  <c r="AY458" i="1" s="1"/>
  <c r="AY459" i="1" s="1"/>
  <c r="AK233" i="1" l="1"/>
  <c r="AL228" i="1"/>
  <c r="AK232" i="1"/>
  <c r="AL230" i="1"/>
  <c r="AL229" i="1"/>
  <c r="AQ165" i="1"/>
  <c r="AQ167" i="1"/>
  <c r="AP169" i="1"/>
  <c r="BA455" i="1"/>
  <c r="AZ457" i="1"/>
  <c r="AZ458" i="1" s="1"/>
  <c r="AZ459" i="1" s="1"/>
  <c r="AM229" i="1" l="1"/>
  <c r="AQ169" i="1"/>
  <c r="AR167" i="1"/>
  <c r="AR165" i="1"/>
  <c r="AR166" i="1"/>
  <c r="AS166" i="1" s="1"/>
  <c r="AL232" i="1"/>
  <c r="AM230" i="1"/>
  <c r="AL233" i="1"/>
  <c r="AM228" i="1"/>
  <c r="BB455" i="1"/>
  <c r="BA457" i="1"/>
  <c r="BA458" i="1" s="1"/>
  <c r="BA459" i="1" s="1"/>
  <c r="AM233" i="1" l="1"/>
  <c r="AN228" i="1"/>
  <c r="AM232" i="1"/>
  <c r="AN230" i="1"/>
  <c r="AN229" i="1"/>
  <c r="AS165" i="1"/>
  <c r="AR169" i="1"/>
  <c r="AS167" i="1"/>
  <c r="BC455" i="1"/>
  <c r="BB457" i="1"/>
  <c r="BB458" i="1" s="1"/>
  <c r="BB459" i="1" s="1"/>
  <c r="AO229" i="1" l="1"/>
  <c r="AT165" i="1"/>
  <c r="AT167" i="1"/>
  <c r="AS169" i="1"/>
  <c r="AN232" i="1"/>
  <c r="AO230" i="1"/>
  <c r="AN233" i="1"/>
  <c r="AO228" i="1"/>
  <c r="AP229" i="1" s="1"/>
  <c r="AT166" i="1"/>
  <c r="BD455" i="1"/>
  <c r="BC457" i="1"/>
  <c r="BC458" i="1" s="1"/>
  <c r="BC459" i="1" s="1"/>
  <c r="AU166" i="1" l="1"/>
  <c r="AO232" i="1"/>
  <c r="AP230" i="1"/>
  <c r="AT169" i="1"/>
  <c r="AU167" i="1"/>
  <c r="AO233" i="1"/>
  <c r="AP228" i="1"/>
  <c r="AU165" i="1"/>
  <c r="AV165" i="1" s="1"/>
  <c r="BE455" i="1"/>
  <c r="BD457" i="1"/>
  <c r="BD458" i="1" s="1"/>
  <c r="BD459" i="1" s="1"/>
  <c r="AU169" i="1" l="1"/>
  <c r="AV167" i="1"/>
  <c r="AP233" i="1"/>
  <c r="AQ228" i="1"/>
  <c r="AV166" i="1"/>
  <c r="AW166" i="1" s="1"/>
  <c r="AP232" i="1"/>
  <c r="AQ230" i="1"/>
  <c r="AQ229" i="1"/>
  <c r="BF455" i="1"/>
  <c r="BE457" i="1"/>
  <c r="BE458" i="1" s="1"/>
  <c r="BE459" i="1" s="1"/>
  <c r="AR229" i="1" l="1"/>
  <c r="AQ232" i="1"/>
  <c r="AR230" i="1"/>
  <c r="AQ233" i="1"/>
  <c r="AR228" i="1"/>
  <c r="AV169" i="1"/>
  <c r="AW167" i="1"/>
  <c r="AW165" i="1"/>
  <c r="AX165" i="1" s="1"/>
  <c r="BG455" i="1"/>
  <c r="BF457" i="1"/>
  <c r="BF458" i="1" s="1"/>
  <c r="BF459" i="1" s="1"/>
  <c r="AR232" i="1" l="1"/>
  <c r="AS230" i="1"/>
  <c r="AX167" i="1"/>
  <c r="AW169" i="1"/>
  <c r="AR233" i="1"/>
  <c r="AS228" i="1"/>
  <c r="AS229" i="1"/>
  <c r="AX166" i="1"/>
  <c r="AY166" i="1" s="1"/>
  <c r="BH455" i="1"/>
  <c r="BG457" i="1"/>
  <c r="BG458" i="1" s="1"/>
  <c r="BG459" i="1" s="1"/>
  <c r="AT229" i="1" l="1"/>
  <c r="AS233" i="1"/>
  <c r="AT228" i="1"/>
  <c r="AX169" i="1"/>
  <c r="AY167" i="1"/>
  <c r="AS232" i="1"/>
  <c r="AT230" i="1"/>
  <c r="AY165" i="1"/>
  <c r="AZ165" i="1" s="1"/>
  <c r="BI455" i="1"/>
  <c r="BH457" i="1"/>
  <c r="BH458" i="1" s="1"/>
  <c r="BH459" i="1" s="1"/>
  <c r="AZ166" i="1" l="1"/>
  <c r="AT233" i="1"/>
  <c r="AU228" i="1"/>
  <c r="AT232" i="1"/>
  <c r="AU230" i="1"/>
  <c r="AY169" i="1"/>
  <c r="AZ167" i="1"/>
  <c r="BA165" i="1" s="1"/>
  <c r="AU229" i="1"/>
  <c r="AV229" i="1" s="1"/>
  <c r="BJ455" i="1"/>
  <c r="BI457" i="1"/>
  <c r="BI458" i="1" s="1"/>
  <c r="BI459" i="1" s="1"/>
  <c r="AU232" i="1" l="1"/>
  <c r="AV230" i="1"/>
  <c r="AU233" i="1"/>
  <c r="AV228" i="1"/>
  <c r="BA167" i="1"/>
  <c r="AZ169" i="1"/>
  <c r="BA166" i="1"/>
  <c r="BB166" i="1" s="1"/>
  <c r="BK455" i="1"/>
  <c r="BJ457" i="1"/>
  <c r="BJ458" i="1" s="1"/>
  <c r="BJ459" i="1" s="1"/>
  <c r="BA169" i="1" l="1"/>
  <c r="BB167" i="1"/>
  <c r="AV233" i="1"/>
  <c r="AW228" i="1"/>
  <c r="AV232" i="1"/>
  <c r="AW230" i="1"/>
  <c r="AW229" i="1"/>
  <c r="AX229" i="1" s="1"/>
  <c r="BB165" i="1"/>
  <c r="BC165" i="1" s="1"/>
  <c r="BL455" i="1"/>
  <c r="BK457" i="1"/>
  <c r="BK458" i="1" s="1"/>
  <c r="BK459" i="1" s="1"/>
  <c r="AW232" i="1" l="1"/>
  <c r="AX230" i="1"/>
  <c r="AW233" i="1"/>
  <c r="AX228" i="1"/>
  <c r="BC167" i="1"/>
  <c r="BB169" i="1"/>
  <c r="BC166" i="1"/>
  <c r="BD166" i="1" s="1"/>
  <c r="BM455" i="1"/>
  <c r="BL457" i="1"/>
  <c r="BL458" i="1" s="1"/>
  <c r="BL459" i="1" s="1"/>
  <c r="AX233" i="1" l="1"/>
  <c r="AY228" i="1"/>
  <c r="AX232" i="1"/>
  <c r="AY230" i="1"/>
  <c r="BC169" i="1"/>
  <c r="BD167" i="1"/>
  <c r="BD165" i="1"/>
  <c r="BE165" i="1" s="1"/>
  <c r="AY229" i="1"/>
  <c r="AZ229" i="1" s="1"/>
  <c r="BN455" i="1"/>
  <c r="BM457" i="1"/>
  <c r="BM458" i="1" s="1"/>
  <c r="BM459" i="1" s="1"/>
  <c r="BE166" i="1" l="1"/>
  <c r="AY233" i="1"/>
  <c r="AZ228" i="1"/>
  <c r="BD169" i="1"/>
  <c r="BE167" i="1"/>
  <c r="AY232" i="1"/>
  <c r="AZ230" i="1"/>
  <c r="BO455" i="1"/>
  <c r="BN457" i="1"/>
  <c r="BN458" i="1" s="1"/>
  <c r="BN459" i="1" s="1"/>
  <c r="AZ232" i="1" l="1"/>
  <c r="BA230" i="1"/>
  <c r="AZ233" i="1"/>
  <c r="BA228" i="1"/>
  <c r="BF166" i="1"/>
  <c r="BE169" i="1"/>
  <c r="BF167" i="1"/>
  <c r="BA229" i="1"/>
  <c r="BB229" i="1" s="1"/>
  <c r="BF165" i="1"/>
  <c r="BG165" i="1" s="1"/>
  <c r="BP455" i="1"/>
  <c r="BO457" i="1"/>
  <c r="BO458" i="1" s="1"/>
  <c r="BO459" i="1" s="1"/>
  <c r="BG167" i="1" l="1"/>
  <c r="BF169" i="1"/>
  <c r="BG166" i="1"/>
  <c r="BH166" i="1" s="1"/>
  <c r="BA233" i="1"/>
  <c r="BB228" i="1"/>
  <c r="BA232" i="1"/>
  <c r="BB230" i="1"/>
  <c r="BQ455" i="1"/>
  <c r="BP457" i="1"/>
  <c r="BP458" i="1" s="1"/>
  <c r="BP459" i="1" s="1"/>
  <c r="BB232" i="1" l="1"/>
  <c r="BC230" i="1"/>
  <c r="BB233" i="1"/>
  <c r="BC228" i="1"/>
  <c r="BC229" i="1"/>
  <c r="BD229" i="1" s="1"/>
  <c r="BG169" i="1"/>
  <c r="BH167" i="1"/>
  <c r="BH165" i="1"/>
  <c r="BR455" i="1"/>
  <c r="BQ457" i="1"/>
  <c r="BQ458" i="1" s="1"/>
  <c r="BQ459" i="1" s="1"/>
  <c r="BH169" i="1" l="1"/>
  <c r="BI167" i="1"/>
  <c r="BI165" i="1"/>
  <c r="BI166" i="1"/>
  <c r="BJ166" i="1" s="1"/>
  <c r="BC233" i="1"/>
  <c r="BD228" i="1"/>
  <c r="BC232" i="1"/>
  <c r="BD230" i="1"/>
  <c r="BS455" i="1"/>
  <c r="BR457" i="1"/>
  <c r="BR458" i="1" s="1"/>
  <c r="BR459" i="1" s="1"/>
  <c r="BE229" i="1" l="1"/>
  <c r="BD232" i="1"/>
  <c r="BE230" i="1"/>
  <c r="BD233" i="1"/>
  <c r="BE228" i="1"/>
  <c r="BJ165" i="1"/>
  <c r="BI169" i="1"/>
  <c r="BJ167" i="1"/>
  <c r="BT455" i="1"/>
  <c r="BS457" i="1"/>
  <c r="BS458" i="1" s="1"/>
  <c r="BS459" i="1" s="1"/>
  <c r="BK165" i="1" l="1"/>
  <c r="BJ169" i="1"/>
  <c r="BK167" i="1"/>
  <c r="BF228" i="1"/>
  <c r="BF233" i="1" s="1"/>
  <c r="BE233" i="1"/>
  <c r="BK166" i="1"/>
  <c r="BL166" i="1" s="1"/>
  <c r="BF229" i="1"/>
  <c r="BE232" i="1"/>
  <c r="BF230" i="1"/>
  <c r="BU455" i="1"/>
  <c r="BT457" i="1"/>
  <c r="BT458" i="1" s="1"/>
  <c r="BT459" i="1" s="1"/>
  <c r="BG229" i="1" l="1"/>
  <c r="BK169" i="1"/>
  <c r="BL167" i="1"/>
  <c r="BG228" i="1"/>
  <c r="BF232" i="1"/>
  <c r="BG230" i="1"/>
  <c r="BL165" i="1"/>
  <c r="BM165" i="1" s="1"/>
  <c r="BV455" i="1"/>
  <c r="BU457" i="1"/>
  <c r="BU458" i="1" s="1"/>
  <c r="BU459" i="1" s="1"/>
  <c r="BL169" i="1" l="1"/>
  <c r="BM167" i="1"/>
  <c r="BM166" i="1"/>
  <c r="BN166" i="1" s="1"/>
  <c r="BG232" i="1"/>
  <c r="BH230" i="1"/>
  <c r="BG233" i="1"/>
  <c r="BH228" i="1"/>
  <c r="BH229" i="1"/>
  <c r="BW455" i="1"/>
  <c r="BV457" i="1"/>
  <c r="BV458" i="1" s="1"/>
  <c r="BV459" i="1" s="1"/>
  <c r="BI229" i="1" l="1"/>
  <c r="BH232" i="1"/>
  <c r="BI230" i="1"/>
  <c r="BH233" i="1"/>
  <c r="BI228" i="1"/>
  <c r="BM169" i="1"/>
  <c r="BN167" i="1"/>
  <c r="BN165" i="1"/>
  <c r="BO165" i="1" s="1"/>
  <c r="BX455" i="1"/>
  <c r="BW457" i="1"/>
  <c r="BW458" i="1" s="1"/>
  <c r="BW459" i="1" s="1"/>
  <c r="BO166" i="1" l="1"/>
  <c r="BO167" i="1"/>
  <c r="BN169" i="1"/>
  <c r="BI233" i="1"/>
  <c r="BJ228" i="1"/>
  <c r="BI232" i="1"/>
  <c r="BJ230" i="1"/>
  <c r="BJ229" i="1"/>
  <c r="BY455" i="1"/>
  <c r="BX457" i="1"/>
  <c r="BX458" i="1" s="1"/>
  <c r="BX459" i="1" s="1"/>
  <c r="BJ233" i="1" l="1"/>
  <c r="BK228" i="1"/>
  <c r="BK229" i="1"/>
  <c r="BJ232" i="1"/>
  <c r="BK230" i="1"/>
  <c r="BO169" i="1"/>
  <c r="BP167" i="1"/>
  <c r="BP166" i="1"/>
  <c r="BP165" i="1"/>
  <c r="BZ455" i="1"/>
  <c r="BY457" i="1"/>
  <c r="BY458" i="1" s="1"/>
  <c r="BY459" i="1" s="1"/>
  <c r="BQ165" i="1" l="1"/>
  <c r="BK232" i="1"/>
  <c r="BL230" i="1"/>
  <c r="BQ167" i="1"/>
  <c r="BP169" i="1"/>
  <c r="BQ166" i="1"/>
  <c r="BL229" i="1"/>
  <c r="BK233" i="1"/>
  <c r="BL228" i="1"/>
  <c r="CA455" i="1"/>
  <c r="BZ457" i="1"/>
  <c r="BZ458" i="1" s="1"/>
  <c r="BZ459" i="1" s="1"/>
  <c r="BR166" i="1" l="1"/>
  <c r="BM229" i="1"/>
  <c r="BL233" i="1"/>
  <c r="BM228" i="1"/>
  <c r="BQ169" i="1"/>
  <c r="BR167" i="1"/>
  <c r="BL232" i="1"/>
  <c r="BM230" i="1"/>
  <c r="BR165" i="1"/>
  <c r="BS165" i="1" s="1"/>
  <c r="CB455" i="1"/>
  <c r="CA457" i="1"/>
  <c r="CA458" i="1" s="1"/>
  <c r="CA459" i="1" s="1"/>
  <c r="BM232" i="1" l="1"/>
  <c r="BN230" i="1"/>
  <c r="BR169" i="1"/>
  <c r="BS167" i="1"/>
  <c r="BS166" i="1"/>
  <c r="BT166" i="1" s="1"/>
  <c r="BM233" i="1"/>
  <c r="BN228" i="1"/>
  <c r="BN229" i="1"/>
  <c r="CC455" i="1"/>
  <c r="CB457" i="1"/>
  <c r="CB458" i="1" s="1"/>
  <c r="CB459" i="1" s="1"/>
  <c r="BN233" i="1" l="1"/>
  <c r="BO228" i="1"/>
  <c r="BO229" i="1"/>
  <c r="BS169" i="1"/>
  <c r="BT167" i="1"/>
  <c r="BT165" i="1"/>
  <c r="BU165" i="1" s="1"/>
  <c r="BN232" i="1"/>
  <c r="BO230" i="1"/>
  <c r="CD455" i="1"/>
  <c r="CC457" i="1"/>
  <c r="CC458" i="1" s="1"/>
  <c r="CC459" i="1" s="1"/>
  <c r="BO232" i="1" l="1"/>
  <c r="BP230" i="1"/>
  <c r="BU167" i="1"/>
  <c r="BT169" i="1"/>
  <c r="BU166" i="1"/>
  <c r="BV166" i="1" s="1"/>
  <c r="BP229" i="1"/>
  <c r="BO233" i="1"/>
  <c r="BP228" i="1"/>
  <c r="CE455" i="1"/>
  <c r="CD457" i="1"/>
  <c r="CD458" i="1" s="1"/>
  <c r="CD459" i="1" s="1"/>
  <c r="BP232" i="1" l="1"/>
  <c r="BQ230" i="1"/>
  <c r="BQ229" i="1"/>
  <c r="BP233" i="1"/>
  <c r="BQ228" i="1"/>
  <c r="BU169" i="1"/>
  <c r="BV167" i="1"/>
  <c r="BV165" i="1"/>
  <c r="BW165" i="1" s="1"/>
  <c r="CF455" i="1"/>
  <c r="CE457" i="1"/>
  <c r="CE458" i="1" s="1"/>
  <c r="CE459" i="1" s="1"/>
  <c r="BW166" i="1" l="1"/>
  <c r="BW167" i="1"/>
  <c r="BV169" i="1"/>
  <c r="BQ233" i="1"/>
  <c r="BR228" i="1"/>
  <c r="BR229" i="1"/>
  <c r="BQ232" i="1"/>
  <c r="BR230" i="1"/>
  <c r="CG455" i="1"/>
  <c r="CF457" i="1"/>
  <c r="CF458" i="1" s="1"/>
  <c r="CF459" i="1" s="1"/>
  <c r="BS229" i="1" l="1"/>
  <c r="BR232" i="1"/>
  <c r="BS230" i="1"/>
  <c r="BR233" i="1"/>
  <c r="BS228" i="1"/>
  <c r="BW169" i="1"/>
  <c r="BX167" i="1"/>
  <c r="BX166" i="1"/>
  <c r="BX165" i="1"/>
  <c r="CH455" i="1"/>
  <c r="CG457" i="1"/>
  <c r="CG458" i="1" s="1"/>
  <c r="CG459" i="1" s="1"/>
  <c r="BY165" i="1" l="1"/>
  <c r="BS233" i="1"/>
  <c r="BT228" i="1"/>
  <c r="BY167" i="1"/>
  <c r="BX169" i="1"/>
  <c r="BY166" i="1"/>
  <c r="BS232" i="1"/>
  <c r="BT230" i="1"/>
  <c r="BT229" i="1"/>
  <c r="CI455" i="1"/>
  <c r="CH457" i="1"/>
  <c r="CH458" i="1" s="1"/>
  <c r="CH459" i="1" s="1"/>
  <c r="BZ166" i="1" l="1"/>
  <c r="BU229" i="1"/>
  <c r="BT232" i="1"/>
  <c r="BU230" i="1"/>
  <c r="BZ165" i="1"/>
  <c r="BZ167" i="1"/>
  <c r="BY169" i="1"/>
  <c r="BT233" i="1"/>
  <c r="BU228" i="1"/>
  <c r="CJ455" i="1"/>
  <c r="CI457" i="1"/>
  <c r="CI458" i="1" s="1"/>
  <c r="CI459" i="1" s="1"/>
  <c r="BU233" i="1" l="1"/>
  <c r="BV228" i="1"/>
  <c r="BZ169" i="1"/>
  <c r="CA167" i="1"/>
  <c r="CA165" i="1"/>
  <c r="CA166" i="1"/>
  <c r="BU232" i="1"/>
  <c r="BV230" i="1"/>
  <c r="BV229" i="1"/>
  <c r="CK455" i="1"/>
  <c r="CJ457" i="1"/>
  <c r="CJ458" i="1" s="1"/>
  <c r="CJ459" i="1" s="1"/>
  <c r="CB166" i="1" l="1"/>
  <c r="BW229" i="1"/>
  <c r="BV232" i="1"/>
  <c r="BW230" i="1"/>
  <c r="CB165" i="1"/>
  <c r="CA169" i="1"/>
  <c r="CB167" i="1"/>
  <c r="BV233" i="1"/>
  <c r="BW228" i="1"/>
  <c r="CL455" i="1"/>
  <c r="CK457" i="1"/>
  <c r="CK458" i="1" s="1"/>
  <c r="CK459" i="1" s="1"/>
  <c r="BW233" i="1" l="1"/>
  <c r="BX228" i="1"/>
  <c r="CB169" i="1"/>
  <c r="CC167" i="1"/>
  <c r="CC165" i="1"/>
  <c r="CC166" i="1"/>
  <c r="CD166" i="1" s="1"/>
  <c r="BW232" i="1"/>
  <c r="BX230" i="1"/>
  <c r="BX229" i="1"/>
  <c r="CM455" i="1"/>
  <c r="CL457" i="1"/>
  <c r="CL458" i="1" s="1"/>
  <c r="CL459" i="1" s="1"/>
  <c r="BY229" i="1" l="1"/>
  <c r="BX232" i="1"/>
  <c r="BY230" i="1"/>
  <c r="CD165" i="1"/>
  <c r="CC169" i="1"/>
  <c r="CD167" i="1"/>
  <c r="BX233" i="1"/>
  <c r="BY228" i="1"/>
  <c r="CN455" i="1"/>
  <c r="CM457" i="1"/>
  <c r="CM458" i="1" s="1"/>
  <c r="CM459" i="1" s="1"/>
  <c r="BY233" i="1" l="1"/>
  <c r="BZ228" i="1"/>
  <c r="CD169" i="1"/>
  <c r="CE167" i="1"/>
  <c r="CE165" i="1"/>
  <c r="CE166" i="1"/>
  <c r="BY232" i="1"/>
  <c r="BZ230" i="1"/>
  <c r="BZ229" i="1"/>
  <c r="CO455" i="1"/>
  <c r="CN457" i="1"/>
  <c r="CN458" i="1" s="1"/>
  <c r="CN459" i="1" s="1"/>
  <c r="CF166" i="1" l="1"/>
  <c r="CA229" i="1"/>
  <c r="BZ232" i="1"/>
  <c r="CA230" i="1"/>
  <c r="CF165" i="1"/>
  <c r="CF167" i="1"/>
  <c r="CE169" i="1"/>
  <c r="BZ233" i="1"/>
  <c r="CA228" i="1"/>
  <c r="CP455" i="1"/>
  <c r="CO457" i="1"/>
  <c r="CO458" i="1" s="1"/>
  <c r="CO459" i="1" s="1"/>
  <c r="CA233" i="1" l="1"/>
  <c r="CB228" i="1"/>
  <c r="CG167" i="1"/>
  <c r="CF169" i="1"/>
  <c r="CG165" i="1"/>
  <c r="CG166" i="1"/>
  <c r="CH166" i="1" s="1"/>
  <c r="CB229" i="1"/>
  <c r="CA232" i="1"/>
  <c r="CB230" i="1"/>
  <c r="CQ455" i="1"/>
  <c r="CP457" i="1"/>
  <c r="CP458" i="1" s="1"/>
  <c r="CP459" i="1" s="1"/>
  <c r="CC229" i="1" l="1"/>
  <c r="CB232" i="1"/>
  <c r="CC230" i="1"/>
  <c r="CH165" i="1"/>
  <c r="CG169" i="1"/>
  <c r="CH167" i="1"/>
  <c r="CB233" i="1"/>
  <c r="CC228" i="1"/>
  <c r="CR455" i="1"/>
  <c r="CQ457" i="1"/>
  <c r="CQ458" i="1" s="1"/>
  <c r="CQ459" i="1" s="1"/>
  <c r="CC233" i="1" l="1"/>
  <c r="CD228" i="1"/>
  <c r="CI167" i="1"/>
  <c r="CH169" i="1"/>
  <c r="CI165" i="1"/>
  <c r="CI166" i="1"/>
  <c r="CC232" i="1"/>
  <c r="CD230" i="1"/>
  <c r="CD229" i="1"/>
  <c r="CS455" i="1"/>
  <c r="CR457" i="1"/>
  <c r="CR458" i="1" s="1"/>
  <c r="CR459" i="1" s="1"/>
  <c r="CJ166" i="1" l="1"/>
  <c r="CE229" i="1"/>
  <c r="CD232" i="1"/>
  <c r="CE230" i="1"/>
  <c r="CJ165" i="1"/>
  <c r="CJ167" i="1"/>
  <c r="CI169" i="1"/>
  <c r="CD233" i="1"/>
  <c r="CE228" i="1"/>
  <c r="CT455" i="1"/>
  <c r="CS457" i="1"/>
  <c r="CS458" i="1" s="1"/>
  <c r="CS459" i="1" s="1"/>
  <c r="CE233" i="1" l="1"/>
  <c r="CF228" i="1"/>
  <c r="CK167" i="1"/>
  <c r="CJ169" i="1"/>
  <c r="CK165" i="1"/>
  <c r="CK166" i="1"/>
  <c r="CF229" i="1"/>
  <c r="CE232" i="1"/>
  <c r="CF230" i="1"/>
  <c r="CU455" i="1"/>
  <c r="CT457" i="1"/>
  <c r="CT458" i="1" s="1"/>
  <c r="CT459" i="1" s="1"/>
  <c r="CL166" i="1" l="1"/>
  <c r="CG229" i="1"/>
  <c r="CF232" i="1"/>
  <c r="CG230" i="1"/>
  <c r="CL165" i="1"/>
  <c r="CL167" i="1"/>
  <c r="CK169" i="1"/>
  <c r="CF233" i="1"/>
  <c r="CG228" i="1"/>
  <c r="CV455" i="1"/>
  <c r="CU457" i="1"/>
  <c r="CU458" i="1" s="1"/>
  <c r="CU459" i="1" s="1"/>
  <c r="CG233" i="1" l="1"/>
  <c r="CH228" i="1"/>
  <c r="CM167" i="1"/>
  <c r="CL169" i="1"/>
  <c r="CM165" i="1"/>
  <c r="CM166" i="1"/>
  <c r="CN166" i="1" s="1"/>
  <c r="CG232" i="1"/>
  <c r="CH230" i="1"/>
  <c r="CH229" i="1"/>
  <c r="CW455" i="1"/>
  <c r="CV457" i="1"/>
  <c r="CV458" i="1" s="1"/>
  <c r="CV459" i="1" s="1"/>
  <c r="CI229" i="1" l="1"/>
  <c r="CH232" i="1"/>
  <c r="CI230" i="1"/>
  <c r="CN165" i="1"/>
  <c r="CM169" i="1"/>
  <c r="CN167" i="1"/>
  <c r="CH233" i="1"/>
  <c r="CI228" i="1"/>
  <c r="CX455" i="1"/>
  <c r="CX457" i="1" s="1"/>
  <c r="CX458" i="1" s="1"/>
  <c r="CX459" i="1" s="1"/>
  <c r="CW457" i="1"/>
  <c r="CW458" i="1" s="1"/>
  <c r="CW459" i="1" s="1"/>
  <c r="CI233" i="1" l="1"/>
  <c r="CJ228" i="1"/>
  <c r="CJ233" i="1" s="1"/>
  <c r="CO167" i="1"/>
  <c r="CN169" i="1"/>
  <c r="CO165" i="1"/>
  <c r="CO166" i="1"/>
  <c r="CP166" i="1" s="1"/>
  <c r="CJ229" i="1"/>
  <c r="CI232" i="1"/>
  <c r="CJ230" i="1"/>
  <c r="C460" i="1"/>
  <c r="D462" i="1" s="1"/>
  <c r="D373" i="1"/>
  <c r="D377" i="1" s="1"/>
  <c r="CK228" i="1" l="1"/>
  <c r="CK229" i="1"/>
  <c r="CJ232" i="1"/>
  <c r="CK230" i="1"/>
  <c r="CP165" i="1"/>
  <c r="CO169" i="1"/>
  <c r="CP167" i="1"/>
  <c r="CQ167" i="1" l="1"/>
  <c r="CP169" i="1"/>
  <c r="CL229" i="1"/>
  <c r="CQ165" i="1"/>
  <c r="CQ166" i="1"/>
  <c r="CR166" i="1" s="1"/>
  <c r="CK232" i="1"/>
  <c r="CL230" i="1"/>
  <c r="CK233" i="1"/>
  <c r="CL228" i="1"/>
  <c r="CL233" i="1" l="1"/>
  <c r="CM228" i="1"/>
  <c r="CL232" i="1"/>
  <c r="CM230" i="1"/>
  <c r="CR165" i="1"/>
  <c r="CM229" i="1"/>
  <c r="CN229" i="1" s="1"/>
  <c r="CR167" i="1"/>
  <c r="CQ169" i="1"/>
  <c r="CR169" i="1" l="1"/>
  <c r="CS167" i="1"/>
  <c r="CS165" i="1"/>
  <c r="CS166" i="1"/>
  <c r="CM232" i="1"/>
  <c r="CN230" i="1"/>
  <c r="CM233" i="1"/>
  <c r="CN228" i="1"/>
  <c r="CT166" i="1" l="1"/>
  <c r="CN233" i="1"/>
  <c r="CO228" i="1"/>
  <c r="CN232" i="1"/>
  <c r="CO230" i="1"/>
  <c r="CT165" i="1"/>
  <c r="CS169" i="1"/>
  <c r="CT167" i="1"/>
  <c r="CO229" i="1"/>
  <c r="CP229" i="1" s="1"/>
  <c r="CU165" i="1" l="1"/>
  <c r="CU167" i="1"/>
  <c r="CT169" i="1"/>
  <c r="CU166" i="1"/>
  <c r="CV166" i="1" s="1"/>
  <c r="CO232" i="1"/>
  <c r="CP230" i="1"/>
  <c r="CO233" i="1"/>
  <c r="CP228" i="1"/>
  <c r="CV165" i="1"/>
  <c r="CP232" i="1" l="1"/>
  <c r="CQ230" i="1"/>
  <c r="CP233" i="1"/>
  <c r="CQ228" i="1"/>
  <c r="CV167" i="1"/>
  <c r="CU169" i="1"/>
  <c r="CW165" i="1"/>
  <c r="CW166" i="1"/>
  <c r="CQ229" i="1"/>
  <c r="CR229" i="1" s="1"/>
  <c r="CQ233" i="1" l="1"/>
  <c r="CR228" i="1"/>
  <c r="CQ232" i="1"/>
  <c r="CR230" i="1"/>
  <c r="CV169" i="1"/>
  <c r="CW167" i="1"/>
  <c r="CR232" i="1" l="1"/>
  <c r="CS230" i="1"/>
  <c r="CX167" i="1"/>
  <c r="CW169" i="1"/>
  <c r="CX165" i="1"/>
  <c r="CX166" i="1"/>
  <c r="CR233" i="1"/>
  <c r="CS228" i="1"/>
  <c r="CS229" i="1"/>
  <c r="CT229" i="1" l="1"/>
  <c r="CY166" i="1"/>
  <c r="CY165" i="1"/>
  <c r="CS233" i="1"/>
  <c r="CT228" i="1"/>
  <c r="CY167" i="1"/>
  <c r="CX169" i="1"/>
  <c r="CS232" i="1"/>
  <c r="CT230" i="1"/>
  <c r="CU229" i="1" s="1"/>
  <c r="CZ166" i="1"/>
  <c r="CT233" i="1" l="1"/>
  <c r="CU228" i="1"/>
  <c r="CT232" i="1"/>
  <c r="CU230" i="1"/>
  <c r="CZ167" i="1"/>
  <c r="CY169" i="1"/>
  <c r="CZ165" i="1"/>
  <c r="DA165" i="1" s="1"/>
  <c r="CZ169" i="1" l="1"/>
  <c r="DA167" i="1"/>
  <c r="CU232" i="1"/>
  <c r="CV230" i="1"/>
  <c r="CV229" i="1"/>
  <c r="CU233" i="1"/>
  <c r="CV228" i="1"/>
  <c r="DA166" i="1"/>
  <c r="DB166" i="1" s="1"/>
  <c r="CV233" i="1" l="1"/>
  <c r="CW228" i="1"/>
  <c r="CW229" i="1"/>
  <c r="DB167" i="1"/>
  <c r="DA169" i="1"/>
  <c r="CV232" i="1"/>
  <c r="CW230" i="1"/>
  <c r="DB165" i="1"/>
  <c r="DC165" i="1" s="1"/>
  <c r="CX229" i="1" l="1"/>
  <c r="CW232" i="1"/>
  <c r="CX230" i="1"/>
  <c r="DC166" i="1"/>
  <c r="DC167" i="1"/>
  <c r="DB169" i="1"/>
  <c r="CW233" i="1"/>
  <c r="CX228" i="1"/>
  <c r="DC169" i="1" l="1"/>
  <c r="DD167" i="1"/>
  <c r="CX232" i="1"/>
  <c r="CY230" i="1"/>
  <c r="CY229" i="1"/>
  <c r="CX233" i="1"/>
  <c r="CY228" i="1"/>
  <c r="DD166" i="1"/>
  <c r="DD165" i="1"/>
  <c r="DE165" i="1" s="1"/>
  <c r="CY233" i="1" l="1"/>
  <c r="CZ228" i="1"/>
  <c r="DE166" i="1"/>
  <c r="CZ229" i="1"/>
  <c r="CY232" i="1"/>
  <c r="CZ230" i="1"/>
  <c r="DD169" i="1"/>
  <c r="DE167" i="1"/>
  <c r="DA229" i="1" l="1"/>
  <c r="CZ233" i="1"/>
  <c r="DA228" i="1"/>
  <c r="DE169" i="1"/>
  <c r="DF167" i="1"/>
  <c r="CZ232" i="1"/>
  <c r="DA230" i="1"/>
  <c r="DF166" i="1"/>
  <c r="DF165" i="1"/>
  <c r="DG165" i="1" l="1"/>
  <c r="DA232" i="1"/>
  <c r="DB230" i="1"/>
  <c r="DB232" i="1" s="1"/>
  <c r="DG166" i="1"/>
  <c r="DF169" i="1"/>
  <c r="DG167" i="1"/>
  <c r="DA233" i="1"/>
  <c r="DB228" i="1"/>
  <c r="DB233" i="1" s="1"/>
  <c r="D234" i="1" s="1"/>
  <c r="DB229" i="1"/>
  <c r="D235" i="1" l="1"/>
  <c r="D236" i="1" s="1"/>
  <c r="D239" i="1"/>
  <c r="D238" i="1"/>
  <c r="D237" i="1"/>
  <c r="DG169" i="1"/>
  <c r="DH167" i="1"/>
  <c r="DH166" i="1"/>
  <c r="DH165" i="1"/>
  <c r="DI165" i="1" l="1"/>
  <c r="DI166" i="1"/>
  <c r="DI167" i="1"/>
  <c r="DH169" i="1"/>
  <c r="DJ166" i="1" l="1"/>
  <c r="DI169" i="1"/>
  <c r="DJ167" i="1"/>
  <c r="DJ165" i="1"/>
  <c r="DK165" i="1" l="1"/>
  <c r="DJ169" i="1"/>
  <c r="DK167" i="1"/>
  <c r="DK166" i="1"/>
  <c r="DL166" i="1" s="1"/>
  <c r="DK169" i="1" l="1"/>
  <c r="DL167" i="1"/>
  <c r="DL165" i="1"/>
  <c r="DM165" i="1" l="1"/>
  <c r="DL169" i="1"/>
  <c r="DM167" i="1"/>
  <c r="DM166" i="1"/>
  <c r="DN166" i="1" s="1"/>
  <c r="DM169" i="1" l="1"/>
  <c r="DN167" i="1"/>
  <c r="DN165" i="1"/>
  <c r="DO165" i="1" s="1"/>
  <c r="DO167" i="1" l="1"/>
  <c r="DN169" i="1"/>
  <c r="DO166" i="1"/>
  <c r="DP166" i="1" s="1"/>
  <c r="DO169" i="1" l="1"/>
  <c r="DP167" i="1"/>
  <c r="DP165" i="1"/>
  <c r="DQ165" i="1" s="1"/>
  <c r="DP169" i="1" l="1"/>
  <c r="DQ167" i="1"/>
  <c r="DQ166" i="1"/>
  <c r="DR166" i="1" s="1"/>
  <c r="DQ169" i="1" l="1"/>
  <c r="DR167" i="1"/>
  <c r="DR165" i="1"/>
  <c r="DS165" i="1" s="1"/>
  <c r="DS167" i="1" l="1"/>
  <c r="DR169" i="1"/>
  <c r="DS166" i="1"/>
  <c r="DT166" i="1" s="1"/>
  <c r="DS169" i="1" l="1"/>
  <c r="DT167" i="1"/>
  <c r="DT165" i="1"/>
  <c r="DU165" i="1" s="1"/>
  <c r="DT169" i="1" l="1"/>
  <c r="DU167" i="1"/>
  <c r="DU166" i="1"/>
  <c r="DV166" i="1" s="1"/>
  <c r="DV167" i="1" l="1"/>
  <c r="DU169" i="1"/>
  <c r="DV165" i="1"/>
  <c r="DW165" i="1" s="1"/>
  <c r="DV169" i="1" l="1"/>
  <c r="DW167" i="1"/>
  <c r="DW166" i="1"/>
  <c r="DX166" i="1" s="1"/>
  <c r="DW169" i="1" l="1"/>
  <c r="DX167" i="1"/>
  <c r="DX165" i="1"/>
  <c r="DY165" i="1" l="1"/>
  <c r="DY167" i="1"/>
  <c r="DX169" i="1"/>
  <c r="DY166" i="1"/>
  <c r="DZ166" i="1" s="1"/>
  <c r="DZ167" i="1" l="1"/>
  <c r="DY169" i="1"/>
  <c r="DZ165" i="1"/>
  <c r="EA165" i="1" s="1"/>
  <c r="DZ169" i="1" l="1"/>
  <c r="EA167" i="1"/>
  <c r="EA166" i="1"/>
  <c r="EB166" i="1" s="1"/>
  <c r="EB167" i="1" l="1"/>
  <c r="EA169" i="1"/>
  <c r="EB165" i="1"/>
  <c r="EC165" i="1" s="1"/>
  <c r="EB169" i="1" l="1"/>
  <c r="EC167" i="1"/>
  <c r="EC166" i="1"/>
  <c r="ED166" i="1" s="1"/>
  <c r="EC169" i="1" l="1"/>
  <c r="ED167" i="1"/>
  <c r="ED165" i="1"/>
  <c r="EE165" i="1" s="1"/>
  <c r="ED169" i="1" l="1"/>
  <c r="EE167" i="1"/>
  <c r="EE166" i="1"/>
  <c r="EF166" i="1" s="1"/>
  <c r="EE169" i="1" l="1"/>
  <c r="EF167" i="1"/>
  <c r="EF165" i="1"/>
  <c r="EG165" i="1" s="1"/>
  <c r="EG167" i="1" l="1"/>
  <c r="EF169" i="1"/>
  <c r="EG166" i="1"/>
  <c r="EH166" i="1" s="1"/>
  <c r="EG169" i="1" l="1"/>
  <c r="EH167" i="1"/>
  <c r="EH165" i="1"/>
  <c r="EI165" i="1" s="1"/>
  <c r="EH169" i="1" l="1"/>
  <c r="EI167" i="1"/>
  <c r="EI166" i="1"/>
  <c r="EJ166" i="1" s="1"/>
  <c r="EI169" i="1" l="1"/>
  <c r="EJ167" i="1"/>
  <c r="EJ165" i="1"/>
  <c r="EK165" i="1" s="1"/>
  <c r="EK167" i="1" l="1"/>
  <c r="EJ169" i="1"/>
  <c r="EK166" i="1"/>
  <c r="EL166" i="1" s="1"/>
  <c r="EL167" i="1" l="1"/>
  <c r="EK169" i="1"/>
  <c r="EL165" i="1"/>
  <c r="EM165" i="1" l="1"/>
  <c r="EL169" i="1"/>
  <c r="EM167" i="1"/>
  <c r="EM166" i="1"/>
  <c r="EN166" i="1" s="1"/>
  <c r="EM169" i="1" l="1"/>
  <c r="EN167" i="1"/>
  <c r="EN165" i="1"/>
  <c r="EO165" i="1" s="1"/>
  <c r="EN169" i="1" l="1"/>
  <c r="EO167" i="1"/>
  <c r="EO166" i="1"/>
  <c r="EP166" i="1" s="1"/>
  <c r="EO169" i="1" l="1"/>
  <c r="EP167" i="1"/>
  <c r="EP165" i="1"/>
  <c r="EQ165" i="1" l="1"/>
  <c r="EP169" i="1"/>
  <c r="EQ167" i="1"/>
  <c r="EQ166" i="1"/>
  <c r="ER166" i="1" l="1"/>
  <c r="EQ169" i="1"/>
  <c r="ER167" i="1"/>
  <c r="ER165" i="1"/>
  <c r="ES165" i="1" s="1"/>
  <c r="ER169" i="1" l="1"/>
  <c r="ES167" i="1"/>
  <c r="ES166" i="1"/>
  <c r="ET166" i="1" s="1"/>
  <c r="ES169" i="1" l="1"/>
  <c r="ET167" i="1"/>
  <c r="ET165" i="1"/>
  <c r="EU165" i="1" s="1"/>
  <c r="ET169" i="1" l="1"/>
  <c r="EU167" i="1"/>
  <c r="EU166" i="1"/>
  <c r="EV166" i="1" s="1"/>
  <c r="EU169" i="1" l="1"/>
  <c r="EV167" i="1"/>
  <c r="EV165" i="1"/>
  <c r="EW165" i="1" s="1"/>
  <c r="EV169" i="1" l="1"/>
  <c r="EW167" i="1"/>
  <c r="EW166" i="1"/>
  <c r="EX166" i="1" s="1"/>
  <c r="EX167" i="1" l="1"/>
  <c r="EW169" i="1"/>
  <c r="EX165" i="1"/>
  <c r="EY165" i="1" s="1"/>
  <c r="EX169" i="1" l="1"/>
  <c r="EY167" i="1"/>
  <c r="EY166" i="1"/>
  <c r="EZ166" i="1" s="1"/>
  <c r="EY169" i="1" l="1"/>
  <c r="EZ167" i="1"/>
  <c r="EZ165" i="1"/>
  <c r="FA165" i="1" s="1"/>
  <c r="FA166" i="1" l="1"/>
  <c r="EZ169" i="1"/>
  <c r="FA167" i="1"/>
  <c r="FB165" i="1" l="1"/>
  <c r="FA169" i="1"/>
  <c r="FB167" i="1"/>
  <c r="FB166" i="1"/>
  <c r="FC166" i="1" l="1"/>
  <c r="FC167" i="1"/>
  <c r="FB169" i="1"/>
  <c r="FC165" i="1"/>
  <c r="FD165" i="1" s="1"/>
  <c r="FC169" i="1" l="1"/>
  <c r="FD167" i="1"/>
  <c r="FD166" i="1"/>
  <c r="FE166" i="1" s="1"/>
  <c r="FE167" i="1" l="1"/>
  <c r="FD169" i="1"/>
  <c r="FE165" i="1"/>
  <c r="FF165" i="1" l="1"/>
  <c r="FF166" i="1"/>
  <c r="FE169" i="1"/>
  <c r="FF167" i="1"/>
  <c r="FF169" i="1" l="1"/>
  <c r="FG167" i="1"/>
  <c r="FG166" i="1"/>
  <c r="FG165" i="1"/>
  <c r="FH165" i="1" s="1"/>
  <c r="FH166" i="1" l="1"/>
  <c r="FG169" i="1"/>
  <c r="FH167" i="1"/>
  <c r="FI166" i="1" l="1"/>
  <c r="FH169" i="1"/>
  <c r="FI167" i="1"/>
  <c r="FI165" i="1"/>
  <c r="FJ165" i="1" l="1"/>
  <c r="FI169" i="1"/>
  <c r="FJ167" i="1"/>
  <c r="FJ166" i="1"/>
  <c r="FK166" i="1" l="1"/>
  <c r="FK167" i="1"/>
  <c r="FJ169" i="1"/>
  <c r="FK165" i="1"/>
  <c r="FL165" i="1" l="1"/>
  <c r="FK169" i="1"/>
  <c r="FL167" i="1"/>
  <c r="FL166" i="1"/>
  <c r="FM167" i="1" l="1"/>
  <c r="FL169" i="1"/>
  <c r="FM166" i="1"/>
  <c r="FM165" i="1"/>
  <c r="FN165" i="1" l="1"/>
  <c r="FN166" i="1"/>
  <c r="FM169" i="1"/>
  <c r="FN167" i="1"/>
  <c r="FO167" i="1" l="1"/>
  <c r="FN169" i="1"/>
  <c r="FO165" i="1"/>
  <c r="FO166" i="1"/>
  <c r="FP166" i="1" l="1"/>
  <c r="FP165" i="1"/>
  <c r="FO169" i="1"/>
  <c r="FP167" i="1"/>
  <c r="FQ167" i="1" l="1"/>
  <c r="FP169" i="1"/>
  <c r="FQ166" i="1"/>
  <c r="FQ165" i="1"/>
  <c r="FR166" i="1" l="1"/>
  <c r="FR165" i="1"/>
  <c r="FQ169" i="1"/>
  <c r="FR167" i="1"/>
  <c r="FS165" i="1" l="1"/>
  <c r="FR169" i="1"/>
  <c r="FS167" i="1"/>
  <c r="FS166" i="1"/>
  <c r="FT166" i="1" l="1"/>
  <c r="FS169" i="1"/>
  <c r="FT167" i="1"/>
  <c r="FT165" i="1"/>
  <c r="FU165" i="1" s="1"/>
  <c r="FU167" i="1" l="1"/>
  <c r="FT169" i="1"/>
  <c r="FU166" i="1"/>
  <c r="FV166" i="1" l="1"/>
  <c r="FU169" i="1"/>
  <c r="FV167" i="1"/>
  <c r="FV165" i="1"/>
  <c r="FW165" i="1" l="1"/>
  <c r="FW167" i="1"/>
  <c r="FV169" i="1"/>
  <c r="FW166" i="1"/>
  <c r="FX166" i="1" l="1"/>
  <c r="FW169" i="1"/>
  <c r="FX167" i="1"/>
  <c r="FX165" i="1"/>
  <c r="FY165" i="1" s="1"/>
  <c r="FY167" i="1" l="1"/>
  <c r="FX169" i="1"/>
  <c r="FY166" i="1"/>
  <c r="FZ166" i="1" l="1"/>
  <c r="FZ165" i="1"/>
  <c r="FY169" i="1"/>
  <c r="FZ167" i="1"/>
  <c r="GA167" i="1" l="1"/>
  <c r="FZ169" i="1"/>
  <c r="GA165" i="1"/>
  <c r="GA166" i="1"/>
  <c r="GB166" i="1" s="1"/>
  <c r="GB165" i="1" l="1"/>
  <c r="GA169" i="1"/>
  <c r="GB167" i="1"/>
  <c r="GC167" i="1" l="1"/>
  <c r="GB169" i="1"/>
  <c r="GC165" i="1"/>
  <c r="GC166" i="1"/>
  <c r="GD166" i="1" s="1"/>
  <c r="GD165" i="1" l="1"/>
  <c r="GC169" i="1"/>
  <c r="GD167" i="1"/>
  <c r="GD169" i="1" l="1"/>
  <c r="GE167" i="1"/>
  <c r="GE166" i="1"/>
  <c r="GE165" i="1"/>
  <c r="GF165" i="1" s="1"/>
  <c r="GF166" i="1" l="1"/>
  <c r="GE169" i="1"/>
  <c r="GF167" i="1"/>
  <c r="GG167" i="1" l="1"/>
  <c r="GF169" i="1"/>
  <c r="GG165" i="1"/>
  <c r="GG166" i="1"/>
  <c r="GH165" i="1" l="1"/>
  <c r="GH166" i="1"/>
  <c r="GH167" i="1"/>
  <c r="GG169" i="1"/>
  <c r="GH169" i="1" l="1"/>
  <c r="GI167" i="1"/>
  <c r="GI166" i="1"/>
  <c r="GI165" i="1"/>
  <c r="GJ165" i="1" s="1"/>
  <c r="GJ166" i="1" l="1"/>
  <c r="GI169" i="1"/>
  <c r="GJ167" i="1"/>
  <c r="GK167" i="1" l="1"/>
  <c r="GJ169" i="1"/>
  <c r="GK166" i="1"/>
  <c r="GK165" i="1"/>
  <c r="GL165" i="1" l="1"/>
  <c r="GL166" i="1"/>
  <c r="GK169" i="1"/>
  <c r="GL167" i="1"/>
  <c r="GM166" i="1" l="1"/>
  <c r="GM167" i="1"/>
  <c r="GL169" i="1"/>
  <c r="GM165" i="1"/>
  <c r="GN165" i="1" l="1"/>
  <c r="GM169" i="1"/>
  <c r="GN167" i="1"/>
  <c r="GN166" i="1"/>
  <c r="GO166" i="1" l="1"/>
  <c r="GO165" i="1"/>
  <c r="GO167" i="1"/>
  <c r="GN169" i="1"/>
  <c r="GO169" i="1" l="1"/>
  <c r="GP167" i="1"/>
  <c r="GP165" i="1"/>
  <c r="GP166" i="1"/>
  <c r="GQ165" i="1" l="1"/>
  <c r="GQ166" i="1"/>
  <c r="GQ167" i="1"/>
  <c r="GQ169" i="1" s="1"/>
  <c r="GP169" i="1"/>
</calcChain>
</file>

<file path=xl/sharedStrings.xml><?xml version="1.0" encoding="utf-8"?>
<sst xmlns="http://schemas.openxmlformats.org/spreadsheetml/2006/main" count="1493" uniqueCount="941">
  <si>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</si>
  <si>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</si>
  <si>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</si>
  <si>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</si>
  <si>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</si>
  <si>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</si>
  <si>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</si>
  <si>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</si>
  <si>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</si>
  <si>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</si>
  <si>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</si>
  <si>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</si>
  <si>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</si>
  <si>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</si>
  <si>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</si>
  <si>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</si>
  <si>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</si>
  <si>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</si>
  <si>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</si>
  <si>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</si>
  <si>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</si>
  <si>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</si>
  <si>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</si>
  <si>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</si>
  <si>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</si>
  <si>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</si>
  <si>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</si>
  <si>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</si>
  <si>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</si>
  <si>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</si>
  <si>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</si>
  <si>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</si>
  <si>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</si>
  <si>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</si>
  <si>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</si>
  <si>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</si>
  <si>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</si>
  <si>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voltage to drive primary of transformer</t>
  </si>
  <si>
    <t>Minimum voltage to drive primary of transformer</t>
  </si>
  <si>
    <t>Switching frequency</t>
  </si>
  <si>
    <t>f_sw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</si>
  <si>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</si>
  <si>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</si>
  <si>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</si>
  <si>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</si>
  <si>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</si>
  <si>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</si>
  <si>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</si>
  <si>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</si>
  <si>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</si>
  <si>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</si>
  <si>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</si>
  <si>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</si>
  <si>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</si>
  <si>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</si>
  <si>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I_o</t>
  </si>
  <si>
    <t>Value</t>
  </si>
  <si>
    <t>Enough stages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</si>
  <si>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</si>
  <si>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</si>
  <si>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</si>
  <si>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</si>
  <si>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</si>
  <si>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</si>
  <si>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</si>
  <si>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</si>
  <si>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</si>
  <si>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</si>
  <si>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</si>
  <si>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</si>
  <si>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</si>
  <si>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</si>
  <si>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</si>
  <si>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</si>
  <si>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</si>
  <si>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</si>
  <si>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</si>
  <si>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</si>
  <si>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</si>
  <si>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</si>
  <si>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</si>
  <si>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</si>
  <si>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</si>
  <si>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</si>
  <si>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</si>
  <si>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</si>
  <si>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</si>
  <si>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</si>
  <si>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</si>
  <si>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</si>
  <si>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</si>
  <si>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</si>
  <si>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</si>
  <si>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</si>
  <si>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</si>
  <si>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</si>
  <si>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</si>
  <si>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</si>
  <si>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</si>
  <si>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</si>
  <si>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</si>
  <si>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</si>
  <si>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</si>
  <si>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</si>
  <si>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</si>
  <si>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</si>
  <si>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</si>
  <si>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</si>
  <si>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</si>
  <si>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</si>
  <si>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</si>
  <si>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</si>
  <si>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</si>
  <si>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</si>
  <si>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</si>
  <si>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</si>
  <si>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</si>
  <si>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</si>
  <si>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</si>
  <si>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</si>
  <si>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</si>
  <si>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</si>
  <si>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</si>
  <si>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</si>
  <si>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</si>
  <si>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</si>
  <si>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</si>
  <si>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</si>
  <si>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</si>
  <si>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</si>
  <si>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</si>
  <si>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</si>
  <si>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</si>
  <si>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</si>
  <si>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</si>
  <si>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</si>
  <si>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</si>
  <si>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</si>
  <si>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</si>
  <si>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</si>
  <si>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</si>
  <si>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</si>
  <si>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</si>
  <si>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</si>
  <si>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</si>
  <si>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</si>
  <si>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</si>
  <si>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</si>
  <si>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</si>
  <si>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</si>
  <si>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</si>
  <si>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</si>
  <si>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</si>
  <si>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</si>
  <si>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</si>
  <si>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</si>
  <si>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</si>
  <si>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</si>
  <si>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</si>
  <si>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</si>
  <si>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</si>
  <si>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</si>
  <si>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</si>
  <si>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</si>
  <si>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</si>
  <si>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</si>
  <si>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</si>
  <si>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</si>
  <si>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</si>
  <si>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</si>
  <si>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</si>
  <si>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</si>
  <si>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</si>
  <si>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</si>
  <si>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</si>
  <si>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</si>
  <si>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</si>
  <si>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</si>
  <si>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</si>
  <si>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</si>
  <si>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</si>
  <si>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</si>
  <si>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</si>
  <si>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</si>
  <si>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</si>
  <si>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</si>
  <si>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</si>
  <si>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</si>
  <si>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</si>
  <si>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</si>
  <si>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</si>
  <si>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</si>
  <si>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</si>
  <si>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</si>
  <si>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</si>
  <si>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</si>
  <si>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</si>
  <si>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</si>
  <si>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</si>
  <si>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</si>
  <si>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</si>
  <si>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</si>
  <si>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</si>
  <si>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</si>
  <si>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</si>
  <si>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I_peak</t>
  </si>
  <si>
    <t>Multiple V_in_max should tollerate</t>
  </si>
  <si>
    <t>Maximum input voltage for range</t>
  </si>
  <si>
    <t>P_on</t>
  </si>
  <si>
    <t>R_DS(on)</t>
  </si>
  <si>
    <t>I_d_required</t>
  </si>
  <si>
    <t>V_ds_required</t>
  </si>
  <si>
    <t>Q_gs</t>
  </si>
  <si>
    <t>Q_gd</t>
  </si>
  <si>
    <t>Q_g</t>
  </si>
  <si>
    <t>Total gate charge</t>
  </si>
  <si>
    <t>I_g</t>
  </si>
  <si>
    <t>R_drive</t>
  </si>
  <si>
    <t>Maximum drive current rating of gate driver</t>
  </si>
  <si>
    <t>Maximum drive current can safely use</t>
  </si>
  <si>
    <t>V_ds_actual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</si>
  <si>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</si>
  <si>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</si>
  <si>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</si>
  <si>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</si>
  <si>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</si>
  <si>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</si>
  <si>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</si>
  <si>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</si>
  <si>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</si>
  <si>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</si>
  <si>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</si>
  <si>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</si>
  <si>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</si>
  <si>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</si>
  <si>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</si>
  <si>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Power for switching (power required to drive gate on and off)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</si>
  <si>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</si>
  <si>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</si>
  <si>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</si>
  <si>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</si>
  <si>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</si>
  <si>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</si>
  <si>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</si>
  <si>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</si>
  <si>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</si>
  <si>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</si>
  <si>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</si>
  <si>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</si>
  <si>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</si>
  <si>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</si>
  <si>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</si>
  <si>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</si>
  <si>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</si>
  <si>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</si>
  <si>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</si>
  <si>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</si>
  <si>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</si>
  <si>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</si>
  <si>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</si>
  <si>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</si>
  <si>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</si>
  <si>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</si>
  <si>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</si>
  <si>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</si>
  <si>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</si>
  <si>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</si>
  <si>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</si>
  <si>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</si>
  <si>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</si>
  <si>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</si>
  <si>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</si>
  <si>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</si>
  <si>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</si>
  <si>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</si>
  <si>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</si>
  <si>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</si>
  <si>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</si>
  <si>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</si>
  <si>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</si>
  <si>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</si>
  <si>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</si>
  <si>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</si>
  <si>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</si>
  <si>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</si>
  <si>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</si>
  <si>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</si>
  <si>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</si>
  <si>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</si>
  <si>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</si>
  <si>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</si>
  <si>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</si>
  <si>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</si>
  <si>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</si>
  <si>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</si>
  <si>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</si>
  <si>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</si>
  <si>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</si>
  <si>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</si>
  <si>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</si>
  <si>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</si>
  <si>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</si>
  <si>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</si>
  <si>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</si>
  <si>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</si>
  <si>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</si>
  <si>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</si>
  <si>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</si>
  <si>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</si>
  <si>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</si>
  <si>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</si>
  <si>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</si>
  <si>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</si>
  <si>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</si>
  <si>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</si>
  <si>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 xml:space="preserve"> </t>
  </si>
  <si>
    <t>k</t>
  </si>
  <si>
    <t>n_s</t>
  </si>
  <si>
    <t>n_r</t>
  </si>
  <si>
    <t>I_max</t>
  </si>
  <si>
    <t>I_min</t>
  </si>
  <si>
    <t>V_g</t>
  </si>
  <si>
    <t>C_2</t>
  </si>
  <si>
    <t>V_max</t>
  </si>
  <si>
    <t>Z_os</t>
  </si>
  <si>
    <t>V_o</t>
  </si>
  <si>
    <t>I_lk_min</t>
  </si>
  <si>
    <t>I_c2_pkR</t>
  </si>
  <si>
    <t>Ids_pk</t>
  </si>
  <si>
    <t>I_c2_pkS</t>
  </si>
  <si>
    <t>L_lk</t>
  </si>
  <si>
    <t>Change Vmax</t>
  </si>
  <si>
    <t>v_ max/V_g</t>
  </si>
  <si>
    <t>E_pulse_max_desired</t>
  </si>
  <si>
    <t>Desired energy into flyback on each cycle with D=D_max</t>
  </si>
  <si>
    <t>n_p/n_s</t>
  </si>
  <si>
    <t>Power Supply Voltage Feedback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</si>
  <si>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</si>
  <si>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</si>
  <si>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</si>
  <si>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</si>
  <si>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</si>
  <si>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</si>
  <si>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</si>
  <si>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</si>
  <si>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</si>
  <si>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</si>
  <si>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</si>
  <si>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</si>
  <si>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</si>
  <si>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</si>
  <si>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</si>
  <si>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</si>
  <si>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</si>
  <si>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</si>
  <si>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</si>
  <si>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</si>
  <si>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</si>
  <si>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</si>
  <si>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</si>
  <si>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</si>
  <si>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</si>
  <si>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</si>
  <si>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</si>
  <si>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</si>
  <si>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</si>
  <si>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</si>
  <si>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</si>
  <si>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</si>
  <si>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</si>
  <si>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</si>
  <si>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</si>
  <si>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</si>
  <si>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</si>
  <si>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</si>
  <si>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</si>
  <si>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</si>
  <si>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</si>
  <si>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</si>
  <si>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</si>
  <si>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</si>
  <si>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</si>
  <si>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</si>
  <si>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</si>
  <si>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</si>
  <si>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</si>
  <si>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</si>
  <si>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</si>
  <si>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</si>
  <si>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</si>
  <si>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</si>
  <si>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</si>
  <si>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</si>
  <si>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</si>
  <si>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</si>
  <si>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</si>
  <si>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</si>
  <si>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</si>
  <si>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</si>
  <si>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</si>
  <si>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</si>
  <si>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</si>
  <si>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</si>
  <si>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</si>
  <si>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</si>
  <si>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</si>
  <si>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</si>
  <si>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</si>
  <si>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</si>
  <si>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</si>
  <si>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</si>
  <si>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</si>
  <si>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</si>
  <si>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</si>
  <si>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</si>
  <si>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</si>
  <si>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</si>
  <si>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</si>
  <si>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</si>
  <si>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</si>
  <si>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</si>
  <si>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</si>
  <si>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</si>
  <si>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</si>
  <si>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</si>
  <si>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</si>
  <si>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</si>
  <si>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</si>
  <si>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</si>
  <si>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</si>
  <si>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</si>
  <si>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</si>
  <si>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</si>
  <si>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</si>
  <si>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</si>
  <si>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</si>
  <si>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</si>
  <si>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</si>
  <si>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</si>
  <si>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</si>
  <si>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</si>
  <si>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</si>
  <si>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</si>
  <si>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</si>
  <si>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</si>
  <si>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</si>
  <si>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</si>
  <si>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</si>
  <si>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</si>
  <si>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</si>
  <si>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</si>
  <si>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</si>
  <si>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</si>
  <si>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</si>
  <si>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</si>
  <si>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</si>
  <si>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</si>
  <si>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</si>
  <si>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</si>
  <si>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</si>
  <si>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</si>
  <si>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</si>
  <si>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</si>
  <si>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</si>
  <si>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</si>
  <si>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</si>
  <si>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</si>
  <si>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</si>
  <si>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</si>
  <si>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</si>
  <si>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</si>
  <si>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</si>
  <si>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</si>
  <si>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</si>
  <si>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</si>
  <si>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</si>
  <si>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Individual current limiting resistor power rating</t>
  </si>
  <si>
    <t>Minimum output voltage acceptible (doesn’t cause too high loss)</t>
  </si>
  <si>
    <t>Maximum steady state power loss at highest rated output voltage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</si>
  <si>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</si>
  <si>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</si>
  <si>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</si>
  <si>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</si>
  <si>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</si>
  <si>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</si>
  <si>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</si>
  <si>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</si>
  <si>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</si>
  <si>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</si>
  <si>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</si>
  <si>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</si>
  <si>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</si>
  <si>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</si>
  <si>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</si>
  <si>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</si>
  <si>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</si>
  <si>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</si>
  <si>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</si>
  <si>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</si>
  <si>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</si>
  <si>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</si>
  <si>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</si>
  <si>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</si>
  <si>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</si>
  <si>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</si>
  <si>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</si>
  <si>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</si>
  <si>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</si>
  <si>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</si>
  <si>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</si>
  <si>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</si>
  <si>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</si>
  <si>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</si>
  <si>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</si>
  <si>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</si>
  <si>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</si>
  <si>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</si>
  <si>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</si>
  <si>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</si>
  <si>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</si>
  <si>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</si>
  <si>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</si>
  <si>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</si>
  <si>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</si>
  <si>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</si>
  <si>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</si>
  <si>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</si>
  <si>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</si>
  <si>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</si>
  <si>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</si>
  <si>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</si>
  <si>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</si>
  <si>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</si>
  <si>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</si>
  <si>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</si>
  <si>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</si>
  <si>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</si>
  <si>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</si>
  <si>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</si>
  <si>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</si>
  <si>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</si>
  <si>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</si>
  <si>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</si>
  <si>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</si>
  <si>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</si>
  <si>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</si>
  <si>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</si>
  <si>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</si>
  <si>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</si>
  <si>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</si>
  <si>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</si>
  <si>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</si>
  <si>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</si>
  <si>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</si>
  <si>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</si>
  <si>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</si>
  <si>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</si>
  <si>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</si>
  <si>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</si>
  <si>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</si>
  <si>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</si>
  <si>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</si>
  <si>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</si>
  <si>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</si>
  <si>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</si>
  <si>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</si>
  <si>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</si>
  <si>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</si>
  <si>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</si>
  <si>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</si>
  <si>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</si>
  <si>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</si>
  <si>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</si>
  <si>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</si>
  <si>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</si>
  <si>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</si>
  <si>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</si>
  <si>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</si>
  <si>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</si>
  <si>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</si>
  <si>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</si>
  <si>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</si>
  <si>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</si>
  <si>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</si>
  <si>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</si>
  <si>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</si>
  <si>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</si>
  <si>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</si>
  <si>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</si>
  <si>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</si>
  <si>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V_supply_max</t>
  </si>
  <si>
    <t>Maximum supply voltage</t>
  </si>
  <si>
    <t>I_DS_pk</t>
  </si>
  <si>
    <t>V_DS_max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</si>
  <si>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</si>
  <si>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</si>
  <si>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</si>
  <si>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</si>
  <si>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</si>
  <si>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</si>
  <si>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</si>
  <si>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</si>
  <si>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</si>
  <si>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</si>
  <si>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</si>
  <si>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</si>
  <si>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</si>
  <si>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</si>
  <si>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</si>
  <si>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</si>
  <si>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</si>
  <si>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</si>
  <si>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</si>
  <si>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</si>
  <si>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</si>
  <si>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</si>
  <si>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</si>
  <si>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</si>
  <si>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</si>
  <si>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</si>
  <si>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</si>
  <si>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</si>
  <si>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</si>
  <si>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</si>
  <si>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</si>
  <si>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</si>
  <si>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</si>
  <si>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</si>
  <si>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</si>
  <si>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</si>
  <si>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</si>
  <si>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</si>
  <si>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</si>
  <si>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</si>
  <si>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</si>
  <si>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</si>
  <si>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</si>
  <si>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</si>
  <si>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</si>
  <si>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</si>
  <si>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</si>
  <si>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</si>
  <si>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</si>
  <si>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</si>
  <si>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</si>
  <si>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</si>
  <si>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</si>
  <si>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</si>
  <si>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</si>
  <si>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</si>
  <si>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</si>
  <si>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</si>
  <si>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</si>
  <si>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</si>
  <si>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</si>
  <si>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</si>
  <si>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</si>
  <si>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</si>
  <si>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</si>
  <si>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</si>
  <si>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</si>
  <si>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</si>
  <si>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</si>
  <si>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</si>
  <si>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</si>
  <si>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</si>
  <si>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</si>
  <si>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</si>
  <si>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</si>
  <si>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</si>
  <si>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</si>
  <si>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</si>
  <si>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</si>
  <si>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</si>
  <si>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</si>
  <si>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</si>
  <si>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</si>
  <si>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</si>
  <si>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</si>
  <si>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</si>
  <si>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</si>
  <si>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</si>
  <si>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</si>
  <si>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</si>
  <si>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</si>
  <si>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</si>
  <si>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</si>
  <si>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</si>
  <si>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</si>
  <si>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</si>
  <si>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</si>
  <si>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</si>
  <si>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</si>
  <si>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</si>
  <si>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I_s_peak_max</t>
  </si>
  <si>
    <t>Max peak secondary current safe for diodes</t>
  </si>
  <si>
    <t>V_stage_max</t>
  </si>
  <si>
    <t>P_out_max_desired</t>
  </si>
  <si>
    <t>Ω⋅m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</si>
  <si>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</si>
  <si>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</si>
  <si>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</si>
  <si>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</si>
  <si>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</si>
  <si>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</si>
  <si>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</si>
  <si>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</si>
  <si>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</si>
  <si>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t>Primary Current Feedback V2 (Current transformer with rectifier bridge and burden resistor and ADC)</t>
  </si>
  <si>
    <t>N Turns</t>
  </si>
  <si>
    <t>Air gap length</t>
  </si>
  <si>
    <t>Inductance</t>
  </si>
  <si>
    <t>A_L</t>
  </si>
  <si>
    <t>UY30 PC40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</si>
  <si>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</si>
  <si>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</si>
  <si>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</si>
  <si>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</si>
  <si>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</si>
  <si>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</si>
  <si>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</si>
  <si>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</si>
  <si>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</si>
  <si>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</si>
  <si>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</si>
  <si>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</si>
  <si>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</si>
  <si>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</si>
  <si>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</si>
  <si>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</si>
  <si>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</si>
  <si>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</si>
  <si>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</si>
  <si>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</si>
  <si>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</si>
  <si>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</si>
  <si>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</si>
  <si>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</si>
  <si>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</si>
  <si>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</si>
  <si>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</si>
  <si>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</si>
  <si>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</si>
  <si>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</si>
  <si>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</si>
  <si>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</si>
  <si>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</si>
  <si>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</si>
  <si>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</si>
  <si>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</si>
  <si>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</si>
  <si>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</si>
  <si>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</si>
  <si>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</si>
  <si>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</si>
  <si>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</si>
  <si>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</si>
  <si>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</si>
  <si>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</si>
  <si>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</si>
  <si>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</si>
  <si>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</si>
  <si>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</si>
  <si>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</si>
  <si>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</si>
  <si>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</si>
  <si>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</si>
  <si>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</si>
  <si>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</si>
  <si>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</si>
  <si>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</si>
  <si>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</si>
  <si>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</si>
  <si>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</si>
  <si>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</si>
  <si>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</si>
  <si>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</si>
  <si>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</si>
  <si>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</si>
  <si>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</si>
  <si>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</si>
  <si>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</si>
  <si>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</si>
  <si>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</si>
  <si>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</si>
  <si>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</si>
  <si>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</si>
  <si>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</si>
  <si>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</si>
  <si>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</si>
  <si>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</si>
  <si>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</si>
  <si>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</si>
  <si>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</si>
  <si>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</si>
  <si>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</si>
  <si>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</si>
  <si>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</si>
  <si>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</si>
  <si>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</si>
  <si>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</si>
  <si>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</si>
  <si>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</si>
  <si>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</si>
  <si>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</si>
  <si>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</si>
  <si>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</si>
  <si>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</si>
  <si>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</si>
  <si>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</si>
  <si>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</si>
  <si>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</si>
  <si>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</si>
  <si>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</si>
  <si>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</si>
  <si>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</si>
  <si>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</si>
  <si>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</si>
  <si>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</si>
  <si>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</si>
  <si>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</si>
  <si>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</si>
  <si>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</si>
  <si>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</si>
  <si>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</si>
  <si>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</si>
  <si>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</si>
  <si>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</si>
  <si>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</si>
  <si>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</si>
  <si>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</si>
  <si>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</si>
  <si>
    <t>IPC-2221 Track Thickness Calculation</t>
  </si>
  <si>
    <t>Internal else External</t>
  </si>
  <si>
    <t>I</t>
  </si>
  <si>
    <t>Allowable rise in temperature</t>
  </si>
  <si>
    <t xml:space="preserve">Cross-Sectional Area </t>
  </si>
  <si>
    <t>mil^2</t>
  </si>
  <si>
    <t>Thickness</t>
  </si>
  <si>
    <t>RMS Current</t>
  </si>
  <si>
    <t>Width</t>
  </si>
  <si>
    <t>Actual ratio</t>
  </si>
  <si>
    <t>All capacitors total energy change per cycle required</t>
  </si>
  <si>
    <t>t_quart_cycle</t>
  </si>
  <si>
    <t>E_quarter</t>
  </si>
  <si>
    <t>Energy desired for each driving quarter cycle, since there are two its half the above</t>
  </si>
  <si>
    <t>Transformer (Bipolar DCM)</t>
  </si>
  <si>
    <t>Chosen primary inductance</t>
  </si>
  <si>
    <t>Maximum average diode current with safety factor</t>
  </si>
  <si>
    <t xml:space="preserve">Maximum sudden short circuit current </t>
  </si>
  <si>
    <t>Power per resistor at lowest rated output voltage (maximum steady state output current)</t>
  </si>
  <si>
    <t>Maximum steady state power loss at lowest rated output voltage (maximum steady state output current)</t>
  </si>
  <si>
    <t>Can handle maximum designed output power</t>
  </si>
  <si>
    <t>Designed maximum output power</t>
  </si>
  <si>
    <t>Maximum composite resistor average power</t>
  </si>
  <si>
    <t>Capacitor discharge to per cycle</t>
  </si>
  <si>
    <t>Lower voltage per cycle</t>
  </si>
  <si>
    <t>Maximum output power desired</t>
  </si>
  <si>
    <t>i</t>
  </si>
  <si>
    <t>Proportion leakage inductance</t>
  </si>
  <si>
    <t>Primary current ramping with time</t>
  </si>
  <si>
    <t>R_s'</t>
  </si>
  <si>
    <t>R_s</t>
  </si>
  <si>
    <t>Ns/Np</t>
  </si>
  <si>
    <t>C'</t>
  </si>
  <si>
    <t xml:space="preserve">C </t>
  </si>
  <si>
    <t>Time</t>
  </si>
  <si>
    <t>V_bus</t>
  </si>
  <si>
    <t>Source voltage</t>
  </si>
  <si>
    <t>Source current</t>
  </si>
  <si>
    <t>i_m</t>
  </si>
  <si>
    <t>magnetising current</t>
  </si>
  <si>
    <t>V'_C</t>
  </si>
  <si>
    <t>Reflected capacitor voltage</t>
  </si>
  <si>
    <t>L_leak</t>
  </si>
  <si>
    <t>R_P</t>
  </si>
  <si>
    <t>L_mag</t>
  </si>
  <si>
    <t>Magnetising inductance</t>
  </si>
  <si>
    <t>Iteration</t>
  </si>
  <si>
    <t>V_C</t>
  </si>
  <si>
    <t>L_mag_actual</t>
  </si>
  <si>
    <t>R_p_actual</t>
  </si>
  <si>
    <t>Primary resistance</t>
  </si>
  <si>
    <t>L_p_leak_actual</t>
  </si>
  <si>
    <t>R_s_actual</t>
  </si>
  <si>
    <t>Secondary resistance</t>
  </si>
  <si>
    <t>Actual number of primary turns</t>
  </si>
  <si>
    <t>N_s_actual</t>
  </si>
  <si>
    <t>Actual number of secondary turns</t>
  </si>
  <si>
    <t>n=N_s/N_p</t>
  </si>
  <si>
    <t>Actual turns ratio</t>
  </si>
  <si>
    <t>Actual transformer values</t>
  </si>
  <si>
    <t>Iteration number</t>
  </si>
  <si>
    <t>First capacitor voltage</t>
  </si>
  <si>
    <t>F_sw</t>
  </si>
  <si>
    <t>V_drive_max</t>
  </si>
  <si>
    <t>Column where primary current exceeds threshold</t>
  </si>
  <si>
    <t>Primary current threshold reached</t>
  </si>
  <si>
    <t>i_max</t>
  </si>
  <si>
    <t>I_p_max</t>
  </si>
  <si>
    <t>Maximum primary current allowed</t>
  </si>
  <si>
    <t>Peak current with no secondary load</t>
  </si>
  <si>
    <t>Maximum allowed primary current</t>
  </si>
  <si>
    <t>Voltage reached on capacitor referred</t>
  </si>
  <si>
    <t>Maximum energy transfer to capacitor during first quarter cycle drive. This is with a single capacitor and diode (ignored) and is a gross overestimate for a multi stage villard</t>
  </si>
  <si>
    <t>i_end_first_quarter_cycle_drive</t>
  </si>
  <si>
    <t>V_C_end_first_quarter_drive</t>
  </si>
  <si>
    <t>V'_C_end_first_quarter_drive</t>
  </si>
  <si>
    <t>i_m_end_first_quarter_cycle_drive</t>
  </si>
  <si>
    <t>t_end_first_quarter_cycle</t>
  </si>
  <si>
    <t>T99</t>
  </si>
  <si>
    <t>Time constant for lower leg smoothing capacitor (should never slew faster than a single switching cycle). Using t99</t>
  </si>
  <si>
    <t>C_L_smooth</t>
  </si>
  <si>
    <t>Smoothing capacitor value</t>
  </si>
  <si>
    <t>First Stage Voltage Feedback</t>
  </si>
  <si>
    <t>nH/turn^2</t>
  </si>
  <si>
    <t>Primary current from raw</t>
  </si>
  <si>
    <t>Output Voltage Feedback</t>
  </si>
  <si>
    <t>Output voltage from raw</t>
  </si>
  <si>
    <t>First stage voltage from raw</t>
  </si>
  <si>
    <t>VillardCapacitorsBleedTimeConstantSeconds</t>
  </si>
  <si>
    <t>Capacitance tolerance percentage</t>
  </si>
  <si>
    <t>Capacitance tolerance</t>
  </si>
  <si>
    <t>Bleet time tolerance percent</t>
  </si>
  <si>
    <t xml:space="preserve">Maximum individual stage voltage after discharge </t>
  </si>
  <si>
    <t>Discharge time with bleed time tolerance and capacitance tolerance</t>
  </si>
  <si>
    <t>Villard capacitors bleed time constant including bleed time tolerance and capacitance tolerance</t>
  </si>
  <si>
    <t>Actual discharge time assuming capacitance tolerance averages out</t>
  </si>
  <si>
    <t>VariableName</t>
  </si>
  <si>
    <t>FirstStageVoltageFromRaw</t>
  </si>
  <si>
    <t>OutputVoltageFromRaw</t>
  </si>
  <si>
    <t>MaxOutputVoltageVolts</t>
  </si>
  <si>
    <t>MinOutputVoltageVolts</t>
  </si>
  <si>
    <t>PowerSupplyVoltageFeedbackPotentialDividerRatio</t>
  </si>
  <si>
    <t>PrimaryCurrentFromRaw</t>
  </si>
  <si>
    <t>Maximum total heat power in mosfet</t>
  </si>
  <si>
    <t>t_s_max = t_j_max - ( p* (R_j_c + R_c_s) )</t>
  </si>
  <si>
    <t>MaxFirstStageVoltage</t>
  </si>
  <si>
    <t>MaxSupplyVoltage</t>
  </si>
  <si>
    <t>MaxPrimaryCurrent</t>
  </si>
  <si>
    <t>TransformerLeakageInductance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</si>
</sst>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7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Alignment="1">
      <alignment horizontal="center" vertical="center" wrapText="1"/>
    </xf>
    <xf numFmtId="0" fontId="1" fillId="0" borderId="0" xfId="0" applyFont="1"/>
    <xf numFmtId="11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Font="1"/>
    <xf numFmtId="0" fontId="8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0" fillId="0" borderId="0" xfId="0" applyFont="1"/>
    <xf numFmtId="11" fontId="0" fillId="0" borderId="0" xfId="0" applyNumberFormat="1" applyFont="1"/>
    <xf numFmtId="11" fontId="10" fillId="0" borderId="0" xfId="0" applyNumberFormat="1" applyFont="1"/>
    <xf numFmtId="0" fontId="1" fillId="0" borderId="0" xfId="0" applyNumberFormat="1" applyFont="1"/>
    <xf numFmtId="0" fontId="10" fillId="0" borderId="0" xfId="0" applyNumberFormat="1" applyFont="1"/>
    <xf numFmtId="0" fontId="0" fillId="0" borderId="0" xfId="0" applyFill="1" applyBorder="1"/>
    <xf numFmtId="0" fontId="10" fillId="0" borderId="0" xfId="0" applyFont="1" applyFill="1"/>
    <xf numFmtId="0" fontId="0" fillId="0" borderId="0" xfId="0" applyAlignment="1">
      <alignment horizontal="center"/>
    </xf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Fill="1"/>
    <xf numFmtId="11" fontId="4" fillId="0" borderId="0" xfId="0" applyNumberFormat="1" applyFont="1" applyFill="1"/>
    <xf numFmtId="11" fontId="12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applyNumberFormat="1" applyFill="1"/>
    <xf numFmtId="0" fontId="0" fillId="0" borderId="0" xfId="0" applyFont="1" applyFill="1"/>
    <xf numFmtId="0" fontId="4" fillId="0" borderId="0" xfId="1" applyFont="1" applyFill="1"/>
    <xf numFmtId="0" fontId="6" fillId="0" borderId="0" xfId="0" applyFont="1" applyFill="1"/>
    <xf numFmtId="11" fontId="1" fillId="0" borderId="0" xfId="0" applyNumberFormat="1" applyFont="1" applyFill="1"/>
    <xf numFmtId="11" fontId="10" fillId="0" borderId="0" xfId="0" applyNumberFormat="1" applyFont="1" applyFill="1"/>
    <xf numFmtId="11" fontId="1" fillId="3" borderId="0" xfId="0" applyNumberFormat="1" applyFont="1" applyFill="1"/>
    <xf numFmtId="0" fontId="0" fillId="2" borderId="0" xfId="0" applyFont="1" applyFill="1"/>
    <xf numFmtId="0" fontId="0" fillId="2" borderId="0" xfId="0" applyNumberFormat="1" applyFill="1"/>
    <xf numFmtId="0" fontId="2" fillId="2" borderId="0" xfId="0" applyFont="1" applyFill="1"/>
    <xf numFmtId="0" fontId="0" fillId="2" borderId="0" xfId="0" applyFill="1" applyBorder="1"/>
    <xf numFmtId="0" fontId="13" fillId="0" borderId="0" xfId="0" applyFont="1"/>
    <xf numFmtId="11" fontId="0" fillId="2" borderId="0" xfId="0" applyNumberFormat="1" applyFont="1" applyFill="1"/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5" borderId="0" xfId="0" applyFill="1"/>
    <xf numFmtId="11" fontId="0" fillId="0" borderId="0" xfId="0" applyNumberFormat="1" applyFill="1"/>
    <xf numFmtId="11" fontId="10" fillId="2" borderId="0" xfId="0" applyNumberFormat="1" applyFont="1" applyFill="1"/>
  </cellXfs>
  <cellStyles count="2">
    <cellStyle name="Hyperlink" xfId="1" builtinId="8"/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478849</xdr:colOff>
      <xdr:row>111</xdr:row>
      <xdr:rowOff>116898</xdr:rowOff>
    </xdr:from>
    <xdr:to>
      <xdr:col>8</xdr:col>
      <xdr:colOff>1657352</xdr:colOff>
      <xdr:row>120</xdr:row>
      <xdr:rowOff>174295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87031" y="20500398"/>
          <a:ext cx="3620367" cy="177189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367530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22</xdr:row>
      <xdr:rowOff>69273</xdr:rowOff>
    </xdr:from>
    <xdr:to>
      <xdr:col>10</xdr:col>
      <xdr:colOff>476659</xdr:colOff>
      <xdr:row>28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260</xdr:row>
      <xdr:rowOff>0</xdr:rowOff>
    </xdr:from>
    <xdr:to>
      <xdr:col>1</xdr:col>
      <xdr:colOff>304800</xdr:colOff>
      <xdr:row>261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260</xdr:row>
      <xdr:rowOff>0</xdr:rowOff>
    </xdr:from>
    <xdr:to>
      <xdr:col>4</xdr:col>
      <xdr:colOff>304800</xdr:colOff>
      <xdr:row>261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260</xdr:row>
      <xdr:rowOff>0</xdr:rowOff>
    </xdr:from>
    <xdr:to>
      <xdr:col>1</xdr:col>
      <xdr:colOff>304800</xdr:colOff>
      <xdr:row>261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707570</xdr:colOff>
      <xdr:row>581</xdr:row>
      <xdr:rowOff>122464</xdr:rowOff>
    </xdr:from>
    <xdr:to>
      <xdr:col>9</xdr:col>
      <xdr:colOff>553984</xdr:colOff>
      <xdr:row>603</xdr:row>
      <xdr:rowOff>142102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30499" y="110884607"/>
          <a:ext cx="2921628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298</xdr:row>
      <xdr:rowOff>0</xdr:rowOff>
    </xdr:from>
    <xdr:to>
      <xdr:col>1</xdr:col>
      <xdr:colOff>304800</xdr:colOff>
      <xdr:row>299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301</xdr:row>
      <xdr:rowOff>0</xdr:rowOff>
    </xdr:from>
    <xdr:to>
      <xdr:col>1</xdr:col>
      <xdr:colOff>304800</xdr:colOff>
      <xdr:row>302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391</xdr:row>
      <xdr:rowOff>27214</xdr:rowOff>
    </xdr:from>
    <xdr:to>
      <xdr:col>7</xdr:col>
      <xdr:colOff>316254</xdr:colOff>
      <xdr:row>392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392</xdr:row>
      <xdr:rowOff>176892</xdr:rowOff>
    </xdr:from>
    <xdr:to>
      <xdr:col>6</xdr:col>
      <xdr:colOff>261921</xdr:colOff>
      <xdr:row>396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360</xdr:row>
      <xdr:rowOff>176891</xdr:rowOff>
    </xdr:from>
    <xdr:to>
      <xdr:col>10</xdr:col>
      <xdr:colOff>331122</xdr:colOff>
      <xdr:row>367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367</xdr:row>
      <xdr:rowOff>81643</xdr:rowOff>
    </xdr:from>
    <xdr:to>
      <xdr:col>8</xdr:col>
      <xdr:colOff>482120</xdr:colOff>
      <xdr:row>375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377</xdr:row>
      <xdr:rowOff>27214</xdr:rowOff>
    </xdr:from>
    <xdr:to>
      <xdr:col>8</xdr:col>
      <xdr:colOff>1430672</xdr:colOff>
      <xdr:row>396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377</xdr:row>
      <xdr:rowOff>27215</xdr:rowOff>
    </xdr:from>
    <xdr:to>
      <xdr:col>15</xdr:col>
      <xdr:colOff>185762</xdr:colOff>
      <xdr:row>396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341</xdr:row>
      <xdr:rowOff>13608</xdr:rowOff>
    </xdr:from>
    <xdr:to>
      <xdr:col>8</xdr:col>
      <xdr:colOff>1008868</xdr:colOff>
      <xdr:row>344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2514600</xdr:colOff>
      <xdr:row>730</xdr:row>
      <xdr:rowOff>180975</xdr:rowOff>
    </xdr:from>
    <xdr:to>
      <xdr:col>3</xdr:col>
      <xdr:colOff>1375586</xdr:colOff>
      <xdr:row>734</xdr:row>
      <xdr:rowOff>57150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0" y="181403625"/>
          <a:ext cx="3686479" cy="638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3829050</xdr:colOff>
      <xdr:row>745</xdr:row>
      <xdr:rowOff>171450</xdr:rowOff>
    </xdr:from>
    <xdr:to>
      <xdr:col>3</xdr:col>
      <xdr:colOff>1202902</xdr:colOff>
      <xdr:row>751</xdr:row>
      <xdr:rowOff>136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10450" y="184251600"/>
          <a:ext cx="2219635" cy="971686"/>
        </a:xfrm>
        <a:prstGeom prst="rect">
          <a:avLst/>
        </a:prstGeom>
      </xdr:spPr>
    </xdr:pic>
    <xdr:clientData/>
  </xdr:twoCellAnchor>
  <xdr:twoCellAnchor editAs="oneCell">
    <xdr:from>
      <xdr:col>2</xdr:col>
      <xdr:colOff>3800475</xdr:colOff>
      <xdr:row>751</xdr:row>
      <xdr:rowOff>47625</xdr:rowOff>
    </xdr:from>
    <xdr:to>
      <xdr:col>3</xdr:col>
      <xdr:colOff>374115</xdr:colOff>
      <xdr:row>755</xdr:row>
      <xdr:rowOff>95363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81875" y="185270775"/>
          <a:ext cx="1419423" cy="8097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407</xdr:row>
      <xdr:rowOff>0</xdr:rowOff>
    </xdr:from>
    <xdr:to>
      <xdr:col>1</xdr:col>
      <xdr:colOff>304800</xdr:colOff>
      <xdr:row>408</xdr:row>
      <xdr:rowOff>114300</xdr:rowOff>
    </xdr:to>
    <xdr:sp macro="" textlink="">
      <xdr:nvSpPr>
        <xdr:cNvPr id="1025" name="AutoShape 1" descr="Preview of 1777208058323_image.png"/>
        <xdr:cNvSpPr>
          <a:spLocks noChangeAspect="1" noChangeArrowheads="1"/>
        </xdr:cNvSpPr>
      </xdr:nvSpPr>
      <xdr:spPr bwMode="auto">
        <a:xfrm>
          <a:off x="2028825" y="1084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407</xdr:row>
      <xdr:rowOff>0</xdr:rowOff>
    </xdr:from>
    <xdr:to>
      <xdr:col>2</xdr:col>
      <xdr:colOff>304800</xdr:colOff>
      <xdr:row>408</xdr:row>
      <xdr:rowOff>114300</xdr:rowOff>
    </xdr:to>
    <xdr:sp macro="" textlink="">
      <xdr:nvSpPr>
        <xdr:cNvPr id="1026" name="AutoShape 2" descr="Preview of 1777208058323_image.png"/>
        <xdr:cNvSpPr>
          <a:spLocks noChangeAspect="1" noChangeArrowheads="1"/>
        </xdr:cNvSpPr>
      </xdr:nvSpPr>
      <xdr:spPr bwMode="auto">
        <a:xfrm>
          <a:off x="3581400" y="10860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407</xdr:row>
      <xdr:rowOff>0</xdr:rowOff>
    </xdr:from>
    <xdr:to>
      <xdr:col>3</xdr:col>
      <xdr:colOff>304800</xdr:colOff>
      <xdr:row>408</xdr:row>
      <xdr:rowOff>114300</xdr:rowOff>
    </xdr:to>
    <xdr:sp macro="" textlink="">
      <xdr:nvSpPr>
        <xdr:cNvPr id="1027" name="AutoShape 3" descr="Preview of 1777208058323_image.png"/>
        <xdr:cNvSpPr>
          <a:spLocks noChangeAspect="1" noChangeArrowheads="1"/>
        </xdr:cNvSpPr>
      </xdr:nvSpPr>
      <xdr:spPr bwMode="auto">
        <a:xfrm>
          <a:off x="8124825" y="10860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1073729</xdr:colOff>
      <xdr:row>140</xdr:row>
      <xdr:rowOff>1</xdr:rowOff>
    </xdr:from>
    <xdr:to>
      <xdr:col>13</xdr:col>
      <xdr:colOff>90912</xdr:colOff>
      <xdr:row>150</xdr:row>
      <xdr:rowOff>181267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581911" y="25908001"/>
          <a:ext cx="6134956" cy="2086266"/>
        </a:xfrm>
        <a:prstGeom prst="rect">
          <a:avLst/>
        </a:prstGeom>
      </xdr:spPr>
    </xdr:pic>
    <xdr:clientData/>
  </xdr:twoCellAnchor>
  <xdr:twoCellAnchor editAs="oneCell">
    <xdr:from>
      <xdr:col>4</xdr:col>
      <xdr:colOff>952500</xdr:colOff>
      <xdr:row>213</xdr:row>
      <xdr:rowOff>17316</xdr:rowOff>
    </xdr:from>
    <xdr:to>
      <xdr:col>7</xdr:col>
      <xdr:colOff>1216273</xdr:colOff>
      <xdr:row>223</xdr:row>
      <xdr:rowOff>112845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2105409" y="39849134"/>
          <a:ext cx="3848637" cy="20005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.uk/ProductDetail/TDK/FG26X7R2A105KNT06?qs=sGAEpiMZZMvsSlwiRhF8qjQUafaa8S5xA6BgDdbMmMhufnE%252BCCuluQ%3D%3D" TargetMode="External"/><Relationship Id="rId1" Type="http://schemas.openxmlformats.org/officeDocument/2006/relationships/hyperlink" Target="https://www.mouser.co.uk/datasheet/2/281/MHR0422SA_series_data_sheet-1594297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Q753"/>
  <sheetViews>
    <sheetView tabSelected="1" topLeftCell="B142" zoomScale="70" zoomScaleNormal="70" workbookViewId="0">
      <selection activeCell="G132" sqref="G132"/>
    </sheetView>
  </sheetViews>
  <sheetFormatPr defaultRowHeight="15" x14ac:dyDescent="0.25"/>
  <cols>
    <col min="1" max="1" width="30.42578125" customWidth="1"/>
    <col min="2" max="2" width="23.28515625" customWidth="1"/>
    <col min="3" max="3" width="72.42578125" customWidth="1"/>
    <col min="4" max="4" width="41" customWidth="1"/>
    <col min="5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3" max="13" width="11" customWidth="1"/>
    <col min="14" max="14" width="10.42578125" customWidth="1"/>
    <col min="15" max="16" width="10.7109375" customWidth="1"/>
    <col min="17" max="17" width="55.85546875" customWidth="1"/>
    <col min="18" max="18" width="27.28515625" customWidth="1"/>
    <col min="40" max="40" width="10.7109375" customWidth="1"/>
    <col min="100" max="100" width="11" customWidth="1"/>
    <col min="106" max="106" width="10.42578125" customWidth="1"/>
    <col min="111" max="111" width="13.7109375" customWidth="1"/>
    <col min="115" max="115" width="11" customWidth="1"/>
  </cols>
  <sheetData>
    <row r="1" spans="1:7" x14ac:dyDescent="0.25">
      <c r="A1" t="s">
        <v>112</v>
      </c>
      <c r="B1" t="s">
        <v>111</v>
      </c>
      <c r="C1" t="s">
        <v>110</v>
      </c>
      <c r="D1" t="s">
        <v>56</v>
      </c>
      <c r="E1" s="6" t="s">
        <v>16</v>
      </c>
      <c r="F1" t="s">
        <v>928</v>
      </c>
    </row>
    <row r="2" spans="1:7" x14ac:dyDescent="0.25">
      <c r="B2" s="6"/>
      <c r="C2" s="6" t="s">
        <v>62</v>
      </c>
      <c r="D2" s="40">
        <v>200</v>
      </c>
      <c r="E2" s="6" t="s">
        <v>19</v>
      </c>
    </row>
    <row r="3" spans="1:7" x14ac:dyDescent="0.25">
      <c r="B3" s="74" t="s">
        <v>40</v>
      </c>
      <c r="C3" s="6" t="s">
        <v>39</v>
      </c>
      <c r="D3" s="40">
        <v>16000</v>
      </c>
      <c r="E3" s="6" t="s">
        <v>58</v>
      </c>
    </row>
    <row r="4" spans="1:7" x14ac:dyDescent="0.25">
      <c r="B4" s="74"/>
      <c r="C4" s="6" t="s">
        <v>4</v>
      </c>
      <c r="D4" s="40">
        <v>1.2</v>
      </c>
      <c r="E4" s="6"/>
    </row>
    <row r="5" spans="1:7" x14ac:dyDescent="0.25">
      <c r="B5" s="6" t="s">
        <v>33</v>
      </c>
      <c r="C5" s="6" t="s">
        <v>38</v>
      </c>
      <c r="D5" s="6">
        <f>11.8*3</f>
        <v>35.400000000000006</v>
      </c>
      <c r="E5" s="6" t="s">
        <v>18</v>
      </c>
    </row>
    <row r="6" spans="1:7" x14ac:dyDescent="0.25">
      <c r="B6" s="6" t="s">
        <v>299</v>
      </c>
      <c r="C6" s="6" t="s">
        <v>300</v>
      </c>
      <c r="D6" s="6">
        <f>12.7*3</f>
        <v>38.099999999999994</v>
      </c>
      <c r="E6" s="6" t="s">
        <v>18</v>
      </c>
    </row>
    <row r="7" spans="1:7" x14ac:dyDescent="0.25">
      <c r="B7" s="74" t="s">
        <v>34</v>
      </c>
      <c r="C7" s="6" t="s">
        <v>37</v>
      </c>
      <c r="D7" s="6">
        <v>44.1</v>
      </c>
      <c r="E7" s="6" t="s">
        <v>18</v>
      </c>
      <c r="F7" t="s">
        <v>938</v>
      </c>
    </row>
    <row r="8" spans="1:7" x14ac:dyDescent="0.25">
      <c r="B8" s="6" t="s">
        <v>61</v>
      </c>
      <c r="C8" s="6" t="s">
        <v>60</v>
      </c>
      <c r="D8" s="6">
        <v>4000</v>
      </c>
      <c r="E8" s="6" t="s">
        <v>18</v>
      </c>
      <c r="F8" t="s">
        <v>931</v>
      </c>
    </row>
    <row r="9" spans="1:7" x14ac:dyDescent="0.25">
      <c r="B9" s="6" t="s">
        <v>51</v>
      </c>
      <c r="C9" s="6" t="s">
        <v>59</v>
      </c>
      <c r="D9" s="6">
        <v>2000</v>
      </c>
      <c r="E9" s="6" t="s">
        <v>18</v>
      </c>
      <c r="F9" s="6" t="s">
        <v>932</v>
      </c>
    </row>
    <row r="10" spans="1:7" x14ac:dyDescent="0.25">
      <c r="B10" s="6"/>
      <c r="C10" s="6" t="s">
        <v>1</v>
      </c>
      <c r="D10" s="6">
        <f>D2/D9</f>
        <v>0.1</v>
      </c>
      <c r="E10" s="6" t="s">
        <v>17</v>
      </c>
      <c r="G10">
        <f>0.002*0.002*8000000</f>
        <v>32</v>
      </c>
    </row>
    <row r="11" spans="1:7" x14ac:dyDescent="0.25">
      <c r="B11" s="6"/>
      <c r="C11" s="6" t="s">
        <v>115</v>
      </c>
      <c r="D11" s="6">
        <f>D2/D8</f>
        <v>0.05</v>
      </c>
      <c r="E11" s="6" t="s">
        <v>17</v>
      </c>
    </row>
    <row r="12" spans="1:7" x14ac:dyDescent="0.25">
      <c r="B12" s="6"/>
      <c r="C12" s="6" t="s">
        <v>14</v>
      </c>
      <c r="D12" s="49">
        <v>400</v>
      </c>
      <c r="E12" s="6" t="s">
        <v>18</v>
      </c>
      <c r="F12" t="s">
        <v>937</v>
      </c>
    </row>
    <row r="13" spans="1:7" x14ac:dyDescent="0.25">
      <c r="B13" s="6" t="s">
        <v>88</v>
      </c>
      <c r="C13" s="6" t="s">
        <v>0</v>
      </c>
      <c r="D13" s="6">
        <f>ROUND(D8/D12, 0)</f>
        <v>10</v>
      </c>
      <c r="E13" s="6"/>
    </row>
    <row r="14" spans="1:7" x14ac:dyDescent="0.25">
      <c r="B14" s="6" t="s">
        <v>87</v>
      </c>
      <c r="C14" s="6" t="s">
        <v>86</v>
      </c>
      <c r="D14" s="40">
        <v>10</v>
      </c>
      <c r="E14" s="6"/>
    </row>
    <row r="15" spans="1:7" x14ac:dyDescent="0.25">
      <c r="B15" s="6"/>
      <c r="C15" s="6" t="s">
        <v>57</v>
      </c>
      <c r="D15" s="5" t="b">
        <f>D14&gt;=D13</f>
        <v>1</v>
      </c>
      <c r="E15" s="6"/>
    </row>
    <row r="16" spans="1:7" x14ac:dyDescent="0.25">
      <c r="B16" s="6"/>
      <c r="C16" s="6" t="s">
        <v>5</v>
      </c>
      <c r="D16" s="1">
        <v>1.1999999999999999E-6</v>
      </c>
      <c r="E16" s="6" t="s">
        <v>20</v>
      </c>
    </row>
    <row r="17" spans="1:11" x14ac:dyDescent="0.25">
      <c r="C17" s="6" t="s">
        <v>921</v>
      </c>
      <c r="D17">
        <v>10</v>
      </c>
      <c r="E17" t="s">
        <v>149</v>
      </c>
    </row>
    <row r="18" spans="1:11" x14ac:dyDescent="0.25">
      <c r="A18" s="6"/>
      <c r="B18" s="6" t="s">
        <v>899</v>
      </c>
      <c r="C18" s="6" t="s">
        <v>900</v>
      </c>
      <c r="D18" s="6">
        <f>20</f>
        <v>20</v>
      </c>
      <c r="E18" s="6" t="s">
        <v>17</v>
      </c>
      <c r="F18" t="s">
        <v>939</v>
      </c>
    </row>
    <row r="19" spans="1:11" x14ac:dyDescent="0.25">
      <c r="A19" s="6"/>
      <c r="B19" s="6"/>
      <c r="C19" s="6"/>
      <c r="D19" s="6"/>
      <c r="E19" s="6"/>
    </row>
    <row r="20" spans="1:11" x14ac:dyDescent="0.25">
      <c r="A20" s="6"/>
      <c r="E20" s="6"/>
      <c r="G20" s="68" t="s">
        <v>337</v>
      </c>
      <c r="H20" s="68"/>
      <c r="I20" s="68"/>
      <c r="J20" s="68"/>
    </row>
    <row r="21" spans="1:11" x14ac:dyDescent="0.25">
      <c r="A21" s="65" t="s">
        <v>85</v>
      </c>
      <c r="B21" s="6" t="s">
        <v>83</v>
      </c>
      <c r="C21" s="6" t="s">
        <v>2</v>
      </c>
      <c r="D21" s="25">
        <v>0.3</v>
      </c>
      <c r="E21" t="s">
        <v>17</v>
      </c>
      <c r="G21" s="68"/>
      <c r="H21" s="68"/>
      <c r="I21" s="68"/>
      <c r="J21" s="68"/>
    </row>
    <row r="22" spans="1:11" x14ac:dyDescent="0.25">
      <c r="A22" s="65"/>
      <c r="B22" s="6"/>
      <c r="C22" s="6" t="s">
        <v>3</v>
      </c>
      <c r="D22" s="52">
        <f>D21/D4</f>
        <v>0.25</v>
      </c>
      <c r="E22" s="6" t="s">
        <v>17</v>
      </c>
      <c r="G22" s="68"/>
      <c r="H22" s="68"/>
      <c r="I22" s="68"/>
      <c r="J22" s="68"/>
    </row>
    <row r="23" spans="1:11" x14ac:dyDescent="0.25">
      <c r="A23" s="65"/>
      <c r="B23" s="6" t="s">
        <v>55</v>
      </c>
      <c r="C23" s="6" t="s">
        <v>84</v>
      </c>
      <c r="D23" s="40">
        <v>3</v>
      </c>
      <c r="E23" s="6"/>
      <c r="G23" s="68"/>
      <c r="H23" s="68"/>
      <c r="I23" s="68"/>
      <c r="J23" s="68"/>
    </row>
    <row r="24" spans="1:11" x14ac:dyDescent="0.25">
      <c r="A24" s="65"/>
      <c r="B24" s="6"/>
      <c r="C24" s="8" t="s">
        <v>848</v>
      </c>
      <c r="D24" s="6">
        <f>D23/D4</f>
        <v>2.5</v>
      </c>
      <c r="E24" s="6"/>
    </row>
    <row r="25" spans="1:11" x14ac:dyDescent="0.25">
      <c r="A25" s="65"/>
      <c r="B25" s="6"/>
      <c r="C25" s="6" t="s">
        <v>7</v>
      </c>
      <c r="D25" s="40">
        <v>1.2</v>
      </c>
      <c r="E25" s="6"/>
    </row>
    <row r="26" spans="1:11" x14ac:dyDescent="0.25">
      <c r="A26" s="65"/>
      <c r="B26" s="6"/>
      <c r="C26" s="6" t="s">
        <v>25</v>
      </c>
      <c r="D26" s="6"/>
      <c r="E26" s="6"/>
    </row>
    <row r="27" spans="1:11" x14ac:dyDescent="0.25">
      <c r="A27" s="65"/>
      <c r="B27" s="6"/>
      <c r="C27" s="6" t="s">
        <v>9</v>
      </c>
      <c r="D27" s="52">
        <f>D25*D10</f>
        <v>0.12</v>
      </c>
      <c r="E27" s="6" t="s">
        <v>19</v>
      </c>
    </row>
    <row r="28" spans="1:11" x14ac:dyDescent="0.25">
      <c r="A28" s="65"/>
      <c r="B28" s="6"/>
      <c r="C28" s="6" t="s">
        <v>8</v>
      </c>
      <c r="D28" s="6">
        <f>D27*D14</f>
        <v>1.2</v>
      </c>
      <c r="E28" s="6" t="s">
        <v>19</v>
      </c>
    </row>
    <row r="29" spans="1:11" x14ac:dyDescent="0.25">
      <c r="A29" s="20"/>
      <c r="B29" s="6"/>
      <c r="C29" s="6"/>
    </row>
    <row r="30" spans="1:11" ht="15" customHeight="1" x14ac:dyDescent="0.25">
      <c r="A30" s="65" t="s">
        <v>113</v>
      </c>
      <c r="B30" s="2"/>
      <c r="C30" s="2" t="s">
        <v>853</v>
      </c>
      <c r="D30" s="2">
        <f>D2</f>
        <v>200</v>
      </c>
      <c r="E30" s="2"/>
    </row>
    <row r="31" spans="1:11" x14ac:dyDescent="0.25">
      <c r="A31" s="65"/>
      <c r="B31" s="2"/>
      <c r="C31" s="2" t="s">
        <v>4</v>
      </c>
      <c r="D31" s="56">
        <f>D4</f>
        <v>1.2</v>
      </c>
      <c r="E31" s="2"/>
      <c r="G31" s="68" t="s">
        <v>338</v>
      </c>
      <c r="H31" s="69"/>
      <c r="I31" s="69"/>
      <c r="J31" s="69"/>
      <c r="K31" s="69"/>
    </row>
    <row r="32" spans="1:11" x14ac:dyDescent="0.25">
      <c r="A32" s="65"/>
      <c r="B32" s="2"/>
      <c r="C32" s="2" t="s">
        <v>116</v>
      </c>
      <c r="D32" s="3">
        <f>D89</f>
        <v>1.92</v>
      </c>
      <c r="E32" s="2" t="s">
        <v>22</v>
      </c>
      <c r="G32" s="68"/>
      <c r="H32" s="69"/>
      <c r="I32" s="69"/>
      <c r="J32" s="69"/>
      <c r="K32" s="69"/>
    </row>
    <row r="33" spans="1:11" x14ac:dyDescent="0.25">
      <c r="A33" s="65"/>
      <c r="B33" s="2"/>
      <c r="C33" s="2" t="s">
        <v>115</v>
      </c>
      <c r="D33" s="2">
        <f>D11</f>
        <v>0.05</v>
      </c>
      <c r="E33" s="2" t="s">
        <v>17</v>
      </c>
      <c r="G33" s="68"/>
      <c r="H33" s="69"/>
      <c r="I33" s="69"/>
      <c r="J33" s="69"/>
      <c r="K33" s="69"/>
    </row>
    <row r="34" spans="1:11" x14ac:dyDescent="0.25">
      <c r="A34" s="65"/>
      <c r="B34" s="2"/>
      <c r="C34" s="2" t="s">
        <v>1</v>
      </c>
      <c r="D34" s="2">
        <f>D10</f>
        <v>0.1</v>
      </c>
      <c r="E34" s="2" t="s">
        <v>17</v>
      </c>
      <c r="G34" s="68"/>
      <c r="H34" s="69"/>
      <c r="I34" s="69"/>
      <c r="J34" s="69"/>
      <c r="K34" s="69"/>
    </row>
    <row r="35" spans="1:11" x14ac:dyDescent="0.25">
      <c r="A35" s="65"/>
      <c r="B35" s="2" t="s">
        <v>61</v>
      </c>
      <c r="C35" s="2" t="s">
        <v>60</v>
      </c>
      <c r="D35" s="3">
        <f>D8</f>
        <v>4000</v>
      </c>
      <c r="E35" s="2" t="s">
        <v>18</v>
      </c>
      <c r="G35" s="69"/>
      <c r="H35" s="69"/>
      <c r="I35" s="69"/>
      <c r="J35" s="69"/>
      <c r="K35" s="69"/>
    </row>
    <row r="36" spans="1:11" ht="15" customHeight="1" x14ac:dyDescent="0.25">
      <c r="A36" s="65"/>
      <c r="B36" s="2"/>
      <c r="C36" s="2" t="s">
        <v>848</v>
      </c>
      <c r="D36" s="2">
        <f>D24</f>
        <v>2.5</v>
      </c>
      <c r="E36" s="58" t="s">
        <v>17</v>
      </c>
      <c r="G36" s="69"/>
      <c r="H36" s="69"/>
      <c r="I36" s="69"/>
      <c r="J36" s="69"/>
      <c r="K36" s="69"/>
    </row>
    <row r="37" spans="1:11" x14ac:dyDescent="0.25">
      <c r="A37" s="65"/>
      <c r="B37" s="6"/>
      <c r="C37" s="6" t="s">
        <v>107</v>
      </c>
      <c r="D37" s="53">
        <f>D35/D36</f>
        <v>1600</v>
      </c>
      <c r="E37" s="7" t="s">
        <v>21</v>
      </c>
      <c r="G37" s="69"/>
      <c r="H37" s="69"/>
      <c r="I37" s="69"/>
      <c r="J37" s="69"/>
      <c r="K37" s="69"/>
    </row>
    <row r="38" spans="1:11" x14ac:dyDescent="0.25">
      <c r="A38" s="65"/>
      <c r="B38" s="6"/>
      <c r="C38" s="6" t="s">
        <v>108</v>
      </c>
      <c r="D38" s="40">
        <v>500</v>
      </c>
      <c r="E38" s="7" t="s">
        <v>21</v>
      </c>
      <c r="G38" s="69"/>
      <c r="H38" s="69"/>
      <c r="I38" s="69"/>
      <c r="J38" s="69"/>
      <c r="K38" s="69"/>
    </row>
    <row r="39" spans="1:11" x14ac:dyDescent="0.25">
      <c r="A39" s="65"/>
      <c r="B39" s="6"/>
      <c r="C39" s="6" t="s">
        <v>109</v>
      </c>
      <c r="D39" s="40">
        <v>4</v>
      </c>
      <c r="E39" s="7"/>
      <c r="G39" s="69"/>
      <c r="H39" s="69"/>
      <c r="I39" s="69"/>
      <c r="J39" s="69"/>
      <c r="K39" s="69"/>
    </row>
    <row r="40" spans="1:11" x14ac:dyDescent="0.25">
      <c r="A40" s="65"/>
      <c r="C40" t="s">
        <v>114</v>
      </c>
      <c r="D40" s="18">
        <f>D38*D39</f>
        <v>2000</v>
      </c>
      <c r="E40" s="7" t="s">
        <v>21</v>
      </c>
    </row>
    <row r="41" spans="1:11" x14ac:dyDescent="0.25">
      <c r="A41" s="65"/>
      <c r="C41" t="s">
        <v>117</v>
      </c>
      <c r="D41" s="34">
        <v>5</v>
      </c>
      <c r="E41" t="s">
        <v>149</v>
      </c>
    </row>
    <row r="42" spans="1:11" x14ac:dyDescent="0.25">
      <c r="A42" s="65"/>
      <c r="C42" t="s">
        <v>150</v>
      </c>
      <c r="D42" s="18">
        <f>(1+(D41/200))*D40</f>
        <v>2050</v>
      </c>
      <c r="E42" s="7" t="s">
        <v>21</v>
      </c>
    </row>
    <row r="43" spans="1:11" x14ac:dyDescent="0.25">
      <c r="A43" s="65"/>
      <c r="B43" s="6"/>
      <c r="C43" s="6" t="s">
        <v>151</v>
      </c>
      <c r="D43" s="8">
        <f>(1-(D41/200))*D40</f>
        <v>1950</v>
      </c>
      <c r="E43" s="7" t="s">
        <v>21</v>
      </c>
    </row>
    <row r="44" spans="1:11" x14ac:dyDescent="0.25">
      <c r="A44" s="65"/>
      <c r="B44" s="6"/>
      <c r="C44" s="6" t="s">
        <v>849</v>
      </c>
      <c r="D44" s="53">
        <f>D35/D43</f>
        <v>2.0512820512820511</v>
      </c>
      <c r="E44" s="6" t="s">
        <v>17</v>
      </c>
    </row>
    <row r="45" spans="1:11" x14ac:dyDescent="0.25">
      <c r="A45" s="65"/>
      <c r="B45" s="6"/>
      <c r="C45" s="6" t="s">
        <v>851</v>
      </c>
      <c r="D45" s="8">
        <f>POWER(D34, 2)*D42</f>
        <v>20.500000000000004</v>
      </c>
      <c r="E45" s="6" t="s">
        <v>19</v>
      </c>
    </row>
    <row r="46" spans="1:11" x14ac:dyDescent="0.25">
      <c r="A46" s="65"/>
      <c r="B46" s="6"/>
      <c r="C46" s="6" t="s">
        <v>850</v>
      </c>
      <c r="D46" s="8">
        <f>D45/D39</f>
        <v>5.1250000000000009</v>
      </c>
      <c r="E46" s="6" t="s">
        <v>19</v>
      </c>
    </row>
    <row r="47" spans="1:11" x14ac:dyDescent="0.25">
      <c r="A47" s="65"/>
      <c r="B47" s="6"/>
      <c r="C47" s="45" t="s">
        <v>152</v>
      </c>
      <c r="D47" s="45">
        <f>D38*POWER(D117, 2)/(2*3)</f>
        <v>520.83333333333337</v>
      </c>
      <c r="E47" s="6"/>
    </row>
    <row r="48" spans="1:11" x14ac:dyDescent="0.25">
      <c r="A48" s="65"/>
      <c r="B48" s="6"/>
      <c r="C48" s="6" t="s">
        <v>478</v>
      </c>
      <c r="D48" s="8">
        <f>POWER(D33, 2)*D42</f>
        <v>5.1250000000000009</v>
      </c>
      <c r="E48" s="6" t="s">
        <v>19</v>
      </c>
    </row>
    <row r="49" spans="1:5" x14ac:dyDescent="0.25">
      <c r="A49" s="65"/>
      <c r="B49" s="6"/>
      <c r="C49" s="6" t="s">
        <v>24</v>
      </c>
      <c r="D49" s="53">
        <f>D32/D39</f>
        <v>0.48</v>
      </c>
      <c r="E49" s="6" t="s">
        <v>22</v>
      </c>
    </row>
    <row r="50" spans="1:5" x14ac:dyDescent="0.25">
      <c r="A50" s="65"/>
      <c r="B50" s="6"/>
      <c r="C50" s="6" t="s">
        <v>476</v>
      </c>
      <c r="D50" s="54">
        <v>100</v>
      </c>
      <c r="E50" s="6" t="s">
        <v>19</v>
      </c>
    </row>
    <row r="51" spans="1:5" x14ac:dyDescent="0.25">
      <c r="A51" s="65"/>
      <c r="B51" s="6"/>
      <c r="C51" s="6" t="s">
        <v>477</v>
      </c>
      <c r="D51" s="18" t="b">
        <f>D50/D31&gt;=D46</f>
        <v>1</v>
      </c>
      <c r="E51" s="6"/>
    </row>
    <row r="52" spans="1:5" x14ac:dyDescent="0.25">
      <c r="A52" s="65"/>
      <c r="B52" s="6"/>
      <c r="C52" s="6" t="s">
        <v>854</v>
      </c>
      <c r="D52" s="53">
        <f>D50*D39/D31</f>
        <v>333.33333333333337</v>
      </c>
      <c r="E52" s="6" t="s">
        <v>19</v>
      </c>
    </row>
    <row r="53" spans="1:5" x14ac:dyDescent="0.25">
      <c r="A53" s="65"/>
      <c r="B53" s="6"/>
      <c r="C53" s="6" t="s">
        <v>852</v>
      </c>
      <c r="D53" s="18" t="b">
        <f>D52&gt;=D30</f>
        <v>1</v>
      </c>
      <c r="E53" s="6"/>
    </row>
    <row r="54" spans="1:5" x14ac:dyDescent="0.25">
      <c r="A54" s="20"/>
      <c r="B54" s="6"/>
      <c r="C54" s="45"/>
      <c r="D54" s="46"/>
      <c r="E54" s="45"/>
    </row>
    <row r="55" spans="1:5" x14ac:dyDescent="0.25">
      <c r="A55" s="20"/>
      <c r="B55" s="6"/>
      <c r="C55" s="45"/>
      <c r="D55" s="46"/>
      <c r="E55" s="45"/>
    </row>
    <row r="56" spans="1:5" x14ac:dyDescent="0.25">
      <c r="A56" s="20"/>
      <c r="B56" s="6"/>
      <c r="C56" s="45"/>
      <c r="D56" s="46"/>
      <c r="E56" s="45"/>
    </row>
    <row r="57" spans="1:5" x14ac:dyDescent="0.25">
      <c r="A57" s="20"/>
      <c r="B57" s="6"/>
      <c r="C57" s="45"/>
      <c r="D57" s="46"/>
      <c r="E57" s="45"/>
    </row>
    <row r="58" spans="1:5" x14ac:dyDescent="0.25">
      <c r="A58" s="20"/>
      <c r="B58" s="50"/>
      <c r="C58" s="45"/>
      <c r="D58" s="46"/>
      <c r="E58" s="45"/>
    </row>
    <row r="59" spans="1:5" x14ac:dyDescent="0.25">
      <c r="A59" s="20"/>
      <c r="B59" s="6"/>
      <c r="C59" s="45"/>
      <c r="D59" s="46"/>
      <c r="E59" s="45"/>
    </row>
    <row r="60" spans="1:5" x14ac:dyDescent="0.25">
      <c r="A60" s="20"/>
      <c r="B60" s="6"/>
      <c r="C60" s="45"/>
      <c r="D60" s="46"/>
      <c r="E60" s="51"/>
    </row>
    <row r="61" spans="1:5" x14ac:dyDescent="0.25">
      <c r="A61" s="20"/>
      <c r="B61" s="6"/>
      <c r="C61" s="45"/>
      <c r="D61" s="46"/>
      <c r="E61" s="45"/>
    </row>
    <row r="62" spans="1:5" x14ac:dyDescent="0.25">
      <c r="A62" s="20"/>
      <c r="B62" s="6"/>
      <c r="C62" s="45"/>
      <c r="D62" s="46"/>
      <c r="E62" s="45"/>
    </row>
    <row r="63" spans="1:5" x14ac:dyDescent="0.25">
      <c r="A63" s="65" t="s">
        <v>27</v>
      </c>
      <c r="B63" s="2"/>
      <c r="C63" s="2" t="s">
        <v>14</v>
      </c>
      <c r="D63" s="57">
        <f>D12</f>
        <v>400</v>
      </c>
      <c r="E63" s="2" t="s">
        <v>18</v>
      </c>
    </row>
    <row r="64" spans="1:5" x14ac:dyDescent="0.25">
      <c r="A64" s="65"/>
      <c r="B64" s="2"/>
      <c r="C64" s="2" t="s">
        <v>5</v>
      </c>
      <c r="D64" s="3">
        <f>D16</f>
        <v>1.1999999999999999E-6</v>
      </c>
      <c r="E64" s="2" t="s">
        <v>20</v>
      </c>
    </row>
    <row r="65" spans="1:18" x14ac:dyDescent="0.25">
      <c r="A65" s="65"/>
      <c r="B65" s="2"/>
      <c r="C65" s="2" t="s">
        <v>922</v>
      </c>
      <c r="D65" s="76">
        <f>D17</f>
        <v>10</v>
      </c>
      <c r="E65" s="2"/>
    </row>
    <row r="66" spans="1:18" x14ac:dyDescent="0.25">
      <c r="A66" s="65"/>
      <c r="B66" s="2"/>
      <c r="C66" s="2" t="s">
        <v>923</v>
      </c>
      <c r="D66" s="3">
        <v>100</v>
      </c>
      <c r="E66" s="2"/>
    </row>
    <row r="67" spans="1:18" x14ac:dyDescent="0.25">
      <c r="A67" s="65"/>
      <c r="B67" s="2" t="s">
        <v>87</v>
      </c>
      <c r="C67" s="2" t="s">
        <v>86</v>
      </c>
      <c r="D67" s="56">
        <f>D14</f>
        <v>10</v>
      </c>
      <c r="E67" s="2"/>
      <c r="P67" t="s">
        <v>63</v>
      </c>
      <c r="Q67" t="s">
        <v>64</v>
      </c>
      <c r="R67">
        <v>0.1</v>
      </c>
    </row>
    <row r="68" spans="1:18" ht="15" customHeight="1" x14ac:dyDescent="0.25">
      <c r="A68" s="65"/>
      <c r="C68" s="6" t="s">
        <v>26</v>
      </c>
      <c r="D68" s="40">
        <v>180</v>
      </c>
      <c r="E68" s="6" t="s">
        <v>232</v>
      </c>
      <c r="P68" t="s">
        <v>65</v>
      </c>
      <c r="Q68" t="s">
        <v>66</v>
      </c>
      <c r="R68">
        <f xml:space="preserve"> D8/R67</f>
        <v>40000</v>
      </c>
    </row>
    <row r="69" spans="1:18" x14ac:dyDescent="0.25">
      <c r="A69" s="65"/>
      <c r="C69" s="6" t="s">
        <v>23</v>
      </c>
      <c r="D69" s="40">
        <v>30</v>
      </c>
      <c r="E69" s="6" t="s">
        <v>18</v>
      </c>
      <c r="P69" t="s">
        <v>67</v>
      </c>
      <c r="Q69" t="s">
        <v>68</v>
      </c>
      <c r="R69">
        <f>D2/D8</f>
        <v>0.05</v>
      </c>
    </row>
    <row r="70" spans="1:18" x14ac:dyDescent="0.25">
      <c r="A70" s="65"/>
      <c r="C70" s="6" t="s">
        <v>924</v>
      </c>
      <c r="D70" s="40">
        <f>D69/D67</f>
        <v>3</v>
      </c>
      <c r="E70" s="6" t="s">
        <v>18</v>
      </c>
    </row>
    <row r="71" spans="1:18" x14ac:dyDescent="0.25">
      <c r="A71" s="65"/>
      <c r="B71" s="6"/>
      <c r="C71" s="6" t="s">
        <v>10</v>
      </c>
      <c r="D71" s="8">
        <f>D69/D67</f>
        <v>3</v>
      </c>
      <c r="E71" s="6" t="s">
        <v>232</v>
      </c>
      <c r="P71" t="s">
        <v>69</v>
      </c>
      <c r="Q71" t="s">
        <v>70</v>
      </c>
      <c r="R71">
        <f xml:space="preserve"> D2/D9</f>
        <v>0.1</v>
      </c>
    </row>
    <row r="72" spans="1:18" x14ac:dyDescent="0.25">
      <c r="A72" s="65"/>
      <c r="B72" s="6"/>
      <c r="C72" s="6" t="s">
        <v>11</v>
      </c>
      <c r="D72" s="53">
        <f>D68/(D64*LN(D63/D71))</f>
        <v>30656964.910652909</v>
      </c>
      <c r="E72" s="7" t="s">
        <v>21</v>
      </c>
      <c r="Q72" t="s">
        <v>71</v>
      </c>
      <c r="R72">
        <f>R69*R68</f>
        <v>2000</v>
      </c>
    </row>
    <row r="73" spans="1:18" x14ac:dyDescent="0.25">
      <c r="A73" s="65"/>
      <c r="C73" s="6" t="s">
        <v>13</v>
      </c>
      <c r="D73" s="54">
        <f>5000000</f>
        <v>5000000</v>
      </c>
      <c r="E73" s="7" t="s">
        <v>21</v>
      </c>
      <c r="G73" t="s">
        <v>28</v>
      </c>
      <c r="Q73" t="s">
        <v>72</v>
      </c>
      <c r="R73">
        <f>R71*R68</f>
        <v>4000</v>
      </c>
    </row>
    <row r="74" spans="1:18" x14ac:dyDescent="0.25">
      <c r="A74" s="65"/>
      <c r="B74" s="6"/>
      <c r="C74" s="6" t="s">
        <v>926</v>
      </c>
      <c r="D74" s="75">
        <f>(1 + ( D65/ 100))*D64* (1 + (D66 / 100))* D73</f>
        <v>13.200000000000001</v>
      </c>
      <c r="E74" s="6"/>
      <c r="F74" t="s">
        <v>920</v>
      </c>
      <c r="Q74" t="s">
        <v>73</v>
      </c>
      <c r="R74">
        <f xml:space="preserve"> POWER(R72, 2)/R68</f>
        <v>100</v>
      </c>
    </row>
    <row r="75" spans="1:18" x14ac:dyDescent="0.25">
      <c r="A75" s="65"/>
      <c r="B75" s="6"/>
      <c r="C75" s="6" t="s">
        <v>89</v>
      </c>
      <c r="D75" s="53">
        <f>POWER(D63, 2)/D73</f>
        <v>3.2000000000000001E-2</v>
      </c>
      <c r="E75" s="6" t="s">
        <v>19</v>
      </c>
      <c r="Q75" t="s">
        <v>74</v>
      </c>
      <c r="R75">
        <f xml:space="preserve"> POWER(R73, 2)/R68</f>
        <v>400</v>
      </c>
    </row>
    <row r="76" spans="1:18" x14ac:dyDescent="0.25">
      <c r="A76" s="65"/>
      <c r="B76" s="6"/>
      <c r="C76" s="6" t="s">
        <v>12</v>
      </c>
      <c r="D76" s="53">
        <f>2*D75*D67</f>
        <v>0.64</v>
      </c>
      <c r="E76" s="6" t="s">
        <v>19</v>
      </c>
    </row>
    <row r="77" spans="1:18" x14ac:dyDescent="0.25">
      <c r="A77" s="65"/>
      <c r="B77" s="6"/>
      <c r="C77" s="6" t="s">
        <v>927</v>
      </c>
      <c r="D77" s="53">
        <f>D73*D64*LN(D63/D71)</f>
        <v>29.357113550639234</v>
      </c>
      <c r="E77" s="6" t="s">
        <v>232</v>
      </c>
    </row>
    <row r="78" spans="1:18" x14ac:dyDescent="0.25">
      <c r="A78" s="65"/>
      <c r="B78" s="6"/>
      <c r="C78" s="6" t="s">
        <v>925</v>
      </c>
      <c r="D78" s="75">
        <f>-D74*LN(D70/D63)</f>
        <v>64.585649811406327</v>
      </c>
      <c r="E78" s="6"/>
    </row>
    <row r="79" spans="1:18" x14ac:dyDescent="0.25">
      <c r="A79" s="65"/>
      <c r="B79" s="6"/>
      <c r="C79" s="6" t="s">
        <v>90</v>
      </c>
      <c r="D79" s="55" t="b">
        <f>D78&lt;=D68</f>
        <v>1</v>
      </c>
      <c r="E79" s="6"/>
    </row>
    <row r="80" spans="1:18" x14ac:dyDescent="0.25">
      <c r="A80" s="48"/>
      <c r="B80" s="6"/>
    </row>
    <row r="81" spans="1:18" x14ac:dyDescent="0.25">
      <c r="A81" s="48"/>
      <c r="B81" s="6"/>
      <c r="C81" s="6"/>
      <c r="D81" s="6"/>
      <c r="E81" s="6"/>
    </row>
    <row r="82" spans="1:18" x14ac:dyDescent="0.25">
      <c r="A82" s="67" t="s">
        <v>91</v>
      </c>
      <c r="B82" s="2" t="s">
        <v>88</v>
      </c>
      <c r="C82" s="2" t="s">
        <v>0</v>
      </c>
      <c r="D82" s="2">
        <f>D14</f>
        <v>10</v>
      </c>
      <c r="E82" s="2"/>
    </row>
    <row r="83" spans="1:18" x14ac:dyDescent="0.25">
      <c r="A83" s="67"/>
      <c r="B83" s="2"/>
      <c r="C83" s="2" t="s">
        <v>5</v>
      </c>
      <c r="D83" s="3">
        <f>D16</f>
        <v>1.1999999999999999E-6</v>
      </c>
      <c r="E83" s="2" t="s">
        <v>20</v>
      </c>
    </row>
    <row r="84" spans="1:18" x14ac:dyDescent="0.25">
      <c r="A84" s="67"/>
      <c r="B84" s="2"/>
      <c r="C84" s="2" t="s">
        <v>14</v>
      </c>
      <c r="D84" s="57">
        <f>D12</f>
        <v>400</v>
      </c>
      <c r="E84" s="2" t="s">
        <v>18</v>
      </c>
    </row>
    <row r="85" spans="1:18" x14ac:dyDescent="0.25">
      <c r="A85" s="67"/>
      <c r="B85" s="2"/>
      <c r="C85" s="2" t="s">
        <v>62</v>
      </c>
      <c r="D85" s="56">
        <f>D2</f>
        <v>200</v>
      </c>
      <c r="E85" s="2" t="s">
        <v>19</v>
      </c>
    </row>
    <row r="86" spans="1:18" x14ac:dyDescent="0.25">
      <c r="A86" s="67"/>
      <c r="B86" s="2" t="s">
        <v>40</v>
      </c>
      <c r="C86" s="2" t="s">
        <v>39</v>
      </c>
      <c r="D86" s="56">
        <f>D3</f>
        <v>16000</v>
      </c>
      <c r="E86" s="2" t="s">
        <v>58</v>
      </c>
    </row>
    <row r="87" spans="1:18" x14ac:dyDescent="0.25">
      <c r="A87" s="67"/>
      <c r="B87" s="6"/>
      <c r="C87" s="6" t="s">
        <v>842</v>
      </c>
      <c r="D87" s="8">
        <f>D85/D86</f>
        <v>1.2500000000000001E-2</v>
      </c>
      <c r="E87" s="6" t="s">
        <v>22</v>
      </c>
    </row>
    <row r="88" spans="1:18" x14ac:dyDescent="0.25">
      <c r="A88" s="67"/>
      <c r="B88" s="6" t="s">
        <v>106</v>
      </c>
      <c r="C88" s="6" t="s">
        <v>6</v>
      </c>
      <c r="D88" s="53">
        <f>POWER(D84, 2)*0.5*D83</f>
        <v>9.6000000000000002E-2</v>
      </c>
      <c r="E88" s="6" t="s">
        <v>22</v>
      </c>
    </row>
    <row r="89" spans="1:18" x14ac:dyDescent="0.25">
      <c r="A89" s="67"/>
      <c r="B89" s="6"/>
      <c r="C89" s="6" t="s">
        <v>116</v>
      </c>
      <c r="D89" s="53">
        <f>D88*2*D82</f>
        <v>1.92</v>
      </c>
      <c r="E89" s="6" t="s">
        <v>22</v>
      </c>
    </row>
    <row r="90" spans="1:18" x14ac:dyDescent="0.25">
      <c r="A90" s="67"/>
      <c r="B90" s="6"/>
      <c r="C90" s="6" t="s">
        <v>855</v>
      </c>
      <c r="D90" s="53">
        <f>D88-D87</f>
        <v>8.3500000000000005E-2</v>
      </c>
      <c r="E90" s="6" t="s">
        <v>18</v>
      </c>
      <c r="R90" s="1"/>
    </row>
    <row r="91" spans="1:18" x14ac:dyDescent="0.25">
      <c r="A91" s="67"/>
      <c r="B91" s="6"/>
      <c r="C91" s="6" t="s">
        <v>856</v>
      </c>
      <c r="D91" s="8">
        <f xml:space="preserve"> POWER(D90*2/D83, 0.5)</f>
        <v>373.05048809332322</v>
      </c>
      <c r="E91" s="6" t="s">
        <v>18</v>
      </c>
    </row>
    <row r="92" spans="1:18" x14ac:dyDescent="0.25">
      <c r="A92" s="67"/>
      <c r="B92" s="6" t="s">
        <v>105</v>
      </c>
      <c r="C92" s="6" t="s">
        <v>75</v>
      </c>
      <c r="D92" s="8">
        <f>D84-D91</f>
        <v>26.949511906676776</v>
      </c>
      <c r="E92" s="6" t="s">
        <v>18</v>
      </c>
    </row>
    <row r="93" spans="1:18" x14ac:dyDescent="0.25">
      <c r="A93" s="67"/>
      <c r="B93" s="6" t="s">
        <v>101</v>
      </c>
      <c r="C93" s="6" t="s">
        <v>102</v>
      </c>
      <c r="D93" s="8">
        <f>D92/POWER(2, 0.5)</f>
        <v>19.056182618878751</v>
      </c>
      <c r="E93" s="6" t="s">
        <v>18</v>
      </c>
    </row>
    <row r="94" spans="1:18" x14ac:dyDescent="0.25">
      <c r="A94" s="67"/>
      <c r="B94" s="6" t="s">
        <v>104</v>
      </c>
      <c r="C94" s="6" t="s">
        <v>103</v>
      </c>
      <c r="D94" s="53">
        <f>2 * PI() * D86* D83*POWER(D93, 2)</f>
        <v>43.807947826365279</v>
      </c>
      <c r="E94" s="6" t="s">
        <v>19</v>
      </c>
    </row>
    <row r="95" spans="1:18" x14ac:dyDescent="0.25">
      <c r="A95" s="67"/>
      <c r="C95" t="s">
        <v>76</v>
      </c>
      <c r="D95">
        <v>0.01</v>
      </c>
    </row>
    <row r="96" spans="1:18" x14ac:dyDescent="0.25">
      <c r="A96" s="67"/>
      <c r="C96" t="s">
        <v>77</v>
      </c>
      <c r="D96">
        <v>0.03</v>
      </c>
    </row>
    <row r="97" spans="1:8" x14ac:dyDescent="0.25">
      <c r="A97" s="67"/>
      <c r="C97" t="s">
        <v>78</v>
      </c>
      <c r="D97">
        <v>5.0000000000000001E-4</v>
      </c>
      <c r="G97" s="4" t="s">
        <v>29</v>
      </c>
      <c r="H97" t="s">
        <v>30</v>
      </c>
    </row>
    <row r="98" spans="1:8" x14ac:dyDescent="0.25">
      <c r="A98" s="67"/>
      <c r="C98" t="s">
        <v>79</v>
      </c>
      <c r="D98">
        <v>1E-3</v>
      </c>
      <c r="G98" s="4"/>
    </row>
    <row r="99" spans="1:8" x14ac:dyDescent="0.25">
      <c r="A99" s="67"/>
      <c r="C99" t="s">
        <v>80</v>
      </c>
      <c r="D99">
        <v>5.0000000000000001E-3</v>
      </c>
    </row>
    <row r="100" spans="1:8" x14ac:dyDescent="0.25">
      <c r="A100" s="67"/>
      <c r="C100" t="s">
        <v>81</v>
      </c>
      <c r="D100">
        <v>1.4999999999999999E-2</v>
      </c>
    </row>
    <row r="101" spans="1:8" x14ac:dyDescent="0.25">
      <c r="A101" s="67"/>
      <c r="C101" t="s">
        <v>82</v>
      </c>
      <c r="D101">
        <v>0.01</v>
      </c>
    </row>
    <row r="102" spans="1:8" x14ac:dyDescent="0.25">
      <c r="A102" s="67"/>
      <c r="C102" t="s">
        <v>95</v>
      </c>
      <c r="D102">
        <v>0.02</v>
      </c>
    </row>
    <row r="103" spans="1:8" x14ac:dyDescent="0.25">
      <c r="A103" s="67"/>
      <c r="B103" s="6"/>
      <c r="C103" s="6" t="s">
        <v>92</v>
      </c>
      <c r="D103" s="8">
        <f>D94*D96</f>
        <v>1.3142384347909584</v>
      </c>
      <c r="E103" s="6" t="s">
        <v>19</v>
      </c>
    </row>
    <row r="104" spans="1:8" x14ac:dyDescent="0.25">
      <c r="A104" s="67"/>
      <c r="B104" s="6"/>
      <c r="C104" s="6" t="s">
        <v>93</v>
      </c>
      <c r="D104" s="8">
        <f>D94*D98</f>
        <v>4.3807947826365282E-2</v>
      </c>
      <c r="E104" s="6" t="s">
        <v>19</v>
      </c>
    </row>
    <row r="105" spans="1:8" x14ac:dyDescent="0.25">
      <c r="A105" s="67"/>
      <c r="B105" s="6"/>
      <c r="C105" s="6" t="s">
        <v>94</v>
      </c>
      <c r="D105" s="8">
        <f>D94*D100</f>
        <v>0.65711921739547918</v>
      </c>
      <c r="E105" s="6" t="s">
        <v>19</v>
      </c>
    </row>
    <row r="106" spans="1:8" x14ac:dyDescent="0.25">
      <c r="A106" s="67"/>
      <c r="B106" s="6"/>
      <c r="C106" s="6" t="s">
        <v>96</v>
      </c>
      <c r="D106" s="53">
        <f>D94*D102</f>
        <v>0.87615895652730558</v>
      </c>
      <c r="E106" s="6" t="s">
        <v>19</v>
      </c>
    </row>
    <row r="107" spans="1:8" x14ac:dyDescent="0.25">
      <c r="A107" s="67"/>
      <c r="B107" s="6"/>
      <c r="C107" s="6" t="s">
        <v>97</v>
      </c>
      <c r="D107" s="8">
        <f>D103*D82*2</f>
        <v>26.284768695819167</v>
      </c>
      <c r="E107" s="6" t="s">
        <v>19</v>
      </c>
    </row>
    <row r="108" spans="1:8" x14ac:dyDescent="0.25">
      <c r="A108" s="67"/>
      <c r="B108" s="6"/>
      <c r="C108" s="6" t="s">
        <v>98</v>
      </c>
      <c r="D108" s="8">
        <f>D104*D82*2</f>
        <v>0.87615895652730558</v>
      </c>
      <c r="E108" s="6" t="s">
        <v>19</v>
      </c>
    </row>
    <row r="109" spans="1:8" x14ac:dyDescent="0.25">
      <c r="A109" s="67"/>
      <c r="B109" s="6"/>
      <c r="C109" s="6" t="s">
        <v>99</v>
      </c>
      <c r="D109" s="8">
        <f>D105*D82*2</f>
        <v>13.142384347909584</v>
      </c>
      <c r="E109" s="6" t="s">
        <v>19</v>
      </c>
    </row>
    <row r="110" spans="1:8" x14ac:dyDescent="0.25">
      <c r="A110" s="67"/>
      <c r="B110" s="6"/>
      <c r="C110" s="6" t="s">
        <v>100</v>
      </c>
      <c r="D110" s="53">
        <f>D106*D82*2</f>
        <v>17.523179130546112</v>
      </c>
      <c r="E110" s="6" t="s">
        <v>19</v>
      </c>
    </row>
    <row r="112" spans="1:8" x14ac:dyDescent="0.25">
      <c r="C112" s="45" t="s">
        <v>15</v>
      </c>
      <c r="D112" s="46">
        <f>D48+D28+D76</f>
        <v>6.9650000000000007</v>
      </c>
    </row>
    <row r="113" spans="1:17" x14ac:dyDescent="0.25">
      <c r="A113" s="65" t="s">
        <v>846</v>
      </c>
      <c r="B113" s="2"/>
      <c r="C113" s="2" t="s">
        <v>4</v>
      </c>
      <c r="D113" s="2">
        <f>D4</f>
        <v>1.2</v>
      </c>
      <c r="E113" s="2"/>
    </row>
    <row r="114" spans="1:17" ht="15" customHeight="1" x14ac:dyDescent="0.25">
      <c r="A114" s="65"/>
      <c r="B114" s="2" t="s">
        <v>696</v>
      </c>
      <c r="C114" s="2" t="s">
        <v>14</v>
      </c>
      <c r="D114" s="2">
        <f>D12</f>
        <v>400</v>
      </c>
      <c r="E114" s="2" t="s">
        <v>18</v>
      </c>
      <c r="F114" s="6"/>
    </row>
    <row r="115" spans="1:17" x14ac:dyDescent="0.25">
      <c r="A115" s="65"/>
      <c r="B115" s="2" t="s">
        <v>697</v>
      </c>
      <c r="C115" s="2" t="s">
        <v>857</v>
      </c>
      <c r="D115" s="2">
        <f>D2</f>
        <v>200</v>
      </c>
      <c r="E115" s="2" t="s">
        <v>19</v>
      </c>
      <c r="F115" s="6"/>
    </row>
    <row r="116" spans="1:17" x14ac:dyDescent="0.25">
      <c r="A116" s="65"/>
      <c r="B116" s="2" t="s">
        <v>40</v>
      </c>
      <c r="C116" s="2" t="s">
        <v>39</v>
      </c>
      <c r="D116" s="2">
        <f>D3</f>
        <v>16000</v>
      </c>
      <c r="E116" s="2" t="s">
        <v>58</v>
      </c>
      <c r="F116" s="6"/>
    </row>
    <row r="117" spans="1:17" x14ac:dyDescent="0.25">
      <c r="A117" s="65"/>
      <c r="B117" s="2" t="s">
        <v>694</v>
      </c>
      <c r="C117" s="2" t="s">
        <v>695</v>
      </c>
      <c r="D117" s="2">
        <f>D24</f>
        <v>2.5</v>
      </c>
      <c r="E117" s="2" t="s">
        <v>17</v>
      </c>
    </row>
    <row r="118" spans="1:17" x14ac:dyDescent="0.25">
      <c r="A118" s="65"/>
      <c r="B118" s="2" t="s">
        <v>33</v>
      </c>
      <c r="C118" s="2" t="s">
        <v>38</v>
      </c>
      <c r="D118" s="2">
        <f>D5</f>
        <v>35.400000000000006</v>
      </c>
      <c r="E118" s="2" t="s">
        <v>18</v>
      </c>
    </row>
    <row r="119" spans="1:17" x14ac:dyDescent="0.25">
      <c r="A119" s="65"/>
      <c r="B119" s="2" t="s">
        <v>34</v>
      </c>
      <c r="C119" s="2" t="s">
        <v>37</v>
      </c>
      <c r="D119" s="2">
        <f>D7</f>
        <v>44.1</v>
      </c>
      <c r="E119" s="2" t="s">
        <v>18</v>
      </c>
    </row>
    <row r="120" spans="1:17" x14ac:dyDescent="0.25">
      <c r="A120" s="65"/>
      <c r="B120" s="2" t="s">
        <v>52</v>
      </c>
      <c r="C120" s="2" t="s">
        <v>53</v>
      </c>
      <c r="D120" s="56">
        <f>D12</f>
        <v>400</v>
      </c>
      <c r="E120" s="2" t="s">
        <v>18</v>
      </c>
      <c r="F120" s="8"/>
    </row>
    <row r="121" spans="1:17" x14ac:dyDescent="0.25">
      <c r="A121" s="65"/>
      <c r="B121" t="s">
        <v>48</v>
      </c>
      <c r="C121" s="6" t="s">
        <v>49</v>
      </c>
      <c r="D121" s="34">
        <v>0.38</v>
      </c>
      <c r="E121" t="s">
        <v>693</v>
      </c>
      <c r="F121" s="34"/>
    </row>
    <row r="122" spans="1:17" x14ac:dyDescent="0.25">
      <c r="A122" s="65"/>
      <c r="B122" t="s">
        <v>47</v>
      </c>
      <c r="D122" s="34">
        <v>6.9999999999999999E-4</v>
      </c>
      <c r="E122" t="s">
        <v>193</v>
      </c>
      <c r="F122" s="34"/>
    </row>
    <row r="123" spans="1:17" x14ac:dyDescent="0.25">
      <c r="A123" s="65"/>
      <c r="B123" t="s">
        <v>41</v>
      </c>
      <c r="C123" t="s">
        <v>42</v>
      </c>
      <c r="D123" s="36">
        <f>Q135*10^9</f>
        <v>552.77777777777771</v>
      </c>
      <c r="E123" t="s">
        <v>915</v>
      </c>
      <c r="F123" s="36"/>
    </row>
    <row r="124" spans="1:17" x14ac:dyDescent="0.25">
      <c r="A124" s="65"/>
      <c r="C124" t="s">
        <v>32</v>
      </c>
      <c r="D124" s="34">
        <v>0.9</v>
      </c>
      <c r="F124" s="34"/>
    </row>
    <row r="125" spans="1:17" x14ac:dyDescent="0.25">
      <c r="A125" s="65"/>
      <c r="C125" s="39"/>
      <c r="D125" s="34"/>
      <c r="F125" s="34"/>
    </row>
    <row r="126" spans="1:17" x14ac:dyDescent="0.25">
      <c r="A126" s="65"/>
      <c r="B126" t="s">
        <v>333</v>
      </c>
      <c r="C126" s="39" t="s">
        <v>334</v>
      </c>
      <c r="D126" s="33">
        <f>D115/D116</f>
        <v>1.2500000000000001E-2</v>
      </c>
      <c r="E126" t="s">
        <v>22</v>
      </c>
      <c r="F126" s="33"/>
      <c r="M126" s="66" t="s">
        <v>713</v>
      </c>
      <c r="N126" s="66"/>
      <c r="O126" s="66"/>
      <c r="P126" s="66"/>
      <c r="Q126" s="66"/>
    </row>
    <row r="127" spans="1:17" x14ac:dyDescent="0.25">
      <c r="A127" s="65"/>
      <c r="B127" t="s">
        <v>844</v>
      </c>
      <c r="C127" s="39" t="s">
        <v>845</v>
      </c>
      <c r="D127" s="33">
        <f>D126/2</f>
        <v>6.2500000000000003E-3</v>
      </c>
      <c r="E127" t="s">
        <v>22</v>
      </c>
      <c r="F127" s="33"/>
      <c r="M127" s="44"/>
      <c r="N127" s="44"/>
      <c r="O127" s="44"/>
      <c r="P127" s="44"/>
      <c r="Q127" s="44"/>
    </row>
    <row r="128" spans="1:17" x14ac:dyDescent="0.25">
      <c r="A128" s="65"/>
      <c r="B128" t="s">
        <v>843</v>
      </c>
      <c r="C128" s="39"/>
      <c r="D128" s="33">
        <f>1/(4*D116)</f>
        <v>1.5625E-5</v>
      </c>
      <c r="E128" t="s">
        <v>232</v>
      </c>
      <c r="F128" s="33"/>
      <c r="M128" s="44"/>
      <c r="N128" s="44"/>
      <c r="O128" s="44"/>
      <c r="P128" s="44"/>
      <c r="Q128" s="44"/>
    </row>
    <row r="129" spans="1:32" x14ac:dyDescent="0.25">
      <c r="A129" s="65"/>
      <c r="B129" t="s">
        <v>723</v>
      </c>
      <c r="C129" s="39" t="s">
        <v>714</v>
      </c>
      <c r="D129" s="33">
        <f>POWER(D118*D128, 2)/(2*D127)</f>
        <v>2.4475781250000011E-5</v>
      </c>
      <c r="E129" t="s">
        <v>141</v>
      </c>
      <c r="F129" s="33"/>
      <c r="M129" s="41"/>
      <c r="N129" s="41"/>
      <c r="O129" s="41"/>
      <c r="P129" s="41"/>
      <c r="Q129" s="41"/>
    </row>
    <row r="130" spans="1:32" x14ac:dyDescent="0.25">
      <c r="A130" s="65"/>
      <c r="B130" t="s">
        <v>724</v>
      </c>
      <c r="C130" t="s">
        <v>847</v>
      </c>
      <c r="D130" s="47">
        <f>D129*2</f>
        <v>4.8951562500000022E-5</v>
      </c>
      <c r="E130" t="s">
        <v>141</v>
      </c>
      <c r="F130" s="47"/>
      <c r="M130" t="s">
        <v>709</v>
      </c>
      <c r="O130">
        <v>6</v>
      </c>
      <c r="P130">
        <v>6</v>
      </c>
      <c r="Q130">
        <v>6</v>
      </c>
      <c r="R130">
        <v>6</v>
      </c>
    </row>
    <row r="131" spans="1:32" x14ac:dyDescent="0.25">
      <c r="A131" s="65"/>
      <c r="B131" t="s">
        <v>36</v>
      </c>
      <c r="C131" s="39" t="s">
        <v>901</v>
      </c>
      <c r="D131" s="18">
        <f>POWER(2*D126/D130, 0.5)</f>
        <v>22.598870056497169</v>
      </c>
      <c r="E131" t="s">
        <v>17</v>
      </c>
      <c r="F131" s="18"/>
      <c r="M131" t="s">
        <v>710</v>
      </c>
      <c r="N131" t="s">
        <v>120</v>
      </c>
      <c r="O131">
        <v>0</v>
      </c>
      <c r="P131">
        <v>1</v>
      </c>
      <c r="Q131">
        <v>2</v>
      </c>
      <c r="R131">
        <v>3</v>
      </c>
    </row>
    <row r="132" spans="1:32" x14ac:dyDescent="0.25">
      <c r="A132" s="65"/>
      <c r="C132" s="39" t="s">
        <v>726</v>
      </c>
      <c r="D132" s="33">
        <f>0.5*D130*POWER(D131, 2)</f>
        <v>1.2499999999999999E-2</v>
      </c>
      <c r="E132" t="s">
        <v>22</v>
      </c>
      <c r="F132" s="33"/>
    </row>
    <row r="133" spans="1:32" x14ac:dyDescent="0.25">
      <c r="A133" s="65"/>
      <c r="C133" s="39" t="s">
        <v>727</v>
      </c>
      <c r="D133" s="33" t="b">
        <f>D132&gt;=D126</f>
        <v>1</v>
      </c>
      <c r="F133" s="33"/>
    </row>
    <row r="134" spans="1:32" x14ac:dyDescent="0.25">
      <c r="A134" s="65"/>
      <c r="B134" t="s">
        <v>54</v>
      </c>
      <c r="D134">
        <f>D131/D141</f>
        <v>2.5</v>
      </c>
      <c r="E134" t="s">
        <v>17</v>
      </c>
      <c r="M134" t="s">
        <v>711</v>
      </c>
      <c r="N134" t="s">
        <v>141</v>
      </c>
      <c r="O134" s="1">
        <v>1.8770000000000001E-4</v>
      </c>
      <c r="P134" s="1">
        <v>2.4600000000000002E-5</v>
      </c>
      <c r="Q134" s="1">
        <v>1.9899999999999999E-5</v>
      </c>
      <c r="R134" s="1">
        <v>1.7799999999999999E-5</v>
      </c>
    </row>
    <row r="135" spans="1:32" x14ac:dyDescent="0.25">
      <c r="A135" s="65"/>
      <c r="B135" t="s">
        <v>43</v>
      </c>
      <c r="C135" t="s">
        <v>44</v>
      </c>
      <c r="D135" s="18">
        <f>POWER(D130*(1000000000)/D123, 0.5)</f>
        <v>9.4103979964856617</v>
      </c>
      <c r="F135" s="18"/>
      <c r="M135" t="s">
        <v>712</v>
      </c>
      <c r="O135">
        <f>O134/POWER(O130, 2)</f>
        <v>5.2138888888888888E-6</v>
      </c>
      <c r="P135">
        <f t="shared" ref="P135:R135" si="0">P134/POWER(P130, 2)</f>
        <v>6.8333333333333339E-7</v>
      </c>
      <c r="Q135">
        <f t="shared" si="0"/>
        <v>5.5277777777777772E-7</v>
      </c>
      <c r="R135">
        <f t="shared" si="0"/>
        <v>4.9444444444444438E-7</v>
      </c>
      <c r="S135" t="e">
        <f t="shared" ref="S135" si="1">S134/POWER(S130, 2)</f>
        <v>#DIV/0!</v>
      </c>
      <c r="T135" t="e">
        <f t="shared" ref="T135" si="2">T134/POWER(T130, 2)</f>
        <v>#DIV/0!</v>
      </c>
      <c r="U135" t="e">
        <f t="shared" ref="U135" si="3">U134/POWER(U130, 2)</f>
        <v>#DIV/0!</v>
      </c>
      <c r="V135" t="e">
        <f t="shared" ref="V135" si="4">V134/POWER(V130, 2)</f>
        <v>#DIV/0!</v>
      </c>
      <c r="W135" t="e">
        <f t="shared" ref="W135" si="5">W134/POWER(W130, 2)</f>
        <v>#DIV/0!</v>
      </c>
      <c r="X135" t="e">
        <f t="shared" ref="X135" si="6">X134/POWER(X130, 2)</f>
        <v>#DIV/0!</v>
      </c>
      <c r="Y135" t="e">
        <f t="shared" ref="Y135" si="7">Y134/POWER(Y130, 2)</f>
        <v>#DIV/0!</v>
      </c>
      <c r="Z135" t="e">
        <f t="shared" ref="Z135" si="8">Z134/POWER(Z130, 2)</f>
        <v>#DIV/0!</v>
      </c>
      <c r="AA135" t="e">
        <f t="shared" ref="AA135" si="9">AA134/POWER(AA130, 2)</f>
        <v>#DIV/0!</v>
      </c>
      <c r="AB135" t="e">
        <f t="shared" ref="AB135" si="10">AB134/POWER(AB130, 2)</f>
        <v>#DIV/0!</v>
      </c>
      <c r="AC135" t="e">
        <f t="shared" ref="AC135" si="11">AC134/POWER(AC130, 2)</f>
        <v>#DIV/0!</v>
      </c>
      <c r="AD135" t="e">
        <f t="shared" ref="AD135" si="12">AD134/POWER(AD130, 2)</f>
        <v>#DIV/0!</v>
      </c>
      <c r="AE135" t="e">
        <f t="shared" ref="AE135" si="13">AE134/POWER(AE130, 2)</f>
        <v>#DIV/0!</v>
      </c>
      <c r="AF135" t="e">
        <f t="shared" ref="AF135" si="14">AF134/POWER(AF130, 2)</f>
        <v>#DIV/0!</v>
      </c>
    </row>
    <row r="136" spans="1:32" x14ac:dyDescent="0.25">
      <c r="A136" s="65"/>
      <c r="B136" t="s">
        <v>45</v>
      </c>
      <c r="C136" t="s">
        <v>46</v>
      </c>
      <c r="D136" s="18">
        <f>D130*D131/(D135*D122)</f>
        <v>0.16793733309126052</v>
      </c>
      <c r="E136" t="s">
        <v>693</v>
      </c>
      <c r="F136" s="18"/>
    </row>
    <row r="137" spans="1:32" x14ac:dyDescent="0.25">
      <c r="A137" s="65"/>
      <c r="C137" t="s">
        <v>50</v>
      </c>
      <c r="D137" s="18" t="b">
        <f>D136&gt;D121</f>
        <v>0</v>
      </c>
    </row>
    <row r="138" spans="1:32" x14ac:dyDescent="0.25">
      <c r="A138" s="65"/>
      <c r="B138" t="s">
        <v>715</v>
      </c>
      <c r="C138" t="s">
        <v>716</v>
      </c>
      <c r="D138" s="18">
        <f>D131/D117</f>
        <v>9.0395480225988685</v>
      </c>
      <c r="F138" s="18"/>
    </row>
    <row r="139" spans="1:32" x14ac:dyDescent="0.25">
      <c r="A139" s="65"/>
      <c r="B139" t="s">
        <v>718</v>
      </c>
      <c r="C139" t="s">
        <v>719</v>
      </c>
      <c r="D139" s="18">
        <f>D114/(2*D119)</f>
        <v>4.5351473922902494</v>
      </c>
      <c r="F139" s="18"/>
    </row>
    <row r="140" spans="1:32" x14ac:dyDescent="0.25">
      <c r="A140" s="65"/>
      <c r="B140" t="s">
        <v>717</v>
      </c>
      <c r="C140" t="s">
        <v>720</v>
      </c>
      <c r="D140" s="18">
        <f>D114/(2*D118)</f>
        <v>5.6497175141242932</v>
      </c>
      <c r="F140" s="18"/>
      <c r="H140" s="66" t="s">
        <v>860</v>
      </c>
      <c r="I140" s="66"/>
      <c r="J140" s="66"/>
      <c r="K140" s="66"/>
      <c r="L140" s="66"/>
      <c r="M140" s="66"/>
    </row>
    <row r="141" spans="1:32" x14ac:dyDescent="0.25">
      <c r="A141" s="65"/>
      <c r="B141" t="s">
        <v>721</v>
      </c>
      <c r="C141" t="s">
        <v>722</v>
      </c>
      <c r="D141" s="18">
        <f>D138</f>
        <v>9.0395480225988685</v>
      </c>
      <c r="F141" s="18"/>
    </row>
    <row r="142" spans="1:32" x14ac:dyDescent="0.25">
      <c r="A142" s="65"/>
      <c r="B142" t="s">
        <v>731</v>
      </c>
      <c r="C142" t="s">
        <v>335</v>
      </c>
      <c r="D142" s="18">
        <f>1/D141</f>
        <v>0.11062500000000001</v>
      </c>
      <c r="F142" s="18"/>
    </row>
    <row r="143" spans="1:32" x14ac:dyDescent="0.25">
      <c r="A143" s="65"/>
      <c r="C143" t="s">
        <v>725</v>
      </c>
      <c r="D143" s="55" t="b">
        <f>D141&gt;=D138</f>
        <v>1</v>
      </c>
      <c r="F143" s="18"/>
    </row>
    <row r="144" spans="1:32" x14ac:dyDescent="0.25">
      <c r="A144" s="65"/>
      <c r="C144" t="s">
        <v>728</v>
      </c>
      <c r="D144" s="18">
        <f>(D120/D118)/D141</f>
        <v>1.25</v>
      </c>
      <c r="F144" s="18"/>
    </row>
    <row r="145" spans="1:6" x14ac:dyDescent="0.25">
      <c r="A145" s="65"/>
      <c r="C145" t="s">
        <v>729</v>
      </c>
      <c r="D145" s="18">
        <f>(D120/D119)/D141</f>
        <v>1.0034013605442178</v>
      </c>
      <c r="F145" s="18"/>
    </row>
    <row r="146" spans="1:6" x14ac:dyDescent="0.25">
      <c r="A146" s="65"/>
      <c r="C146" t="s">
        <v>730</v>
      </c>
      <c r="D146" s="18" t="b">
        <f>OR(D144&lt;1, D145&lt;1)</f>
        <v>0</v>
      </c>
    </row>
    <row r="147" spans="1:6" x14ac:dyDescent="0.25">
      <c r="A147" s="65"/>
      <c r="D147" s="18" t="str">
        <f>IF(D146, "Demagnetisation may not complete with 0.5 duty cycle", "Demagnetisation should complete for 0.5 duty cycle")</f>
        <v>Demagnetisation should complete for 0.5 duty cycle</v>
      </c>
      <c r="F147" s="18"/>
    </row>
    <row r="148" spans="1:6" x14ac:dyDescent="0.25">
      <c r="A148" s="65"/>
      <c r="B148" t="s">
        <v>154</v>
      </c>
      <c r="C148" t="s">
        <v>155</v>
      </c>
      <c r="D148" s="18">
        <f xml:space="preserve"> D141*D135</f>
        <v>85.065744601000318</v>
      </c>
      <c r="F148" s="18"/>
    </row>
    <row r="149" spans="1:6" x14ac:dyDescent="0.25">
      <c r="A149" s="63"/>
      <c r="D149" s="18"/>
      <c r="F149" s="18"/>
    </row>
    <row r="150" spans="1:6" x14ac:dyDescent="0.25">
      <c r="A150" s="65" t="s">
        <v>891</v>
      </c>
      <c r="B150" t="s">
        <v>883</v>
      </c>
      <c r="D150" s="34">
        <f>0.0000066</f>
        <v>6.6000000000000003E-6</v>
      </c>
      <c r="E150" t="s">
        <v>141</v>
      </c>
      <c r="F150" s="22" t="s">
        <v>940</v>
      </c>
    </row>
    <row r="151" spans="1:6" x14ac:dyDescent="0.25">
      <c r="A151" s="65"/>
      <c r="C151" t="s">
        <v>859</v>
      </c>
      <c r="D151" s="33">
        <f>D150/D130</f>
        <v>0.13482715694723732</v>
      </c>
      <c r="F151" s="18"/>
    </row>
    <row r="152" spans="1:6" x14ac:dyDescent="0.25">
      <c r="A152" s="65"/>
      <c r="B152" t="s">
        <v>880</v>
      </c>
      <c r="C152" t="s">
        <v>877</v>
      </c>
      <c r="D152" s="33">
        <f>D130-D150</f>
        <v>4.2351562500000024E-5</v>
      </c>
      <c r="F152" s="18"/>
    </row>
    <row r="153" spans="1:6" x14ac:dyDescent="0.25">
      <c r="A153" s="65"/>
      <c r="B153" t="s">
        <v>881</v>
      </c>
      <c r="C153" t="s">
        <v>882</v>
      </c>
      <c r="D153" s="34">
        <v>0.1</v>
      </c>
      <c r="F153" s="18"/>
    </row>
    <row r="154" spans="1:6" x14ac:dyDescent="0.25">
      <c r="A154" s="65"/>
      <c r="B154" t="s">
        <v>884</v>
      </c>
      <c r="C154" t="s">
        <v>885</v>
      </c>
      <c r="D154" s="34">
        <v>3.5</v>
      </c>
      <c r="F154" s="18"/>
    </row>
    <row r="155" spans="1:6" x14ac:dyDescent="0.25">
      <c r="A155" s="65"/>
      <c r="B155" t="s">
        <v>701</v>
      </c>
      <c r="C155" t="s">
        <v>886</v>
      </c>
      <c r="D155" s="34">
        <v>10</v>
      </c>
      <c r="F155" s="18"/>
    </row>
    <row r="156" spans="1:6" x14ac:dyDescent="0.25">
      <c r="A156" s="65"/>
      <c r="B156" t="s">
        <v>887</v>
      </c>
      <c r="C156" t="s">
        <v>888</v>
      </c>
      <c r="D156" s="34">
        <v>85</v>
      </c>
      <c r="F156" s="18"/>
    </row>
    <row r="157" spans="1:6" x14ac:dyDescent="0.25">
      <c r="A157" s="65"/>
      <c r="B157" t="s">
        <v>889</v>
      </c>
      <c r="C157" t="s">
        <v>890</v>
      </c>
      <c r="D157" s="18">
        <f>D156/D155</f>
        <v>8.5</v>
      </c>
      <c r="F157" s="18"/>
    </row>
    <row r="158" spans="1:6" x14ac:dyDescent="0.25">
      <c r="A158" s="32"/>
      <c r="D158" s="18"/>
    </row>
    <row r="159" spans="1:6" x14ac:dyDescent="0.25">
      <c r="A159" s="65" t="s">
        <v>707</v>
      </c>
      <c r="B159" s="2" t="s">
        <v>54</v>
      </c>
      <c r="C159" s="2"/>
      <c r="D159" s="56">
        <f>D134</f>
        <v>2.5</v>
      </c>
    </row>
    <row r="160" spans="1:6" x14ac:dyDescent="0.25">
      <c r="A160" s="65"/>
      <c r="B160" s="2" t="s">
        <v>154</v>
      </c>
      <c r="C160" s="2" t="s">
        <v>155</v>
      </c>
      <c r="D160" s="56">
        <f>D148</f>
        <v>85.065744601000318</v>
      </c>
    </row>
    <row r="161" spans="1:199" x14ac:dyDescent="0.25">
      <c r="A161" s="65"/>
      <c r="B161" t="s">
        <v>703</v>
      </c>
      <c r="C161" t="s">
        <v>156</v>
      </c>
      <c r="D161" s="34">
        <v>1</v>
      </c>
    </row>
    <row r="162" spans="1:199" x14ac:dyDescent="0.25">
      <c r="A162" s="65"/>
      <c r="B162" t="s">
        <v>704</v>
      </c>
      <c r="C162" t="s">
        <v>204</v>
      </c>
      <c r="D162" s="18">
        <f>D160/D161</f>
        <v>85.065744601000318</v>
      </c>
    </row>
    <row r="163" spans="1:199" x14ac:dyDescent="0.25">
      <c r="A163" s="65"/>
      <c r="C163" t="s">
        <v>167</v>
      </c>
      <c r="D163" s="34">
        <v>33</v>
      </c>
      <c r="E163" t="s">
        <v>120</v>
      </c>
      <c r="Q163" s="1">
        <f>K226+$D225</f>
        <v>9.3750000000000002E-7</v>
      </c>
      <c r="R163" s="1">
        <f t="shared" ref="R163:AW163" si="15">Q163+$D225</f>
        <v>1.0937500000000001E-6</v>
      </c>
      <c r="S163" s="1">
        <f t="shared" si="15"/>
        <v>1.2500000000000001E-6</v>
      </c>
      <c r="T163" s="1">
        <f t="shared" si="15"/>
        <v>1.4062500000000001E-6</v>
      </c>
      <c r="U163" s="1">
        <f t="shared" si="15"/>
        <v>1.5625000000000001E-6</v>
      </c>
      <c r="V163" s="1">
        <f t="shared" si="15"/>
        <v>1.7187500000000001E-6</v>
      </c>
      <c r="W163" s="1">
        <f t="shared" si="15"/>
        <v>1.875E-6</v>
      </c>
      <c r="X163" s="1">
        <f t="shared" si="15"/>
        <v>2.0312500000000002E-6</v>
      </c>
      <c r="Y163" s="1">
        <f t="shared" si="15"/>
        <v>2.1875000000000002E-6</v>
      </c>
      <c r="Z163" s="1">
        <f t="shared" si="15"/>
        <v>2.3437500000000002E-6</v>
      </c>
      <c r="AA163" s="1">
        <f t="shared" si="15"/>
        <v>2.5000000000000002E-6</v>
      </c>
      <c r="AB163" s="1">
        <f t="shared" si="15"/>
        <v>2.6562500000000002E-6</v>
      </c>
      <c r="AC163" s="1">
        <f t="shared" si="15"/>
        <v>2.8125000000000002E-6</v>
      </c>
      <c r="AD163" s="1">
        <f t="shared" si="15"/>
        <v>2.9687500000000002E-6</v>
      </c>
      <c r="AE163" s="1">
        <f t="shared" si="15"/>
        <v>3.1250000000000001E-6</v>
      </c>
      <c r="AF163" s="1">
        <f t="shared" si="15"/>
        <v>3.2812500000000001E-6</v>
      </c>
      <c r="AG163" s="1">
        <f t="shared" si="15"/>
        <v>3.4375000000000001E-6</v>
      </c>
      <c r="AH163" s="1">
        <f t="shared" si="15"/>
        <v>3.5937500000000001E-6</v>
      </c>
      <c r="AI163" s="1">
        <f t="shared" si="15"/>
        <v>3.7500000000000001E-6</v>
      </c>
      <c r="AJ163" s="1">
        <f t="shared" si="15"/>
        <v>3.9062500000000001E-6</v>
      </c>
      <c r="AK163" s="1">
        <f t="shared" si="15"/>
        <v>4.0625000000000005E-6</v>
      </c>
      <c r="AL163" s="1">
        <f t="shared" si="15"/>
        <v>4.2187500000000009E-6</v>
      </c>
      <c r="AM163" s="1">
        <f t="shared" si="15"/>
        <v>4.3750000000000013E-6</v>
      </c>
      <c r="AN163" s="1">
        <f t="shared" si="15"/>
        <v>4.5312500000000017E-6</v>
      </c>
      <c r="AO163" s="1">
        <f t="shared" si="15"/>
        <v>4.6875000000000021E-6</v>
      </c>
      <c r="AP163" s="1">
        <f t="shared" si="15"/>
        <v>4.8437500000000025E-6</v>
      </c>
      <c r="AQ163" s="1">
        <f t="shared" si="15"/>
        <v>5.000000000000003E-6</v>
      </c>
      <c r="AR163" s="1">
        <f t="shared" si="15"/>
        <v>5.1562500000000034E-6</v>
      </c>
      <c r="AS163" s="1">
        <f t="shared" si="15"/>
        <v>5.3125000000000038E-6</v>
      </c>
      <c r="AT163" s="1">
        <f t="shared" si="15"/>
        <v>5.4687500000000042E-6</v>
      </c>
      <c r="AU163" s="1">
        <f t="shared" si="15"/>
        <v>5.6250000000000046E-6</v>
      </c>
      <c r="AV163" s="1">
        <f t="shared" si="15"/>
        <v>5.781250000000005E-6</v>
      </c>
      <c r="AW163" s="1">
        <f t="shared" si="15"/>
        <v>5.9375000000000054E-6</v>
      </c>
      <c r="AX163" s="1">
        <f t="shared" ref="AX163:CC163" si="16">AW163+$D225</f>
        <v>6.0937500000000058E-6</v>
      </c>
      <c r="AY163" s="1">
        <f t="shared" si="16"/>
        <v>6.2500000000000062E-6</v>
      </c>
      <c r="AZ163" s="1">
        <f t="shared" si="16"/>
        <v>6.4062500000000066E-6</v>
      </c>
      <c r="BA163" s="1">
        <f t="shared" si="16"/>
        <v>6.562500000000007E-6</v>
      </c>
      <c r="BB163" s="1">
        <f t="shared" si="16"/>
        <v>6.7187500000000075E-6</v>
      </c>
      <c r="BC163" s="1">
        <f t="shared" si="16"/>
        <v>6.8750000000000079E-6</v>
      </c>
      <c r="BD163" s="1">
        <f t="shared" si="16"/>
        <v>7.0312500000000083E-6</v>
      </c>
      <c r="BE163" s="1">
        <f t="shared" si="16"/>
        <v>7.1875000000000087E-6</v>
      </c>
      <c r="BF163" s="1">
        <f t="shared" si="16"/>
        <v>7.3437500000000091E-6</v>
      </c>
      <c r="BG163" s="1">
        <f t="shared" si="16"/>
        <v>7.5000000000000095E-6</v>
      </c>
      <c r="BH163" s="1">
        <f t="shared" si="16"/>
        <v>7.6562500000000099E-6</v>
      </c>
      <c r="BI163" s="1">
        <f t="shared" si="16"/>
        <v>7.8125000000000103E-6</v>
      </c>
      <c r="BJ163" s="1">
        <f t="shared" si="16"/>
        <v>7.9687500000000107E-6</v>
      </c>
      <c r="BK163" s="1">
        <f t="shared" si="16"/>
        <v>8.1250000000000111E-6</v>
      </c>
      <c r="BL163" s="1">
        <f t="shared" si="16"/>
        <v>8.2812500000000116E-6</v>
      </c>
      <c r="BM163" s="1">
        <f t="shared" si="16"/>
        <v>8.437500000000012E-6</v>
      </c>
      <c r="BN163" s="1">
        <f t="shared" si="16"/>
        <v>8.5937500000000124E-6</v>
      </c>
      <c r="BO163" s="1">
        <f t="shared" si="16"/>
        <v>8.7500000000000128E-6</v>
      </c>
      <c r="BP163" s="1">
        <f t="shared" si="16"/>
        <v>8.9062500000000132E-6</v>
      </c>
      <c r="BQ163" s="1">
        <f t="shared" si="16"/>
        <v>9.0625000000000136E-6</v>
      </c>
      <c r="BR163" s="1">
        <f t="shared" si="16"/>
        <v>9.218750000000014E-6</v>
      </c>
      <c r="BS163" s="1">
        <f t="shared" si="16"/>
        <v>9.3750000000000144E-6</v>
      </c>
      <c r="BT163" s="1">
        <f t="shared" si="16"/>
        <v>9.5312500000000148E-6</v>
      </c>
      <c r="BU163" s="1">
        <f t="shared" si="16"/>
        <v>9.6875000000000152E-6</v>
      </c>
      <c r="BV163" s="1">
        <f t="shared" si="16"/>
        <v>9.8437500000000157E-6</v>
      </c>
      <c r="BW163" s="1">
        <f t="shared" si="16"/>
        <v>1.0000000000000016E-5</v>
      </c>
      <c r="BX163" s="1">
        <f t="shared" si="16"/>
        <v>1.0156250000000016E-5</v>
      </c>
      <c r="BY163" s="1">
        <f t="shared" si="16"/>
        <v>1.0312500000000017E-5</v>
      </c>
      <c r="BZ163" s="1">
        <f t="shared" si="16"/>
        <v>1.0468750000000017E-5</v>
      </c>
      <c r="CA163" s="1">
        <f t="shared" si="16"/>
        <v>1.0625000000000018E-5</v>
      </c>
      <c r="CB163" s="1">
        <f t="shared" si="16"/>
        <v>1.0781250000000018E-5</v>
      </c>
      <c r="CC163" s="1">
        <f t="shared" si="16"/>
        <v>1.0937500000000019E-5</v>
      </c>
      <c r="CD163" s="1">
        <f t="shared" ref="CD163:DI163" si="17">CC163+$D225</f>
        <v>1.1093750000000019E-5</v>
      </c>
      <c r="CE163" s="1">
        <f t="shared" si="17"/>
        <v>1.1250000000000019E-5</v>
      </c>
      <c r="CF163" s="1">
        <f t="shared" si="17"/>
        <v>1.140625000000002E-5</v>
      </c>
      <c r="CG163" s="1">
        <f t="shared" si="17"/>
        <v>1.156250000000002E-5</v>
      </c>
      <c r="CH163" s="1">
        <f t="shared" si="17"/>
        <v>1.1718750000000021E-5</v>
      </c>
      <c r="CI163" s="1">
        <f t="shared" si="17"/>
        <v>1.1875000000000021E-5</v>
      </c>
      <c r="CJ163" s="1">
        <f t="shared" si="17"/>
        <v>1.2031250000000021E-5</v>
      </c>
      <c r="CK163" s="1">
        <f t="shared" si="17"/>
        <v>1.2187500000000022E-5</v>
      </c>
      <c r="CL163" s="1">
        <f t="shared" si="17"/>
        <v>1.2343750000000022E-5</v>
      </c>
      <c r="CM163" s="1">
        <f t="shared" si="17"/>
        <v>1.2500000000000023E-5</v>
      </c>
      <c r="CN163" s="1">
        <f t="shared" si="17"/>
        <v>1.2656250000000023E-5</v>
      </c>
      <c r="CO163" s="1">
        <f t="shared" si="17"/>
        <v>1.2812500000000023E-5</v>
      </c>
      <c r="CP163" s="1">
        <f t="shared" si="17"/>
        <v>1.2968750000000024E-5</v>
      </c>
      <c r="CQ163" s="1">
        <f t="shared" si="17"/>
        <v>1.3125000000000024E-5</v>
      </c>
      <c r="CR163" s="1">
        <f t="shared" si="17"/>
        <v>1.3281250000000025E-5</v>
      </c>
      <c r="CS163" s="1">
        <f t="shared" si="17"/>
        <v>1.3437500000000025E-5</v>
      </c>
      <c r="CT163" s="1">
        <f t="shared" si="17"/>
        <v>1.3593750000000025E-5</v>
      </c>
      <c r="CU163" s="1">
        <f t="shared" si="17"/>
        <v>1.3750000000000026E-5</v>
      </c>
      <c r="CV163" s="1">
        <f t="shared" si="17"/>
        <v>1.3906250000000026E-5</v>
      </c>
      <c r="CW163" s="1">
        <f t="shared" si="17"/>
        <v>1.4062500000000027E-5</v>
      </c>
      <c r="CX163" s="1">
        <f t="shared" si="17"/>
        <v>1.4218750000000027E-5</v>
      </c>
      <c r="CY163" s="1">
        <f t="shared" si="17"/>
        <v>1.4375000000000028E-5</v>
      </c>
      <c r="CZ163" s="1">
        <f t="shared" si="17"/>
        <v>1.4531250000000028E-5</v>
      </c>
      <c r="DA163" s="1">
        <f t="shared" si="17"/>
        <v>1.4687500000000028E-5</v>
      </c>
      <c r="DB163" s="1">
        <f t="shared" si="17"/>
        <v>1.4843750000000029E-5</v>
      </c>
      <c r="DC163" s="1">
        <f t="shared" si="17"/>
        <v>1.5000000000000029E-5</v>
      </c>
      <c r="DD163" s="1">
        <f t="shared" si="17"/>
        <v>1.515625000000003E-5</v>
      </c>
      <c r="DE163" s="1">
        <f t="shared" si="17"/>
        <v>1.531250000000003E-5</v>
      </c>
      <c r="DF163" s="1">
        <f t="shared" si="17"/>
        <v>1.546875000000003E-5</v>
      </c>
      <c r="DG163" s="1">
        <f t="shared" si="17"/>
        <v>1.5625000000000031E-5</v>
      </c>
      <c r="DH163" s="1">
        <f t="shared" si="17"/>
        <v>1.5781250000000031E-5</v>
      </c>
      <c r="DI163" s="1">
        <f t="shared" si="17"/>
        <v>1.5937500000000032E-5</v>
      </c>
      <c r="DJ163" s="1">
        <f t="shared" ref="DJ163:EO163" si="18">DI163+$D225</f>
        <v>1.6093750000000032E-5</v>
      </c>
      <c r="DK163" s="1">
        <f t="shared" si="18"/>
        <v>1.6250000000000032E-5</v>
      </c>
      <c r="DL163" s="1">
        <f t="shared" si="18"/>
        <v>1.6406250000000033E-5</v>
      </c>
      <c r="DM163" s="1">
        <f t="shared" si="18"/>
        <v>1.6562500000000033E-5</v>
      </c>
      <c r="DN163" s="1">
        <f t="shared" si="18"/>
        <v>1.6718750000000034E-5</v>
      </c>
      <c r="DO163" s="1">
        <f t="shared" si="18"/>
        <v>1.6875000000000034E-5</v>
      </c>
      <c r="DP163" s="1">
        <f t="shared" si="18"/>
        <v>1.7031250000000035E-5</v>
      </c>
      <c r="DQ163" s="1">
        <f t="shared" si="18"/>
        <v>1.7187500000000035E-5</v>
      </c>
      <c r="DR163" s="1">
        <f t="shared" si="18"/>
        <v>1.7343750000000035E-5</v>
      </c>
      <c r="DS163" s="1">
        <f t="shared" si="18"/>
        <v>1.7500000000000036E-5</v>
      </c>
      <c r="DT163" s="1">
        <f t="shared" si="18"/>
        <v>1.7656250000000036E-5</v>
      </c>
      <c r="DU163" s="1">
        <f t="shared" si="18"/>
        <v>1.7812500000000037E-5</v>
      </c>
      <c r="DV163" s="1">
        <f t="shared" si="18"/>
        <v>1.7968750000000037E-5</v>
      </c>
      <c r="DW163" s="1">
        <f t="shared" si="18"/>
        <v>1.8125000000000037E-5</v>
      </c>
      <c r="DX163" s="1">
        <f t="shared" si="18"/>
        <v>1.8281250000000038E-5</v>
      </c>
      <c r="DY163" s="1">
        <f t="shared" si="18"/>
        <v>1.8437500000000038E-5</v>
      </c>
      <c r="DZ163" s="1">
        <f t="shared" si="18"/>
        <v>1.8593750000000039E-5</v>
      </c>
      <c r="EA163" s="1">
        <f t="shared" si="18"/>
        <v>1.8750000000000039E-5</v>
      </c>
      <c r="EB163" s="1">
        <f t="shared" si="18"/>
        <v>1.8906250000000039E-5</v>
      </c>
      <c r="EC163" s="1">
        <f t="shared" si="18"/>
        <v>1.906250000000004E-5</v>
      </c>
      <c r="ED163" s="1">
        <f t="shared" si="18"/>
        <v>1.921875000000004E-5</v>
      </c>
      <c r="EE163" s="1">
        <f t="shared" si="18"/>
        <v>1.9375000000000041E-5</v>
      </c>
      <c r="EF163" s="1">
        <f t="shared" si="18"/>
        <v>1.9531250000000041E-5</v>
      </c>
      <c r="EG163" s="1">
        <f t="shared" si="18"/>
        <v>1.9687500000000041E-5</v>
      </c>
      <c r="EH163" s="1">
        <f t="shared" si="18"/>
        <v>1.9843750000000042E-5</v>
      </c>
      <c r="EI163" s="1">
        <f t="shared" si="18"/>
        <v>2.0000000000000042E-5</v>
      </c>
      <c r="EJ163" s="1">
        <f t="shared" si="18"/>
        <v>2.0156250000000043E-5</v>
      </c>
      <c r="EK163" s="1">
        <f t="shared" si="18"/>
        <v>2.0312500000000043E-5</v>
      </c>
      <c r="EL163" s="1">
        <f t="shared" si="18"/>
        <v>2.0468750000000044E-5</v>
      </c>
      <c r="EM163" s="1">
        <f t="shared" si="18"/>
        <v>2.0625000000000044E-5</v>
      </c>
      <c r="EN163" s="1">
        <f t="shared" si="18"/>
        <v>2.0781250000000044E-5</v>
      </c>
      <c r="EO163" s="1">
        <f t="shared" si="18"/>
        <v>2.0937500000000045E-5</v>
      </c>
      <c r="EP163" s="1">
        <f t="shared" ref="EP163:FU163" si="19">EO163+$D225</f>
        <v>2.1093750000000045E-5</v>
      </c>
      <c r="EQ163" s="1">
        <f t="shared" si="19"/>
        <v>2.1250000000000046E-5</v>
      </c>
      <c r="ER163" s="1">
        <f t="shared" si="19"/>
        <v>2.1406250000000046E-5</v>
      </c>
      <c r="ES163" s="1">
        <f t="shared" si="19"/>
        <v>2.1562500000000046E-5</v>
      </c>
      <c r="ET163" s="1">
        <f t="shared" si="19"/>
        <v>2.1718750000000047E-5</v>
      </c>
      <c r="EU163" s="1">
        <f t="shared" si="19"/>
        <v>2.1875000000000047E-5</v>
      </c>
      <c r="EV163" s="1">
        <f t="shared" si="19"/>
        <v>2.2031250000000048E-5</v>
      </c>
      <c r="EW163" s="1">
        <f t="shared" si="19"/>
        <v>2.2187500000000048E-5</v>
      </c>
      <c r="EX163" s="1">
        <f t="shared" si="19"/>
        <v>2.2343750000000048E-5</v>
      </c>
      <c r="EY163" s="1">
        <f t="shared" si="19"/>
        <v>2.2500000000000049E-5</v>
      </c>
      <c r="EZ163" s="1">
        <f t="shared" si="19"/>
        <v>2.2656250000000049E-5</v>
      </c>
      <c r="FA163" s="1">
        <f t="shared" si="19"/>
        <v>2.281250000000005E-5</v>
      </c>
      <c r="FB163" s="1">
        <f t="shared" si="19"/>
        <v>2.296875000000005E-5</v>
      </c>
      <c r="FC163" s="1">
        <f t="shared" si="19"/>
        <v>2.312500000000005E-5</v>
      </c>
      <c r="FD163" s="1">
        <f t="shared" si="19"/>
        <v>2.3281250000000051E-5</v>
      </c>
      <c r="FE163" s="1">
        <f t="shared" si="19"/>
        <v>2.3437500000000051E-5</v>
      </c>
      <c r="FF163" s="1">
        <f t="shared" si="19"/>
        <v>2.3593750000000052E-5</v>
      </c>
      <c r="FG163" s="1">
        <f t="shared" si="19"/>
        <v>2.3750000000000052E-5</v>
      </c>
      <c r="FH163" s="1">
        <f t="shared" si="19"/>
        <v>2.3906250000000053E-5</v>
      </c>
      <c r="FI163" s="1">
        <f t="shared" si="19"/>
        <v>2.4062500000000053E-5</v>
      </c>
      <c r="FJ163" s="1">
        <f t="shared" si="19"/>
        <v>2.4218750000000053E-5</v>
      </c>
      <c r="FK163" s="1">
        <f t="shared" si="19"/>
        <v>2.4375000000000054E-5</v>
      </c>
      <c r="FL163" s="1">
        <f t="shared" si="19"/>
        <v>2.4531250000000054E-5</v>
      </c>
      <c r="FM163" s="1">
        <f t="shared" si="19"/>
        <v>2.4687500000000055E-5</v>
      </c>
      <c r="FN163" s="1">
        <f t="shared" si="19"/>
        <v>2.4843750000000055E-5</v>
      </c>
      <c r="FO163" s="1">
        <f t="shared" si="19"/>
        <v>2.5000000000000055E-5</v>
      </c>
      <c r="FP163" s="1">
        <f t="shared" si="19"/>
        <v>2.5156250000000056E-5</v>
      </c>
      <c r="FQ163" s="1">
        <f t="shared" si="19"/>
        <v>2.5312500000000056E-5</v>
      </c>
      <c r="FR163" s="1">
        <f t="shared" si="19"/>
        <v>2.5468750000000057E-5</v>
      </c>
      <c r="FS163" s="1">
        <f t="shared" si="19"/>
        <v>2.5625000000000057E-5</v>
      </c>
      <c r="FT163" s="1">
        <f t="shared" si="19"/>
        <v>2.5781250000000057E-5</v>
      </c>
      <c r="FU163" s="1">
        <f t="shared" si="19"/>
        <v>2.5937500000000058E-5</v>
      </c>
      <c r="FV163" s="1">
        <f t="shared" ref="FV163:GQ163" si="20">FU163+$D225</f>
        <v>2.6093750000000058E-5</v>
      </c>
      <c r="FW163" s="1">
        <f t="shared" si="20"/>
        <v>2.6250000000000059E-5</v>
      </c>
      <c r="FX163" s="1">
        <f t="shared" si="20"/>
        <v>2.6406250000000059E-5</v>
      </c>
      <c r="FY163" s="1">
        <f t="shared" si="20"/>
        <v>2.656250000000006E-5</v>
      </c>
      <c r="FZ163" s="1">
        <f t="shared" si="20"/>
        <v>2.671875000000006E-5</v>
      </c>
      <c r="GA163" s="1">
        <f t="shared" si="20"/>
        <v>2.687500000000006E-5</v>
      </c>
      <c r="GB163" s="1">
        <f t="shared" si="20"/>
        <v>2.7031250000000061E-5</v>
      </c>
      <c r="GC163" s="1">
        <f t="shared" si="20"/>
        <v>2.7187500000000061E-5</v>
      </c>
      <c r="GD163" s="1">
        <f t="shared" si="20"/>
        <v>2.7343750000000062E-5</v>
      </c>
      <c r="GE163" s="1">
        <f t="shared" si="20"/>
        <v>2.7500000000000062E-5</v>
      </c>
      <c r="GF163" s="1">
        <f t="shared" si="20"/>
        <v>2.7656250000000062E-5</v>
      </c>
      <c r="GG163" s="1">
        <f t="shared" si="20"/>
        <v>2.7812500000000063E-5</v>
      </c>
      <c r="GH163" s="1">
        <f t="shared" si="20"/>
        <v>2.7968750000000063E-5</v>
      </c>
      <c r="GI163" s="1">
        <f t="shared" si="20"/>
        <v>2.8125000000000064E-5</v>
      </c>
      <c r="GJ163" s="1">
        <f t="shared" si="20"/>
        <v>2.8281250000000064E-5</v>
      </c>
      <c r="GK163" s="1">
        <f t="shared" si="20"/>
        <v>2.8437500000000064E-5</v>
      </c>
      <c r="GL163" s="1">
        <f t="shared" si="20"/>
        <v>2.8593750000000065E-5</v>
      </c>
      <c r="GM163" s="1">
        <f t="shared" si="20"/>
        <v>2.8750000000000065E-5</v>
      </c>
      <c r="GN163" s="1">
        <f t="shared" si="20"/>
        <v>2.8906250000000066E-5</v>
      </c>
      <c r="GO163" s="1">
        <f t="shared" si="20"/>
        <v>2.9062500000000066E-5</v>
      </c>
      <c r="GP163" s="1">
        <f t="shared" si="20"/>
        <v>2.9218750000000066E-5</v>
      </c>
      <c r="GQ163" s="1">
        <f t="shared" si="20"/>
        <v>2.9375000000000067E-5</v>
      </c>
    </row>
    <row r="164" spans="1:199" x14ac:dyDescent="0.25">
      <c r="A164" s="65"/>
      <c r="C164" t="s">
        <v>165</v>
      </c>
      <c r="D164" s="34">
        <v>74</v>
      </c>
      <c r="E164" t="s">
        <v>120</v>
      </c>
      <c r="Q164">
        <f t="shared" ref="Q164:AV164" si="21">$F227</f>
        <v>44.1</v>
      </c>
      <c r="R164">
        <f t="shared" si="21"/>
        <v>44.1</v>
      </c>
      <c r="S164">
        <f t="shared" si="21"/>
        <v>44.1</v>
      </c>
      <c r="T164">
        <f t="shared" si="21"/>
        <v>44.1</v>
      </c>
      <c r="U164">
        <f t="shared" si="21"/>
        <v>44.1</v>
      </c>
      <c r="V164">
        <f t="shared" si="21"/>
        <v>44.1</v>
      </c>
      <c r="W164">
        <f t="shared" si="21"/>
        <v>44.1</v>
      </c>
      <c r="X164">
        <f t="shared" si="21"/>
        <v>44.1</v>
      </c>
      <c r="Y164">
        <f t="shared" si="21"/>
        <v>44.1</v>
      </c>
      <c r="Z164">
        <f t="shared" si="21"/>
        <v>44.1</v>
      </c>
      <c r="AA164">
        <f t="shared" si="21"/>
        <v>44.1</v>
      </c>
      <c r="AB164">
        <f t="shared" si="21"/>
        <v>44.1</v>
      </c>
      <c r="AC164">
        <f t="shared" si="21"/>
        <v>44.1</v>
      </c>
      <c r="AD164">
        <f t="shared" si="21"/>
        <v>44.1</v>
      </c>
      <c r="AE164">
        <f t="shared" si="21"/>
        <v>44.1</v>
      </c>
      <c r="AF164">
        <f t="shared" si="21"/>
        <v>44.1</v>
      </c>
      <c r="AG164">
        <f t="shared" si="21"/>
        <v>44.1</v>
      </c>
      <c r="AH164">
        <f t="shared" si="21"/>
        <v>44.1</v>
      </c>
      <c r="AI164">
        <f t="shared" si="21"/>
        <v>44.1</v>
      </c>
      <c r="AJ164">
        <f t="shared" si="21"/>
        <v>44.1</v>
      </c>
      <c r="AK164">
        <f t="shared" si="21"/>
        <v>44.1</v>
      </c>
      <c r="AL164">
        <f t="shared" si="21"/>
        <v>44.1</v>
      </c>
      <c r="AM164">
        <f t="shared" si="21"/>
        <v>44.1</v>
      </c>
      <c r="AN164">
        <f t="shared" si="21"/>
        <v>44.1</v>
      </c>
      <c r="AO164">
        <f t="shared" si="21"/>
        <v>44.1</v>
      </c>
      <c r="AP164">
        <f t="shared" si="21"/>
        <v>44.1</v>
      </c>
      <c r="AQ164">
        <f t="shared" si="21"/>
        <v>44.1</v>
      </c>
      <c r="AR164">
        <f t="shared" si="21"/>
        <v>44.1</v>
      </c>
      <c r="AS164">
        <f t="shared" si="21"/>
        <v>44.1</v>
      </c>
      <c r="AT164">
        <f t="shared" si="21"/>
        <v>44.1</v>
      </c>
      <c r="AU164">
        <f t="shared" si="21"/>
        <v>44.1</v>
      </c>
      <c r="AV164">
        <f t="shared" si="21"/>
        <v>44.1</v>
      </c>
      <c r="AW164">
        <f t="shared" ref="AW164:CB164" si="22">$F227</f>
        <v>44.1</v>
      </c>
      <c r="AX164">
        <f t="shared" si="22"/>
        <v>44.1</v>
      </c>
      <c r="AY164">
        <f t="shared" si="22"/>
        <v>44.1</v>
      </c>
      <c r="AZ164">
        <f t="shared" si="22"/>
        <v>44.1</v>
      </c>
      <c r="BA164">
        <f t="shared" si="22"/>
        <v>44.1</v>
      </c>
      <c r="BB164">
        <f t="shared" si="22"/>
        <v>44.1</v>
      </c>
      <c r="BC164">
        <f t="shared" si="22"/>
        <v>44.1</v>
      </c>
      <c r="BD164">
        <f t="shared" si="22"/>
        <v>44.1</v>
      </c>
      <c r="BE164">
        <f t="shared" si="22"/>
        <v>44.1</v>
      </c>
      <c r="BF164">
        <f t="shared" si="22"/>
        <v>44.1</v>
      </c>
      <c r="BG164">
        <f t="shared" si="22"/>
        <v>44.1</v>
      </c>
      <c r="BH164">
        <f t="shared" si="22"/>
        <v>44.1</v>
      </c>
      <c r="BI164">
        <f t="shared" si="22"/>
        <v>44.1</v>
      </c>
      <c r="BJ164">
        <f t="shared" si="22"/>
        <v>44.1</v>
      </c>
      <c r="BK164">
        <f t="shared" si="22"/>
        <v>44.1</v>
      </c>
      <c r="BL164">
        <f t="shared" si="22"/>
        <v>44.1</v>
      </c>
      <c r="BM164">
        <f t="shared" si="22"/>
        <v>44.1</v>
      </c>
      <c r="BN164">
        <f t="shared" si="22"/>
        <v>44.1</v>
      </c>
      <c r="BO164">
        <f t="shared" si="22"/>
        <v>44.1</v>
      </c>
      <c r="BP164">
        <f t="shared" si="22"/>
        <v>44.1</v>
      </c>
      <c r="BQ164">
        <f t="shared" si="22"/>
        <v>44.1</v>
      </c>
      <c r="BR164">
        <f t="shared" si="22"/>
        <v>44.1</v>
      </c>
      <c r="BS164">
        <f t="shared" si="22"/>
        <v>44.1</v>
      </c>
      <c r="BT164">
        <f t="shared" si="22"/>
        <v>44.1</v>
      </c>
      <c r="BU164">
        <f t="shared" si="22"/>
        <v>44.1</v>
      </c>
      <c r="BV164">
        <f t="shared" si="22"/>
        <v>44.1</v>
      </c>
      <c r="BW164">
        <f t="shared" si="22"/>
        <v>44.1</v>
      </c>
      <c r="BX164">
        <f t="shared" si="22"/>
        <v>44.1</v>
      </c>
      <c r="BY164">
        <f t="shared" si="22"/>
        <v>44.1</v>
      </c>
      <c r="BZ164">
        <f t="shared" si="22"/>
        <v>44.1</v>
      </c>
      <c r="CA164">
        <f t="shared" si="22"/>
        <v>44.1</v>
      </c>
      <c r="CB164">
        <f t="shared" si="22"/>
        <v>44.1</v>
      </c>
      <c r="CC164">
        <f t="shared" ref="CC164:DG164" si="23">$F227</f>
        <v>44.1</v>
      </c>
      <c r="CD164">
        <f t="shared" si="23"/>
        <v>44.1</v>
      </c>
      <c r="CE164">
        <f t="shared" si="23"/>
        <v>44.1</v>
      </c>
      <c r="CF164">
        <f t="shared" si="23"/>
        <v>44.1</v>
      </c>
      <c r="CG164">
        <f t="shared" si="23"/>
        <v>44.1</v>
      </c>
      <c r="CH164">
        <f t="shared" si="23"/>
        <v>44.1</v>
      </c>
      <c r="CI164">
        <f t="shared" si="23"/>
        <v>44.1</v>
      </c>
      <c r="CJ164">
        <f t="shared" si="23"/>
        <v>44.1</v>
      </c>
      <c r="CK164">
        <f t="shared" si="23"/>
        <v>44.1</v>
      </c>
      <c r="CL164">
        <f t="shared" si="23"/>
        <v>44.1</v>
      </c>
      <c r="CM164">
        <f t="shared" si="23"/>
        <v>44.1</v>
      </c>
      <c r="CN164">
        <f t="shared" si="23"/>
        <v>44.1</v>
      </c>
      <c r="CO164">
        <f t="shared" si="23"/>
        <v>44.1</v>
      </c>
      <c r="CP164">
        <f t="shared" si="23"/>
        <v>44.1</v>
      </c>
      <c r="CQ164">
        <f t="shared" si="23"/>
        <v>44.1</v>
      </c>
      <c r="CR164">
        <f t="shared" si="23"/>
        <v>44.1</v>
      </c>
      <c r="CS164">
        <f t="shared" si="23"/>
        <v>44.1</v>
      </c>
      <c r="CT164">
        <f t="shared" si="23"/>
        <v>44.1</v>
      </c>
      <c r="CU164">
        <f t="shared" si="23"/>
        <v>44.1</v>
      </c>
      <c r="CV164">
        <f t="shared" si="23"/>
        <v>44.1</v>
      </c>
      <c r="CW164">
        <f t="shared" si="23"/>
        <v>44.1</v>
      </c>
      <c r="CX164">
        <f t="shared" si="23"/>
        <v>44.1</v>
      </c>
      <c r="CY164">
        <f t="shared" si="23"/>
        <v>44.1</v>
      </c>
      <c r="CZ164">
        <f t="shared" si="23"/>
        <v>44.1</v>
      </c>
      <c r="DA164">
        <f t="shared" si="23"/>
        <v>44.1</v>
      </c>
      <c r="DB164">
        <f t="shared" si="23"/>
        <v>44.1</v>
      </c>
      <c r="DC164">
        <f t="shared" si="23"/>
        <v>44.1</v>
      </c>
      <c r="DD164">
        <f t="shared" si="23"/>
        <v>44.1</v>
      </c>
      <c r="DE164">
        <f t="shared" si="23"/>
        <v>44.1</v>
      </c>
      <c r="DF164">
        <f t="shared" si="23"/>
        <v>44.1</v>
      </c>
      <c r="DG164">
        <f t="shared" si="23"/>
        <v>44.1</v>
      </c>
      <c r="DH164">
        <v>0</v>
      </c>
      <c r="DI164">
        <f>DH164</f>
        <v>0</v>
      </c>
      <c r="DJ164">
        <f t="shared" ref="DJ164:FU164" si="24">DI164</f>
        <v>0</v>
      </c>
      <c r="DK164">
        <f t="shared" si="24"/>
        <v>0</v>
      </c>
      <c r="DL164">
        <f t="shared" si="24"/>
        <v>0</v>
      </c>
      <c r="DM164">
        <f t="shared" si="24"/>
        <v>0</v>
      </c>
      <c r="DN164">
        <f t="shared" si="24"/>
        <v>0</v>
      </c>
      <c r="DO164">
        <f t="shared" si="24"/>
        <v>0</v>
      </c>
      <c r="DP164">
        <f t="shared" si="24"/>
        <v>0</v>
      </c>
      <c r="DQ164">
        <f t="shared" si="24"/>
        <v>0</v>
      </c>
      <c r="DR164">
        <f t="shared" si="24"/>
        <v>0</v>
      </c>
      <c r="DS164">
        <f t="shared" si="24"/>
        <v>0</v>
      </c>
      <c r="DT164">
        <f t="shared" si="24"/>
        <v>0</v>
      </c>
      <c r="DU164">
        <f t="shared" si="24"/>
        <v>0</v>
      </c>
      <c r="DV164">
        <f t="shared" si="24"/>
        <v>0</v>
      </c>
      <c r="DW164">
        <f t="shared" si="24"/>
        <v>0</v>
      </c>
      <c r="DX164">
        <f t="shared" si="24"/>
        <v>0</v>
      </c>
      <c r="DY164">
        <f t="shared" si="24"/>
        <v>0</v>
      </c>
      <c r="DZ164">
        <f t="shared" si="24"/>
        <v>0</v>
      </c>
      <c r="EA164">
        <f t="shared" si="24"/>
        <v>0</v>
      </c>
      <c r="EB164">
        <f t="shared" si="24"/>
        <v>0</v>
      </c>
      <c r="EC164">
        <f t="shared" si="24"/>
        <v>0</v>
      </c>
      <c r="ED164">
        <f t="shared" si="24"/>
        <v>0</v>
      </c>
      <c r="EE164">
        <f t="shared" si="24"/>
        <v>0</v>
      </c>
      <c r="EF164">
        <f t="shared" si="24"/>
        <v>0</v>
      </c>
      <c r="EG164">
        <f t="shared" si="24"/>
        <v>0</v>
      </c>
      <c r="EH164">
        <f t="shared" si="24"/>
        <v>0</v>
      </c>
      <c r="EI164">
        <f t="shared" si="24"/>
        <v>0</v>
      </c>
      <c r="EJ164">
        <f t="shared" si="24"/>
        <v>0</v>
      </c>
      <c r="EK164">
        <f t="shared" si="24"/>
        <v>0</v>
      </c>
      <c r="EL164">
        <f t="shared" si="24"/>
        <v>0</v>
      </c>
      <c r="EM164">
        <f t="shared" si="24"/>
        <v>0</v>
      </c>
      <c r="EN164">
        <f t="shared" si="24"/>
        <v>0</v>
      </c>
      <c r="EO164">
        <f t="shared" si="24"/>
        <v>0</v>
      </c>
      <c r="EP164">
        <f t="shared" si="24"/>
        <v>0</v>
      </c>
      <c r="EQ164">
        <f t="shared" si="24"/>
        <v>0</v>
      </c>
      <c r="ER164">
        <f t="shared" si="24"/>
        <v>0</v>
      </c>
      <c r="ES164">
        <f t="shared" si="24"/>
        <v>0</v>
      </c>
      <c r="ET164">
        <f t="shared" si="24"/>
        <v>0</v>
      </c>
      <c r="EU164">
        <f t="shared" si="24"/>
        <v>0</v>
      </c>
      <c r="EV164">
        <f t="shared" si="24"/>
        <v>0</v>
      </c>
      <c r="EW164">
        <f t="shared" si="24"/>
        <v>0</v>
      </c>
      <c r="EX164">
        <f t="shared" si="24"/>
        <v>0</v>
      </c>
      <c r="EY164">
        <f t="shared" si="24"/>
        <v>0</v>
      </c>
      <c r="EZ164">
        <f t="shared" si="24"/>
        <v>0</v>
      </c>
      <c r="FA164">
        <f t="shared" si="24"/>
        <v>0</v>
      </c>
      <c r="FB164">
        <f t="shared" si="24"/>
        <v>0</v>
      </c>
      <c r="FC164">
        <f t="shared" si="24"/>
        <v>0</v>
      </c>
      <c r="FD164">
        <f t="shared" si="24"/>
        <v>0</v>
      </c>
      <c r="FE164">
        <f t="shared" si="24"/>
        <v>0</v>
      </c>
      <c r="FF164">
        <f t="shared" si="24"/>
        <v>0</v>
      </c>
      <c r="FG164">
        <f t="shared" si="24"/>
        <v>0</v>
      </c>
      <c r="FH164">
        <f t="shared" si="24"/>
        <v>0</v>
      </c>
      <c r="FI164">
        <f t="shared" si="24"/>
        <v>0</v>
      </c>
      <c r="FJ164">
        <f t="shared" si="24"/>
        <v>0</v>
      </c>
      <c r="FK164">
        <f t="shared" si="24"/>
        <v>0</v>
      </c>
      <c r="FL164">
        <f t="shared" si="24"/>
        <v>0</v>
      </c>
      <c r="FM164">
        <f t="shared" si="24"/>
        <v>0</v>
      </c>
      <c r="FN164">
        <f t="shared" si="24"/>
        <v>0</v>
      </c>
      <c r="FO164">
        <f t="shared" si="24"/>
        <v>0</v>
      </c>
      <c r="FP164">
        <f t="shared" si="24"/>
        <v>0</v>
      </c>
      <c r="FQ164">
        <f t="shared" si="24"/>
        <v>0</v>
      </c>
      <c r="FR164">
        <f t="shared" si="24"/>
        <v>0</v>
      </c>
      <c r="FS164">
        <f t="shared" si="24"/>
        <v>0</v>
      </c>
      <c r="FT164">
        <f t="shared" si="24"/>
        <v>0</v>
      </c>
      <c r="FU164">
        <f t="shared" si="24"/>
        <v>0</v>
      </c>
      <c r="FV164">
        <f t="shared" ref="FV164:GQ164" si="25">FU164</f>
        <v>0</v>
      </c>
      <c r="FW164">
        <f t="shared" si="25"/>
        <v>0</v>
      </c>
      <c r="FX164">
        <f t="shared" si="25"/>
        <v>0</v>
      </c>
      <c r="FY164">
        <f t="shared" si="25"/>
        <v>0</v>
      </c>
      <c r="FZ164">
        <f t="shared" si="25"/>
        <v>0</v>
      </c>
      <c r="GA164">
        <f t="shared" si="25"/>
        <v>0</v>
      </c>
      <c r="GB164">
        <f t="shared" si="25"/>
        <v>0</v>
      </c>
      <c r="GC164">
        <f t="shared" si="25"/>
        <v>0</v>
      </c>
      <c r="GD164">
        <f t="shared" si="25"/>
        <v>0</v>
      </c>
      <c r="GE164">
        <f t="shared" si="25"/>
        <v>0</v>
      </c>
      <c r="GF164">
        <f t="shared" si="25"/>
        <v>0</v>
      </c>
      <c r="GG164">
        <f t="shared" si="25"/>
        <v>0</v>
      </c>
      <c r="GH164">
        <f t="shared" si="25"/>
        <v>0</v>
      </c>
      <c r="GI164">
        <f t="shared" si="25"/>
        <v>0</v>
      </c>
      <c r="GJ164">
        <f t="shared" si="25"/>
        <v>0</v>
      </c>
      <c r="GK164">
        <f t="shared" si="25"/>
        <v>0</v>
      </c>
      <c r="GL164">
        <f t="shared" si="25"/>
        <v>0</v>
      </c>
      <c r="GM164">
        <f t="shared" si="25"/>
        <v>0</v>
      </c>
      <c r="GN164">
        <f t="shared" si="25"/>
        <v>0</v>
      </c>
      <c r="GO164">
        <f t="shared" si="25"/>
        <v>0</v>
      </c>
      <c r="GP164">
        <f t="shared" si="25"/>
        <v>0</v>
      </c>
      <c r="GQ164">
        <f t="shared" si="25"/>
        <v>0</v>
      </c>
    </row>
    <row r="165" spans="1:199" x14ac:dyDescent="0.25">
      <c r="A165" s="65"/>
      <c r="C165" t="s">
        <v>164</v>
      </c>
      <c r="D165" s="34">
        <v>4</v>
      </c>
      <c r="Q165">
        <f>K228 + $D225 * ((K227 - ($D219 + $D223)*K228 + $D223*K229 - K230) /$D217)</f>
        <v>6.0703900792534604</v>
      </c>
      <c r="R165">
        <f t="shared" ref="R165:AW165" si="26">Q165 + $D225 * ((Q164 - ($D219 + $D223)*Q165 + $D223*Q166 - Q167) /$D217)</f>
        <v>7.0355417123964425</v>
      </c>
      <c r="S165">
        <f t="shared" si="26"/>
        <v>7.9869053399147383</v>
      </c>
      <c r="T165">
        <f t="shared" si="26"/>
        <v>8.9243191142250655</v>
      </c>
      <c r="U165">
        <f t="shared" si="26"/>
        <v>9.8476290945118805</v>
      </c>
      <c r="V165">
        <f t="shared" si="26"/>
        <v>10.756689209189249</v>
      </c>
      <c r="W165">
        <f t="shared" si="26"/>
        <v>11.651361215553449</v>
      </c>
      <c r="X165">
        <f t="shared" si="26"/>
        <v>12.531514656679443</v>
      </c>
      <c r="Y165">
        <f t="shared" si="26"/>
        <v>13.397026815614788</v>
      </c>
      <c r="Z165">
        <f t="shared" si="26"/>
        <v>14.247782666925003</v>
      </c>
      <c r="AA165">
        <f t="shared" si="26"/>
        <v>15.083674825644843</v>
      </c>
      <c r="AB165">
        <f t="shared" si="26"/>
        <v>15.904603493690297</v>
      </c>
      <c r="AC165">
        <f t="shared" si="26"/>
        <v>16.710476403786476</v>
      </c>
      <c r="AD165">
        <f t="shared" si="26"/>
        <v>17.501208760966904</v>
      </c>
      <c r="AE165">
        <f t="shared" si="26"/>
        <v>18.276723181700007</v>
      </c>
      <c r="AF165">
        <f t="shared" si="26"/>
        <v>19.036949630698892</v>
      </c>
      <c r="AG165">
        <f t="shared" si="26"/>
        <v>19.781825355470716</v>
      </c>
      <c r="AH165">
        <f t="shared" si="26"/>
        <v>20.511294818662211</v>
      </c>
      <c r="AI165">
        <f t="shared" si="26"/>
        <v>21.225309628258103</v>
      </c>
      <c r="AJ165">
        <f t="shared" si="26"/>
        <v>21.92382846568929</v>
      </c>
      <c r="AK165">
        <f t="shared" si="26"/>
        <v>22.606817011907882</v>
      </c>
      <c r="AL165">
        <f t="shared" si="26"/>
        <v>23.27424787148621</v>
      </c>
      <c r="AM165">
        <f t="shared" si="26"/>
        <v>23.926100494797083</v>
      </c>
      <c r="AN165">
        <f t="shared" si="26"/>
        <v>24.562361098332605</v>
      </c>
      <c r="AO165">
        <f t="shared" si="26"/>
        <v>25.183022583218879</v>
      </c>
      <c r="AP165">
        <f t="shared" si="26"/>
        <v>25.788084451984016</v>
      </c>
      <c r="AQ165">
        <f t="shared" si="26"/>
        <v>26.377552723636761</v>
      </c>
      <c r="AR165">
        <f t="shared" si="26"/>
        <v>26.951439847113093</v>
      </c>
      <c r="AS165">
        <f t="shared" si="26"/>
        <v>27.509764613148054</v>
      </c>
      <c r="AT165">
        <f t="shared" si="26"/>
        <v>28.052552064630017</v>
      </c>
      <c r="AU165">
        <f t="shared" si="26"/>
        <v>28.579833405494462</v>
      </c>
      <c r="AV165">
        <f t="shared" si="26"/>
        <v>29.091645908214236</v>
      </c>
      <c r="AW165">
        <f t="shared" si="26"/>
        <v>29.588032819943116</v>
      </c>
      <c r="AX165">
        <f t="shared" ref="AX165:CC165" si="27">AW165 + $D225 * ((AW164 - ($D219 + $D223)*AW165 + $D223*AW166 - AW167) /$D217)</f>
        <v>30.069043267369313</v>
      </c>
      <c r="AY165">
        <f t="shared" si="27"/>
        <v>30.534732160335388</v>
      </c>
      <c r="AZ165">
        <f t="shared" si="27"/>
        <v>30.985160094280801</v>
      </c>
      <c r="BA165">
        <f t="shared" si="27"/>
        <v>31.420393251563144</v>
      </c>
      <c r="BB165">
        <f t="shared" si="27"/>
        <v>31.840503301713788</v>
      </c>
      <c r="BC165">
        <f t="shared" si="27"/>
        <v>32.245567300683426</v>
      </c>
      <c r="BD165">
        <f t="shared" si="27"/>
        <v>32.63566758913273</v>
      </c>
      <c r="BE165">
        <f t="shared" si="27"/>
        <v>33.010891689822998</v>
      </c>
      <c r="BF165">
        <f t="shared" si="27"/>
        <v>33.37133220416132</v>
      </c>
      <c r="BG165">
        <f t="shared" si="27"/>
        <v>33.717086707954493</v>
      </c>
      <c r="BH165">
        <f t="shared" si="27"/>
        <v>34.048257646425498</v>
      </c>
      <c r="BI165">
        <f t="shared" si="27"/>
        <v>34.364952228545974</v>
      </c>
      <c r="BJ165">
        <f t="shared" si="27"/>
        <v>34.66728232073779</v>
      </c>
      <c r="BK165">
        <f t="shared" si="27"/>
        <v>34.955364339996279</v>
      </c>
      <c r="BL165">
        <f t="shared" si="27"/>
        <v>35.229319146487327</v>
      </c>
      <c r="BM165">
        <f t="shared" si="27"/>
        <v>35.489271935670097</v>
      </c>
      <c r="BN165">
        <f t="shared" si="27"/>
        <v>35.735352129996606</v>
      </c>
      <c r="BO165">
        <f t="shared" si="27"/>
        <v>35.967693270238975</v>
      </c>
      <c r="BP165">
        <f t="shared" si="27"/>
        <v>36.186432906494588</v>
      </c>
      <c r="BQ165">
        <f t="shared" si="27"/>
        <v>36.391712488918984</v>
      </c>
      <c r="BR165">
        <f t="shared" si="27"/>
        <v>36.583677258235674</v>
      </c>
      <c r="BS165">
        <f t="shared" si="27"/>
        <v>36.762476136071619</v>
      </c>
      <c r="BT165">
        <f t="shared" si="27"/>
        <v>36.928261615166505</v>
      </c>
      <c r="BU165">
        <f t="shared" si="27"/>
        <v>37.081189649503365</v>
      </c>
      <c r="BV165">
        <f t="shared" si="27"/>
        <v>37.221419544407574</v>
      </c>
      <c r="BW165">
        <f t="shared" si="27"/>
        <v>37.349113846660636</v>
      </c>
      <c r="BX165">
        <f t="shared" si="27"/>
        <v>37.464438234674482</v>
      </c>
      <c r="BY165">
        <f t="shared" si="27"/>
        <v>37.567561408771567</v>
      </c>
      <c r="BZ165">
        <f t="shared" si="27"/>
        <v>37.658654981615236</v>
      </c>
      <c r="CA165">
        <f t="shared" si="27"/>
        <v>37.737893368834342</v>
      </c>
      <c r="CB165">
        <f t="shared" si="27"/>
        <v>37.805453679885318</v>
      </c>
      <c r="CC165">
        <f t="shared" si="27"/>
        <v>37.861515609194377</v>
      </c>
      <c r="CD165">
        <f t="shared" ref="CD165:DI165" si="28">CC165 + $D225 * ((CC164 - ($D219 + $D223)*CC165 + $D223*CC166 - CC167) /$D217)</f>
        <v>37.906261327621756</v>
      </c>
      <c r="CE165">
        <f t="shared" si="28"/>
        <v>37.939875374289279</v>
      </c>
      <c r="CF165">
        <f t="shared" si="28"/>
        <v>37.96254454881182</v>
      </c>
      <c r="CG165">
        <f t="shared" si="28"/>
        <v>37.974457803972584</v>
      </c>
      <c r="CH165">
        <f t="shared" si="28"/>
        <v>37.975806138881339</v>
      </c>
      <c r="CI165">
        <f t="shared" si="28"/>
        <v>37.96678249265419</v>
      </c>
      <c r="CJ165">
        <f t="shared" si="28"/>
        <v>37.947581638652537</v>
      </c>
      <c r="CK165">
        <f t="shared" si="28"/>
        <v>37.918400079318374</v>
      </c>
      <c r="CL165">
        <f t="shared" si="28"/>
        <v>37.879435941642193</v>
      </c>
      <c r="CM165">
        <f t="shared" si="28"/>
        <v>37.830888873299095</v>
      </c>
      <c r="CN165">
        <f t="shared" si="28"/>
        <v>37.772959939487983</v>
      </c>
      <c r="CO165">
        <f t="shared" si="28"/>
        <v>37.705851520507892</v>
      </c>
      <c r="CP165">
        <f t="shared" si="28"/>
        <v>37.629767210104887</v>
      </c>
      <c r="CQ165">
        <f t="shared" si="28"/>
        <v>37.54491171462206</v>
      </c>
      <c r="CR165">
        <f t="shared" si="28"/>
        <v>37.451490752984498</v>
      </c>
      <c r="CS165">
        <f t="shared" si="28"/>
        <v>37.349710957550379</v>
      </c>
      <c r="CT165">
        <f t="shared" si="28"/>
        <v>37.239779775858416</v>
      </c>
      <c r="CU165">
        <f t="shared" si="28"/>
        <v>37.121905373301274</v>
      </c>
      <c r="CV165">
        <f t="shared" si="28"/>
        <v>36.996296536753725</v>
      </c>
      <c r="CW165">
        <f t="shared" si="28"/>
        <v>36.863162579183587</v>
      </c>
      <c r="CX165">
        <f t="shared" si="28"/>
        <v>36.722713245272672</v>
      </c>
      <c r="CY165">
        <f t="shared" si="28"/>
        <v>36.575158618074198</v>
      </c>
      <c r="CZ165">
        <f t="shared" si="28"/>
        <v>36.420709026732439</v>
      </c>
      <c r="DA165">
        <f t="shared" si="28"/>
        <v>36.259574955289409</v>
      </c>
      <c r="DB165">
        <f t="shared" si="28"/>
        <v>36.091966952602874</v>
      </c>
      <c r="DC165">
        <f t="shared" si="28"/>
        <v>35.918095543398934</v>
      </c>
      <c r="DD165">
        <f t="shared" si="28"/>
        <v>35.738171140481839</v>
      </c>
      <c r="DE165">
        <f t="shared" si="28"/>
        <v>35.552403958122831</v>
      </c>
      <c r="DF165">
        <f t="shared" si="28"/>
        <v>35.361003926649069</v>
      </c>
      <c r="DG165">
        <f t="shared" si="28"/>
        <v>35.164180608252899</v>
      </c>
      <c r="DH165">
        <f t="shared" si="28"/>
        <v>34.962143114040934</v>
      </c>
      <c r="DI165">
        <f t="shared" si="28"/>
        <v>33.711065931432664</v>
      </c>
      <c r="DJ165">
        <f t="shared" ref="DJ165:EO165" si="29">DI165 + $D225 * ((DI164 - ($D219 + $D223)*DI165 + $D223*DI166 - DI167) /$D217)</f>
        <v>32.467840259451656</v>
      </c>
      <c r="DK165">
        <f t="shared" si="29"/>
        <v>31.232883283527396</v>
      </c>
      <c r="DL165">
        <f t="shared" si="29"/>
        <v>30.006603348867586</v>
      </c>
      <c r="DM165">
        <f t="shared" si="29"/>
        <v>28.789399903569031</v>
      </c>
      <c r="DN165">
        <f t="shared" si="29"/>
        <v>27.581663446185743</v>
      </c>
      <c r="DO165">
        <f t="shared" si="29"/>
        <v>26.383775477718732</v>
      </c>
      <c r="DP165">
        <f t="shared" si="29"/>
        <v>25.196108457990555</v>
      </c>
      <c r="DQ165">
        <f t="shared" si="29"/>
        <v>24.019025766366319</v>
      </c>
      <c r="DR165">
        <f t="shared" si="29"/>
        <v>22.852881666781563</v>
      </c>
      <c r="DS165">
        <f t="shared" si="29"/>
        <v>21.698021277036041</v>
      </c>
      <c r="DT165">
        <f t="shared" si="29"/>
        <v>20.55478054231131</v>
      </c>
      <c r="DU165">
        <f t="shared" si="29"/>
        <v>19.423486212868703</v>
      </c>
      <c r="DV165">
        <f t="shared" si="29"/>
        <v>18.304455825883096</v>
      </c>
      <c r="DW165">
        <f t="shared" si="29"/>
        <v>17.197997691366762</v>
      </c>
      <c r="DX165">
        <f t="shared" si="29"/>
        <v>16.104410882136435</v>
      </c>
      <c r="DY165">
        <f t="shared" si="29"/>
        <v>15.023985227775652</v>
      </c>
      <c r="DZ165">
        <f t="shared" si="29"/>
        <v>13.957001312543364</v>
      </c>
      <c r="EA165">
        <f t="shared" si="29"/>
        <v>12.903730477178799</v>
      </c>
      <c r="EB165">
        <f t="shared" si="29"/>
        <v>11.864434824551584</v>
      </c>
      <c r="EC165">
        <f t="shared" si="29"/>
        <v>10.839367229105157</v>
      </c>
      <c r="ED165">
        <f t="shared" si="29"/>
        <v>9.8287713500406078</v>
      </c>
      <c r="EE165">
        <f t="shared" si="29"/>
        <v>8.8328816481871826</v>
      </c>
      <c r="EF165">
        <f t="shared" si="29"/>
        <v>7.8519234065048495</v>
      </c>
      <c r="EG165">
        <f t="shared" si="29"/>
        <v>6.8861127541635057</v>
      </c>
      <c r="EH165">
        <f t="shared" si="29"/>
        <v>5.9356566941426196</v>
      </c>
      <c r="EI165">
        <f t="shared" si="29"/>
        <v>5.0007531342943574</v>
      </c>
      <c r="EJ165">
        <f t="shared" si="29"/>
        <v>4.0815909218125226</v>
      </c>
      <c r="EK165">
        <f t="shared" si="29"/>
        <v>3.1783498810489661</v>
      </c>
      <c r="EL165">
        <f t="shared" si="29"/>
        <v>2.2912008546184626</v>
      </c>
      <c r="EM165">
        <f t="shared" si="29"/>
        <v>1.4203057477324472</v>
      </c>
      <c r="EN165">
        <f t="shared" si="29"/>
        <v>0.56581757570140878</v>
      </c>
      <c r="EO165">
        <f t="shared" si="29"/>
        <v>-0.27211948545479836</v>
      </c>
      <c r="EP165">
        <f t="shared" ref="EP165:FU165" si="30">EO165 + $D225 * ((EO164 - ($D219 + $D223)*EO165 + $D223*EO166 - EO167) /$D217)</f>
        <v>-1.0933700453499888</v>
      </c>
      <c r="EQ165">
        <f t="shared" si="30"/>
        <v>-1.8978074425897771</v>
      </c>
      <c r="ER165">
        <f t="shared" si="30"/>
        <v>-2.6853136852070012</v>
      </c>
      <c r="ES165">
        <f t="shared" si="30"/>
        <v>-3.4557793882370618</v>
      </c>
      <c r="ET165">
        <f t="shared" si="30"/>
        <v>-4.2091037084961904</v>
      </c>
      <c r="EU165">
        <f t="shared" si="30"/>
        <v>-4.9451942766260117</v>
      </c>
      <c r="EV165">
        <f t="shared" si="30"/>
        <v>-5.6639671264680977</v>
      </c>
      <c r="EW165">
        <f t="shared" si="30"/>
        <v>-6.3653466218325043</v>
      </c>
      <c r="EX165">
        <f t="shared" si="30"/>
        <v>-7.0492653807245453</v>
      </c>
      <c r="EY165">
        <f t="shared" si="30"/>
        <v>-7.7156641970943047</v>
      </c>
      <c r="EZ165">
        <f t="shared" si="30"/>
        <v>-8.3644919601735719</v>
      </c>
      <c r="FA165">
        <f t="shared" si="30"/>
        <v>-8.9957055714650789</v>
      </c>
      <c r="FB165">
        <f t="shared" si="30"/>
        <v>-9.6092698594490624</v>
      </c>
      <c r="FC165">
        <f t="shared" si="30"/>
        <v>-10.205157492072273</v>
      </c>
      <c r="FD165">
        <f t="shared" si="30"/>
        <v>-10.783348887084669</v>
      </c>
      <c r="FE165">
        <f t="shared" si="30"/>
        <v>-11.343832120289067</v>
      </c>
      <c r="FF165">
        <f t="shared" si="30"/>
        <v>-11.88660283176907</v>
      </c>
      <c r="FG165">
        <f t="shared" si="30"/>
        <v>-12.411664130160585</v>
      </c>
      <c r="FH165">
        <f t="shared" si="30"/>
        <v>-12.919026495032236</v>
      </c>
      <c r="FI165">
        <f t="shared" si="30"/>
        <v>-13.408707677439899</v>
      </c>
      <c r="FJ165">
        <f t="shared" si="30"/>
        <v>-13.880732598720543</v>
      </c>
      <c r="FK165">
        <f t="shared" si="30"/>
        <v>-14.335133247590429</v>
      </c>
      <c r="FL165">
        <f t="shared" si="30"/>
        <v>-14.771948575612601</v>
      </c>
      <c r="FM165">
        <f t="shared" si="30"/>
        <v>-15.191224391098459</v>
      </c>
      <c r="FN165">
        <f t="shared" si="30"/>
        <v>-15.593013251507992</v>
      </c>
      <c r="FO165">
        <f t="shared" si="30"/>
        <v>-15.977374354413097</v>
      </c>
      <c r="FP165">
        <f t="shared" si="30"/>
        <v>-16.344373427088101</v>
      </c>
      <c r="FQ165">
        <f t="shared" si="30"/>
        <v>-16.694082614791451</v>
      </c>
      <c r="FR165">
        <f t="shared" si="30"/>
        <v>-17.026580367802172</v>
      </c>
      <c r="FS165">
        <f t="shared" si="30"/>
        <v>-17.341951327274426</v>
      </c>
      <c r="FT165">
        <f t="shared" si="30"/>
        <v>-17.640286209973226</v>
      </c>
      <c r="FU165">
        <f t="shared" si="30"/>
        <v>-17.921681691953918</v>
      </c>
      <c r="FV165">
        <f t="shared" ref="FV165:GQ165" si="31">FU165 + $D225 * ((FU164 - ($D219 + $D223)*FU165 + $D223*FU166 - FU167) /$D217)</f>
        <v>-18.186240291247785</v>
      </c>
      <c r="FW165">
        <f t="shared" si="31"/>
        <v>-18.434070249615651</v>
      </c>
      <c r="FX165">
        <f t="shared" si="31"/>
        <v>-18.665285413431015</v>
      </c>
      <c r="FY165">
        <f t="shared" si="31"/>
        <v>-18.880005113753775</v>
      </c>
      <c r="FZ165">
        <f t="shared" si="31"/>
        <v>-19.078354045655193</v>
      </c>
      <c r="GA165">
        <f t="shared" si="31"/>
        <v>-19.260462146854241</v>
      </c>
      <c r="GB165">
        <f t="shared" si="31"/>
        <v>-19.426464475725023</v>
      </c>
      <c r="GC165">
        <f t="shared" si="31"/>
        <v>-19.5765010887344</v>
      </c>
      <c r="GD165">
        <f t="shared" si="31"/>
        <v>-19.710716917368519</v>
      </c>
      <c r="GE165">
        <f t="shared" si="31"/>
        <v>-19.82926164460628</v>
      </c>
      <c r="GF165">
        <f t="shared" si="31"/>
        <v>-19.932289580997342</v>
      </c>
      <c r="GG165">
        <f t="shared" si="31"/>
        <v>-20.01995954040158</v>
      </c>
      <c r="GH165">
        <f t="shared" si="31"/>
        <v>-20.092434715446405</v>
      </c>
      <c r="GI165">
        <f t="shared" si="31"/>
        <v>-20.149882552757681</v>
      </c>
      <c r="GJ165">
        <f t="shared" si="31"/>
        <v>-20.192474628019383</v>
      </c>
      <c r="GK165">
        <f t="shared" si="31"/>
        <v>-20.220386520916492</v>
      </c>
      <c r="GL165">
        <f t="shared" si="31"/>
        <v>-20.233797690014995</v>
      </c>
      <c r="GM165">
        <f t="shared" si="31"/>
        <v>-20.232891347632119</v>
      </c>
      <c r="GN165">
        <f t="shared" si="31"/>
        <v>-20.217854334749337</v>
      </c>
      <c r="GO165">
        <f t="shared" si="31"/>
        <v>-20.188876996019918</v>
      </c>
      <c r="GP165">
        <f t="shared" si="31"/>
        <v>-20.146153054922131</v>
      </c>
      <c r="GQ165">
        <f t="shared" si="31"/>
        <v>-20.089879489108448</v>
      </c>
    </row>
    <row r="166" spans="1:199" x14ac:dyDescent="0.25">
      <c r="A166" s="65"/>
      <c r="C166" t="s">
        <v>158</v>
      </c>
      <c r="D166" s="18">
        <f>D164-(D165*2)</f>
        <v>66</v>
      </c>
      <c r="E166" t="s">
        <v>120</v>
      </c>
      <c r="Q166" s="1">
        <f>K229 + $D225 * (($D223*(K228 - K229) + K230) /$D218)</f>
        <v>2.4520495225047741E-2</v>
      </c>
      <c r="R166" s="1">
        <f t="shared" ref="R166:AW166" si="32">Q166 + $D225 * (($D223*(Q165 - Q166) + Q167) /$D218)</f>
        <v>3.4573828588320532E-2</v>
      </c>
      <c r="S166" s="1">
        <f t="shared" si="32"/>
        <v>4.6419783955918989E-2</v>
      </c>
      <c r="T166" s="1">
        <f t="shared" si="32"/>
        <v>6.0088670283682512E-2</v>
      </c>
      <c r="U166" s="1">
        <f t="shared" si="32"/>
        <v>7.5609624060706648E-2</v>
      </c>
      <c r="V166" s="1">
        <f t="shared" si="32"/>
        <v>9.3010612242137386E-2</v>
      </c>
      <c r="W166" s="1">
        <f t="shared" si="32"/>
        <v>0.11231843563360495</v>
      </c>
      <c r="X166" s="1">
        <f t="shared" si="32"/>
        <v>0.13355873272005625</v>
      </c>
      <c r="Y166" s="1">
        <f t="shared" si="32"/>
        <v>0.15675598393165216</v>
      </c>
      <c r="Z166" s="1">
        <f t="shared" si="32"/>
        <v>0.18193351633930782</v>
      </c>
      <c r="AA166" s="1">
        <f t="shared" si="32"/>
        <v>0.20911350877236987</v>
      </c>
      <c r="AB166" s="1">
        <f t="shared" si="32"/>
        <v>0.23831699735084444</v>
      </c>
      <c r="AC166" s="1">
        <f t="shared" si="32"/>
        <v>0.26956388142451476</v>
      </c>
      <c r="AD166" s="1">
        <f t="shared" si="32"/>
        <v>0.30287292991121484</v>
      </c>
      <c r="AE166" s="1">
        <f t="shared" si="32"/>
        <v>0.33826178802645923</v>
      </c>
      <c r="AF166" s="1">
        <f t="shared" si="32"/>
        <v>0.3757469843965649</v>
      </c>
      <c r="AG166" s="1">
        <f t="shared" si="32"/>
        <v>0.41534393854734281</v>
      </c>
      <c r="AH166" s="1">
        <f t="shared" si="32"/>
        <v>0.45706696876038155</v>
      </c>
      <c r="AI166" s="1">
        <f t="shared" si="32"/>
        <v>0.50092930028889415</v>
      </c>
      <c r="AJ166" s="1">
        <f t="shared" si="32"/>
        <v>0.54694307392505281</v>
      </c>
      <c r="AK166" s="1">
        <f t="shared" si="32"/>
        <v>0.59511935491069279</v>
      </c>
      <c r="AL166" s="1">
        <f t="shared" si="32"/>
        <v>0.64546814218322779</v>
      </c>
      <c r="AM166" s="1">
        <f t="shared" si="32"/>
        <v>0.69799837794858477</v>
      </c>
      <c r="AN166" s="1">
        <f t="shared" si="32"/>
        <v>0.75271795757293414</v>
      </c>
      <c r="AO166" s="1">
        <f t="shared" si="32"/>
        <v>0.80963373978496345</v>
      </c>
      <c r="AP166" s="1">
        <f t="shared" si="32"/>
        <v>0.86875155718042085</v>
      </c>
      <c r="AQ166" s="1">
        <f t="shared" si="32"/>
        <v>0.93007622702063342</v>
      </c>
      <c r="AR166" s="1">
        <f t="shared" si="32"/>
        <v>0.99361156231668979</v>
      </c>
      <c r="AS166" s="1">
        <f t="shared" si="32"/>
        <v>1.0593603831909635</v>
      </c>
      <c r="AT166" s="1">
        <f t="shared" si="32"/>
        <v>1.1273245285076468</v>
      </c>
      <c r="AU166" s="1">
        <f t="shared" si="32"/>
        <v>1.1975048677639566</v>
      </c>
      <c r="AV166" s="1">
        <f t="shared" si="32"/>
        <v>1.2699013132336752</v>
      </c>
      <c r="AW166" s="1">
        <f t="shared" si="32"/>
        <v>1.3445128323546884</v>
      </c>
      <c r="AX166" s="1">
        <f t="shared" ref="AX166:CC166" si="33">AW166 + $D225 * (($D223*(AW165 - AW166) + AW167) /$D218)</f>
        <v>1.4213374603521909</v>
      </c>
      <c r="AY166" s="1">
        <f t="shared" si="33"/>
        <v>1.5003723130892361</v>
      </c>
      <c r="AZ166" s="1">
        <f t="shared" si="33"/>
        <v>1.5816136001363206</v>
      </c>
      <c r="BA166" s="1">
        <f t="shared" si="33"/>
        <v>1.6650566380517078</v>
      </c>
      <c r="BB166" s="1">
        <f t="shared" si="33"/>
        <v>1.7506958638642167</v>
      </c>
      <c r="BC166" s="1">
        <f t="shared" si="33"/>
        <v>1.8385248487502202</v>
      </c>
      <c r="BD166" s="1">
        <f t="shared" si="33"/>
        <v>1.9285363118966254</v>
      </c>
      <c r="BE166" s="1">
        <f t="shared" si="33"/>
        <v>2.0207221345416353</v>
      </c>
      <c r="BF166" s="1">
        <f t="shared" si="33"/>
        <v>2.1150733741851218</v>
      </c>
      <c r="BG166" s="1">
        <f t="shared" si="33"/>
        <v>2.2115802789604775</v>
      </c>
      <c r="BH166" s="1">
        <f t="shared" si="33"/>
        <v>2.3102323021598483</v>
      </c>
      <c r="BI166" s="1">
        <f t="shared" si="33"/>
        <v>2.4110181169046871</v>
      </c>
      <c r="BJ166" s="1">
        <f t="shared" si="33"/>
        <v>2.5139256309536191</v>
      </c>
      <c r="BK166" s="1">
        <f t="shared" si="33"/>
        <v>2.6189420016396467</v>
      </c>
      <c r="BL166" s="1">
        <f t="shared" si="33"/>
        <v>2.7260536509287765</v>
      </c>
      <c r="BM166" s="1">
        <f t="shared" si="33"/>
        <v>2.8352462805922012</v>
      </c>
      <c r="BN166" s="1">
        <f t="shared" si="33"/>
        <v>2.9465048874842181</v>
      </c>
      <c r="BO166" s="1">
        <f t="shared" si="33"/>
        <v>3.0598137789181332</v>
      </c>
      <c r="BP166" s="1">
        <f t="shared" si="33"/>
        <v>3.1751565881324439</v>
      </c>
      <c r="BQ166" s="1">
        <f t="shared" si="33"/>
        <v>3.2925162898396718</v>
      </c>
      <c r="BR166" s="1">
        <f t="shared" si="33"/>
        <v>3.4118752158502645</v>
      </c>
      <c r="BS166" s="1">
        <f t="shared" si="33"/>
        <v>3.5332150707640668</v>
      </c>
      <c r="BT166" s="1">
        <f t="shared" si="33"/>
        <v>3.6565169477219155</v>
      </c>
      <c r="BU166" s="1">
        <f t="shared" si="33"/>
        <v>3.7817613442099969</v>
      </c>
      <c r="BV166" s="1">
        <f t="shared" si="33"/>
        <v>3.9089281779096674</v>
      </c>
      <c r="BW166" s="1">
        <f t="shared" si="33"/>
        <v>4.0379968025855204</v>
      </c>
      <c r="BX166" s="1">
        <f t="shared" si="33"/>
        <v>4.1689460240045539</v>
      </c>
      <c r="BY166" s="1">
        <f t="shared" si="33"/>
        <v>4.3017541158793806</v>
      </c>
      <c r="BZ166" s="1">
        <f t="shared" si="33"/>
        <v>4.4363988358284905</v>
      </c>
      <c r="CA166" s="1">
        <f t="shared" si="33"/>
        <v>4.5728574413466729</v>
      </c>
      <c r="CB166" s="1">
        <f t="shared" si="33"/>
        <v>4.7111067057787821</v>
      </c>
      <c r="CC166" s="1">
        <f t="shared" si="33"/>
        <v>4.8511229342901148</v>
      </c>
      <c r="CD166" s="1">
        <f t="shared" ref="CD166:DI166" si="34">CC166 + $D225 * (($D223*(CC165 - CC166) + CC167) /$D218)</f>
        <v>4.9928819798267607</v>
      </c>
      <c r="CE166" s="1">
        <f t="shared" si="34"/>
        <v>5.1363592590593807</v>
      </c>
      <c r="CF166" s="1">
        <f t="shared" si="34"/>
        <v>5.2815297683039439</v>
      </c>
      <c r="CG166" s="1">
        <f t="shared" si="34"/>
        <v>5.4283680994130687</v>
      </c>
      <c r="CH166" s="1">
        <f t="shared" si="34"/>
        <v>5.576848455631688</v>
      </c>
      <c r="CI166" s="1">
        <f t="shared" si="34"/>
        <v>5.7269446674108675</v>
      </c>
      <c r="CJ166" s="1">
        <f t="shared" si="34"/>
        <v>5.8786302081736945</v>
      </c>
      <c r="CK166" s="1">
        <f t="shared" si="34"/>
        <v>6.031878210027263</v>
      </c>
      <c r="CL166" s="1">
        <f t="shared" si="34"/>
        <v>6.1866614794148669</v>
      </c>
      <c r="CM166" s="1">
        <f t="shared" si="34"/>
        <v>6.3429525127026301</v>
      </c>
      <c r="CN166" s="1">
        <f t="shared" si="34"/>
        <v>6.500723511694888</v>
      </c>
      <c r="CO166" s="1">
        <f t="shared" si="34"/>
        <v>6.6599463990727523</v>
      </c>
      <c r="CP166" s="1">
        <f t="shared" si="34"/>
        <v>6.8205928337503838</v>
      </c>
      <c r="CQ166" s="1">
        <f t="shared" si="34"/>
        <v>6.9826342261436114</v>
      </c>
      <c r="CR166" s="1">
        <f t="shared" si="34"/>
        <v>7.1460417533456342</v>
      </c>
      <c r="CS166" s="1">
        <f t="shared" si="34"/>
        <v>7.3107863742046586</v>
      </c>
      <c r="CT166" s="1">
        <f t="shared" si="34"/>
        <v>7.4768388442984177</v>
      </c>
      <c r="CU166" s="1">
        <f t="shared" si="34"/>
        <v>7.644169730800642</v>
      </c>
      <c r="CV166" s="1">
        <f t="shared" si="34"/>
        <v>7.8127494272346514</v>
      </c>
      <c r="CW166" s="1">
        <f t="shared" si="34"/>
        <v>7.9825481681093509</v>
      </c>
      <c r="CX166" s="1">
        <f t="shared" si="34"/>
        <v>8.1535360434330126</v>
      </c>
      <c r="CY166" s="1">
        <f t="shared" si="34"/>
        <v>8.3256830131003667</v>
      </c>
      <c r="CZ166" s="1">
        <f t="shared" si="34"/>
        <v>8.4989589211485814</v>
      </c>
      <c r="DA166" s="1">
        <f t="shared" si="34"/>
        <v>8.6733335098778941</v>
      </c>
      <c r="DB166" s="1">
        <f t="shared" si="34"/>
        <v>8.8487764338327004</v>
      </c>
      <c r="DC166" s="1">
        <f t="shared" si="34"/>
        <v>9.0252572736390615</v>
      </c>
      <c r="DD166" s="1">
        <f t="shared" si="34"/>
        <v>9.2027455496946899</v>
      </c>
      <c r="DE166" s="1">
        <f t="shared" si="34"/>
        <v>9.3812107357075902</v>
      </c>
      <c r="DF166" s="1">
        <f t="shared" si="34"/>
        <v>9.5606222720796232</v>
      </c>
      <c r="DG166" s="1">
        <f t="shared" si="34"/>
        <v>9.7409495791314189</v>
      </c>
      <c r="DH166" s="1">
        <f t="shared" si="34"/>
        <v>9.9221620701651325</v>
      </c>
      <c r="DI166" s="1">
        <f t="shared" si="34"/>
        <v>10.104229164361662</v>
      </c>
      <c r="DJ166" s="1">
        <f t="shared" ref="DJ166:EO166" si="35">DI166 + $D225 * (($D223*(DI165 - DI166) + DI167) /$D218)</f>
        <v>10.285534258592742</v>
      </c>
      <c r="DK166" s="1">
        <f t="shared" si="35"/>
        <v>10.466009442644008</v>
      </c>
      <c r="DL166" s="1">
        <f t="shared" si="35"/>
        <v>10.645588030032599</v>
      </c>
      <c r="DM166" s="1">
        <f t="shared" si="35"/>
        <v>10.824204570134144</v>
      </c>
      <c r="DN166" s="1">
        <f t="shared" si="35"/>
        <v>11.00179485963613</v>
      </c>
      <c r="DO166" s="1">
        <f t="shared" si="35"/>
        <v>11.17829595332153</v>
      </c>
      <c r="DP166" s="1">
        <f t="shared" si="35"/>
        <v>11.353646174186856</v>
      </c>
      <c r="DQ166" s="1">
        <f t="shared" si="35"/>
        <v>11.527785122898933</v>
      </c>
      <c r="DR166" s="1">
        <f t="shared" si="35"/>
        <v>11.700653686595016</v>
      </c>
      <c r="DS166" s="1">
        <f t="shared" si="35"/>
        <v>11.872194047030998</v>
      </c>
      <c r="DT166" s="1">
        <f t="shared" si="35"/>
        <v>12.042349688082719</v>
      </c>
      <c r="DU166" s="1">
        <f t="shared" si="35"/>
        <v>12.211065402605591</v>
      </c>
      <c r="DV166" s="1">
        <f t="shared" si="35"/>
        <v>12.378287298657925</v>
      </c>
      <c r="DW166" s="1">
        <f t="shared" si="35"/>
        <v>12.543962805093571</v>
      </c>
      <c r="DX166" s="1">
        <f t="shared" si="35"/>
        <v>12.708040676529661</v>
      </c>
      <c r="DY166" s="1">
        <f t="shared" si="35"/>
        <v>12.870470997695445</v>
      </c>
      <c r="DZ166" s="1">
        <f t="shared" si="35"/>
        <v>13.031205187168363</v>
      </c>
      <c r="EA166" s="1">
        <f t="shared" si="35"/>
        <v>13.190196000503706</v>
      </c>
      <c r="EB166" s="1">
        <f t="shared" si="35"/>
        <v>13.347397532764379</v>
      </c>
      <c r="EC166" s="1">
        <f t="shared" si="35"/>
        <v>13.502765220457432</v>
      </c>
      <c r="ED166" s="1">
        <f t="shared" si="35"/>
        <v>13.656255842884201</v>
      </c>
      <c r="EE166" s="1">
        <f t="shared" si="35"/>
        <v>13.807827522911078</v>
      </c>
      <c r="EF166" s="1">
        <f t="shared" si="35"/>
        <v>13.957439727168016</v>
      </c>
      <c r="EG166" s="1">
        <f t="shared" si="35"/>
        <v>14.10505326568212</v>
      </c>
      <c r="EH166" s="1">
        <f t="shared" si="35"/>
        <v>14.250630290953715</v>
      </c>
      <c r="EI166" s="1">
        <f t="shared" si="35"/>
        <v>14.394134296482497</v>
      </c>
      <c r="EJ166" s="1">
        <f t="shared" si="35"/>
        <v>14.535530114751463</v>
      </c>
      <c r="EK166" s="1">
        <f t="shared" si="35"/>
        <v>14.674783914676464</v>
      </c>
      <c r="EL166" s="1">
        <f t="shared" si="35"/>
        <v>14.811863198529331</v>
      </c>
      <c r="EM166" s="1">
        <f t="shared" si="35"/>
        <v>14.946736798342661</v>
      </c>
      <c r="EN166" s="1">
        <f t="shared" si="35"/>
        <v>15.079374871804449</v>
      </c>
      <c r="EO166" s="1">
        <f t="shared" si="35"/>
        <v>15.209748897650854</v>
      </c>
      <c r="EP166" s="1">
        <f t="shared" ref="EP166:FU166" si="36">EO166 + $D225 * (($D223*(EO165 - EO166) + EO167) /$D218)</f>
        <v>15.337831670565514</v>
      </c>
      <c r="EQ166" s="1">
        <f t="shared" si="36"/>
        <v>15.463597295593898</v>
      </c>
      <c r="ER166" s="1">
        <f t="shared" si="36"/>
        <v>15.587021182081301</v>
      </c>
      <c r="ES166" s="1">
        <f t="shared" si="36"/>
        <v>15.708080037143135</v>
      </c>
      <c r="ET166" s="1">
        <f t="shared" si="36"/>
        <v>15.826751858676319</v>
      </c>
      <c r="EU166" s="1">
        <f t="shared" si="36"/>
        <v>15.943015927920566</v>
      </c>
      <c r="EV166" s="1">
        <f t="shared" si="36"/>
        <v>16.056852801578536</v>
      </c>
      <c r="EW166" s="1">
        <f t="shared" si="36"/>
        <v>16.168244303503787</v>
      </c>
      <c r="EX166" s="1">
        <f t="shared" si="36"/>
        <v>16.277173515965632</v>
      </c>
      <c r="EY166" s="1">
        <f t="shared" si="36"/>
        <v>16.383624770499967</v>
      </c>
      <c r="EZ166" s="1">
        <f t="shared" si="36"/>
        <v>16.487583638355261</v>
      </c>
      <c r="FA166" s="1">
        <f t="shared" si="36"/>
        <v>16.589036920542942</v>
      </c>
      <c r="FB166" s="1">
        <f t="shared" si="36"/>
        <v>16.687972637501399</v>
      </c>
      <c r="FC166" s="1">
        <f t="shared" si="36"/>
        <v>16.784380018382969</v>
      </c>
      <c r="FD166" s="1">
        <f t="shared" si="36"/>
        <v>16.878249489973197</v>
      </c>
      <c r="FE166" s="1">
        <f t="shared" si="36"/>
        <v>16.969572665251789</v>
      </c>
      <c r="FF166" s="1">
        <f t="shared" si="36"/>
        <v>17.058342331604656</v>
      </c>
      <c r="FG166" s="1">
        <f t="shared" si="36"/>
        <v>17.144552438696465</v>
      </c>
      <c r="FH166" s="1">
        <f t="shared" si="36"/>
        <v>17.228198086013176</v>
      </c>
      <c r="FI166" s="1">
        <f t="shared" si="36"/>
        <v>17.309275510084021</v>
      </c>
      <c r="FJ166" s="1">
        <f t="shared" si="36"/>
        <v>17.387782071392408</v>
      </c>
      <c r="FK166" s="1">
        <f t="shared" si="36"/>
        <v>17.463716240985235</v>
      </c>
      <c r="FL166" s="1">
        <f t="shared" si="36"/>
        <v>17.537077586790126</v>
      </c>
      <c r="FM166" s="1">
        <f t="shared" si="36"/>
        <v>17.607866759650054</v>
      </c>
      <c r="FN166" s="1">
        <f t="shared" si="36"/>
        <v>17.676085479084875</v>
      </c>
      <c r="FO166" s="1">
        <f t="shared" si="36"/>
        <v>17.741736518789221</v>
      </c>
      <c r="FP166" s="1">
        <f t="shared" si="36"/>
        <v>17.80482369187623</v>
      </c>
      <c r="FQ166" s="1">
        <f t="shared" si="36"/>
        <v>17.865351835876591</v>
      </c>
      <c r="FR166" s="1">
        <f t="shared" si="36"/>
        <v>17.923326797502313</v>
      </c>
      <c r="FS166" s="1">
        <f t="shared" si="36"/>
        <v>17.978755417184615</v>
      </c>
      <c r="FT166" s="1">
        <f t="shared" si="36"/>
        <v>18.031645513395368</v>
      </c>
      <c r="FU166" s="1">
        <f t="shared" si="36"/>
        <v>18.082005866761396</v>
      </c>
      <c r="FV166" s="1">
        <f t="shared" ref="FV166:GQ166" si="37">FU166 + $D225 * (($D223*(FU165 - FU166) + FU167) /$D218)</f>
        <v>18.129846203980978</v>
      </c>
      <c r="FW166" s="1">
        <f t="shared" si="37"/>
        <v>18.175177181551845</v>
      </c>
      <c r="FX166" s="1">
        <f t="shared" si="37"/>
        <v>18.218010369319867</v>
      </c>
      <c r="FY166" s="1">
        <f t="shared" si="37"/>
        <v>18.258358233857688</v>
      </c>
      <c r="FZ166" s="1">
        <f t="shared" si="37"/>
        <v>18.29623412168241</v>
      </c>
      <c r="GA166" s="1">
        <f t="shared" si="37"/>
        <v>18.331652242321457</v>
      </c>
      <c r="GB166" s="1">
        <f t="shared" si="37"/>
        <v>18.364627651235633</v>
      </c>
      <c r="GC166" s="1">
        <f t="shared" si="37"/>
        <v>18.395176232608399</v>
      </c>
      <c r="GD166" s="1">
        <f t="shared" si="37"/>
        <v>18.423314682010275</v>
      </c>
      <c r="GE166" s="1">
        <f t="shared" si="37"/>
        <v>18.449060488947225</v>
      </c>
      <c r="GF166" s="1">
        <f t="shared" si="37"/>
        <v>18.472431919301844</v>
      </c>
      <c r="GG166" s="1">
        <f t="shared" si="37"/>
        <v>18.493447997676071</v>
      </c>
      <c r="GH166" s="1">
        <f t="shared" si="37"/>
        <v>18.512128489644098</v>
      </c>
      <c r="GI166" s="1">
        <f t="shared" si="37"/>
        <v>18.528493883924021</v>
      </c>
      <c r="GJ166" s="1">
        <f t="shared" si="37"/>
        <v>18.542565374476798</v>
      </c>
      <c r="GK166" s="1">
        <f t="shared" si="37"/>
        <v>18.554364842540902</v>
      </c>
      <c r="GL166" s="1">
        <f t="shared" si="37"/>
        <v>18.563914838611044</v>
      </c>
      <c r="GM166" s="1">
        <f t="shared" si="37"/>
        <v>18.571238564369203</v>
      </c>
      <c r="GN166" s="1">
        <f t="shared" si="37"/>
        <v>18.576359854576154</v>
      </c>
      <c r="GO166" s="1">
        <f t="shared" si="37"/>
        <v>18.579303158931602</v>
      </c>
      <c r="GP166" s="1">
        <f t="shared" si="37"/>
        <v>18.580093523910872</v>
      </c>
      <c r="GQ166" s="1">
        <f t="shared" si="37"/>
        <v>18.578756574586105</v>
      </c>
    </row>
    <row r="167" spans="1:199" x14ac:dyDescent="0.25">
      <c r="A167" s="65"/>
      <c r="C167" t="s">
        <v>159</v>
      </c>
      <c r="D167" s="18">
        <f>D166/D161</f>
        <v>66</v>
      </c>
      <c r="E167" t="s">
        <v>120</v>
      </c>
      <c r="Q167">
        <f>K230 + $D225 * ((K228 -K229) / $D224)</f>
        <v>0.23548029704456938</v>
      </c>
      <c r="R167">
        <f t="shared" ref="R167:AW167" si="38">Q167 + $D225 * ((Q165 -Q166) / $D224)</f>
        <v>0.32809472081951446</v>
      </c>
      <c r="S167">
        <f t="shared" si="38"/>
        <v>0.43533993962784967</v>
      </c>
      <c r="T167">
        <f t="shared" si="38"/>
        <v>0.55697727963947374</v>
      </c>
      <c r="U167">
        <f t="shared" si="38"/>
        <v>0.69276512344985031</v>
      </c>
      <c r="V167">
        <f t="shared" si="38"/>
        <v>0.84245904916141856</v>
      </c>
      <c r="W167">
        <f t="shared" si="38"/>
        <v>1.0058119688450446</v>
      </c>
      <c r="X167">
        <f t="shared" si="38"/>
        <v>1.1825742663315619</v>
      </c>
      <c r="Y167">
        <f t="shared" si="38"/>
        <v>1.3724939342843712</v>
      </c>
      <c r="Z167">
        <f t="shared" si="38"/>
        <v>1.5753167105050074</v>
      </c>
      <c r="AA167">
        <f t="shared" si="38"/>
        <v>1.7907862134245187</v>
      </c>
      <c r="AB167">
        <f t="shared" si="38"/>
        <v>2.0186440767344527</v>
      </c>
      <c r="AC167">
        <f t="shared" si="38"/>
        <v>2.2586300831122017</v>
      </c>
      <c r="AD167">
        <f t="shared" si="38"/>
        <v>2.5104822969964231</v>
      </c>
      <c r="AE167">
        <f t="shared" si="38"/>
        <v>2.7739371963692125</v>
      </c>
      <c r="AF167">
        <f t="shared" si="38"/>
        <v>3.0487298035026922</v>
      </c>
      <c r="AG167">
        <f t="shared" si="38"/>
        <v>3.3345938146286471</v>
      </c>
      <c r="AH167">
        <f t="shared" si="38"/>
        <v>3.6312617284908311</v>
      </c>
      <c r="AI167">
        <f t="shared" si="38"/>
        <v>3.9384649737405528</v>
      </c>
      <c r="AJ167">
        <f t="shared" si="38"/>
        <v>4.2559340351371402</v>
      </c>
      <c r="AK167">
        <f t="shared" si="38"/>
        <v>4.5833985785158813</v>
      </c>
      <c r="AL167">
        <f t="shared" si="38"/>
        <v>4.9205875744870395</v>
      </c>
      <c r="AM167">
        <f t="shared" si="38"/>
        <v>5.267229420830529</v>
      </c>
      <c r="AN167">
        <f t="shared" si="38"/>
        <v>5.6230520635518602</v>
      </c>
      <c r="AO167">
        <f t="shared" si="38"/>
        <v>5.9877831165659483</v>
      </c>
      <c r="AP167">
        <f t="shared" si="38"/>
        <v>6.3611499799763944</v>
      </c>
      <c r="AQ167">
        <f t="shared" si="38"/>
        <v>6.7428799569188511</v>
      </c>
      <c r="AR167">
        <f t="shared" si="38"/>
        <v>7.1327003689380932</v>
      </c>
      <c r="AS167">
        <f t="shared" si="38"/>
        <v>7.530338669869411</v>
      </c>
      <c r="AT167">
        <f t="shared" si="38"/>
        <v>7.9355225581959594</v>
      </c>
      <c r="AU167">
        <f t="shared" si="38"/>
        <v>8.3479800878546975</v>
      </c>
      <c r="AV167">
        <f t="shared" si="38"/>
        <v>8.7674397774645403</v>
      </c>
      <c r="AW167">
        <f t="shared" si="38"/>
        <v>9.1936307179513754</v>
      </c>
      <c r="AX167">
        <f t="shared" ref="AX167:CC167" si="39">AW167 + $D225 * ((AW165 -AW166) / $D224)</f>
        <v>9.6262826785455609</v>
      </c>
      <c r="AY167">
        <f t="shared" si="39"/>
        <v>10.065126211128543</v>
      </c>
      <c r="AZ167">
        <f t="shared" si="39"/>
        <v>10.509892752906211</v>
      </c>
      <c r="BA167">
        <f t="shared" si="39"/>
        <v>10.96031472738759</v>
      </c>
      <c r="BB167">
        <f t="shared" si="39"/>
        <v>11.416125643648488</v>
      </c>
      <c r="BC167">
        <f t="shared" si="39"/>
        <v>11.877060193860645</v>
      </c>
      <c r="BD167">
        <f t="shared" si="39"/>
        <v>12.342854349067956</v>
      </c>
      <c r="BE167">
        <f t="shared" si="39"/>
        <v>12.813245453192284</v>
      </c>
      <c r="BF167">
        <f t="shared" si="39"/>
        <v>13.287972315252354</v>
      </c>
      <c r="BG167">
        <f t="shared" si="39"/>
        <v>13.766775299780175</v>
      </c>
      <c r="BH167">
        <f t="shared" si="39"/>
        <v>14.249396415420403</v>
      </c>
      <c r="BI167">
        <f t="shared" si="39"/>
        <v>14.735579401698983</v>
      </c>
      <c r="BJ167">
        <f t="shared" si="39"/>
        <v>15.225069813948391</v>
      </c>
      <c r="BK167">
        <f t="shared" si="39"/>
        <v>15.717615106377682</v>
      </c>
      <c r="BL167">
        <f t="shared" si="39"/>
        <v>16.212964713276527</v>
      </c>
      <c r="BM167">
        <f t="shared" si="39"/>
        <v>16.710870128343295</v>
      </c>
      <c r="BN167">
        <f t="shared" si="39"/>
        <v>17.211084982128188</v>
      </c>
      <c r="BO167">
        <f t="shared" si="39"/>
        <v>17.71336511758334</v>
      </c>
      <c r="BP167">
        <f t="shared" si="39"/>
        <v>18.217468663712641</v>
      </c>
      <c r="BQ167">
        <f t="shared" si="39"/>
        <v>18.723156107315003</v>
      </c>
      <c r="BR167">
        <f t="shared" si="39"/>
        <v>19.230190362815605</v>
      </c>
      <c r="BS167">
        <f t="shared" si="39"/>
        <v>19.73833684018058</v>
      </c>
      <c r="BT167">
        <f t="shared" si="39"/>
        <v>20.247363510911395</v>
      </c>
      <c r="BU167">
        <f t="shared" si="39"/>
        <v>20.757040972116123</v>
      </c>
      <c r="BV167">
        <f t="shared" si="39"/>
        <v>21.267142508655542</v>
      </c>
      <c r="BW167">
        <f t="shared" si="39"/>
        <v>21.777444153362925</v>
      </c>
      <c r="BX167">
        <f t="shared" si="39"/>
        <v>22.287724745337115</v>
      </c>
      <c r="BY167">
        <f t="shared" si="39"/>
        <v>22.797765986309386</v>
      </c>
      <c r="BZ167">
        <f t="shared" si="39"/>
        <v>23.307352495085308</v>
      </c>
      <c r="CA167">
        <f t="shared" si="39"/>
        <v>23.816271860063658</v>
      </c>
      <c r="CB167">
        <f t="shared" si="39"/>
        <v>24.324314689835223</v>
      </c>
      <c r="CC167">
        <f t="shared" si="39"/>
        <v>24.831274661865042</v>
      </c>
      <c r="CD167">
        <f t="shared" ref="CD167:DI167" si="40">CC167 + $D225 * ((CC165 -CC166) / $D224)</f>
        <v>25.336948569262471</v>
      </c>
      <c r="CE167">
        <f t="shared" si="40"/>
        <v>25.841136365644136</v>
      </c>
      <c r="CF167">
        <f t="shared" si="40"/>
        <v>26.343641208095576</v>
      </c>
      <c r="CG167">
        <f t="shared" si="40"/>
        <v>26.844269498238159</v>
      </c>
      <c r="CH167">
        <f t="shared" si="40"/>
        <v>27.342830921408495</v>
      </c>
      <c r="CI167">
        <f t="shared" si="40"/>
        <v>27.839138483958276</v>
      </c>
      <c r="CJ167">
        <f t="shared" si="40"/>
        <v>28.333008548683203</v>
      </c>
      <c r="CK167">
        <f t="shared" si="40"/>
        <v>28.824260868390294</v>
      </c>
      <c r="CL167">
        <f t="shared" si="40"/>
        <v>29.312718617613502</v>
      </c>
      <c r="CM167">
        <f t="shared" si="40"/>
        <v>29.798208422488308</v>
      </c>
      <c r="CN167">
        <f t="shared" si="40"/>
        <v>30.280560388796466</v>
      </c>
      <c r="CO167">
        <f t="shared" si="40"/>
        <v>30.759608128192806</v>
      </c>
      <c r="CP167">
        <f t="shared" si="40"/>
        <v>31.235188782626555</v>
      </c>
      <c r="CQ167">
        <f t="shared" si="40"/>
        <v>31.70714304697022</v>
      </c>
      <c r="CR167">
        <f t="shared" si="40"/>
        <v>32.175315189869707</v>
      </c>
      <c r="CS167">
        <f t="shared" si="40"/>
        <v>32.639553072829862</v>
      </c>
      <c r="CT167">
        <f t="shared" si="40"/>
        <v>33.099708167550233</v>
      </c>
      <c r="CU167">
        <f t="shared" si="40"/>
        <v>33.555635571526338</v>
      </c>
      <c r="CV167">
        <f t="shared" si="40"/>
        <v>34.007194021932293</v>
      </c>
      <c r="CW167">
        <f t="shared" si="40"/>
        <v>34.454245907801152</v>
      </c>
      <c r="CX167">
        <f t="shared" si="40"/>
        <v>34.896657280519811</v>
      </c>
      <c r="CY167">
        <f t="shared" si="40"/>
        <v>35.334297862655838</v>
      </c>
      <c r="CZ167">
        <f t="shared" si="40"/>
        <v>35.767041055133994</v>
      </c>
      <c r="DA167">
        <f t="shared" si="40"/>
        <v>36.194763942780803</v>
      </c>
      <c r="DB167">
        <f t="shared" si="40"/>
        <v>36.617347298255858</v>
      </c>
      <c r="DC167">
        <f t="shared" si="40"/>
        <v>37.034675584388978</v>
      </c>
      <c r="DD167">
        <f t="shared" si="40"/>
        <v>37.446636954942896</v>
      </c>
      <c r="DE167">
        <f t="shared" si="40"/>
        <v>37.853123253821373</v>
      </c>
      <c r="DF167">
        <f t="shared" si="40"/>
        <v>38.254030012743172</v>
      </c>
      <c r="DG167">
        <f t="shared" si="40"/>
        <v>38.649256447402628</v>
      </c>
      <c r="DH167">
        <f t="shared" si="40"/>
        <v>39.038705452137947</v>
      </c>
      <c r="DI167">
        <f t="shared" si="40"/>
        <v>39.422283593128689</v>
      </c>
      <c r="DJ167">
        <f t="shared" ref="DJ167:EO167" si="41">DI167 + $D225 * ((DI165 -DI166) / $D224)</f>
        <v>39.783907930859556</v>
      </c>
      <c r="DK167">
        <f t="shared" si="41"/>
        <v>40.123710412490361</v>
      </c>
      <c r="DL167">
        <f t="shared" si="41"/>
        <v>40.441830416180366</v>
      </c>
      <c r="DM167">
        <f t="shared" si="41"/>
        <v>40.738414596922325</v>
      </c>
      <c r="DN167">
        <f t="shared" si="41"/>
        <v>41.013616731319303</v>
      </c>
      <c r="DO167">
        <f t="shared" si="41"/>
        <v>41.267597561382871</v>
      </c>
      <c r="DP167">
        <f t="shared" si="41"/>
        <v>41.500524637430622</v>
      </c>
      <c r="DQ167">
        <f t="shared" si="41"/>
        <v>41.712572160160455</v>
      </c>
      <c r="DR167">
        <f t="shared" si="41"/>
        <v>41.903920821978275</v>
      </c>
      <c r="DS167">
        <f t="shared" si="41"/>
        <v>42.074757647655154</v>
      </c>
      <c r="DT167">
        <f t="shared" si="41"/>
        <v>42.225275834389301</v>
      </c>
      <c r="DU167">
        <f t="shared" si="41"/>
        <v>42.355674591347459</v>
      </c>
      <c r="DV167">
        <f t="shared" si="41"/>
        <v>42.46615897875958</v>
      </c>
      <c r="DW167">
        <f t="shared" si="41"/>
        <v>42.55693974663987</v>
      </c>
      <c r="DX167">
        <f t="shared" si="41"/>
        <v>42.628233173206553</v>
      </c>
      <c r="DY167">
        <f t="shared" si="41"/>
        <v>42.680260903071854</v>
      </c>
      <c r="DZ167">
        <f t="shared" si="41"/>
        <v>42.713249785272836</v>
      </c>
      <c r="EA167">
        <f t="shared" si="41"/>
        <v>42.727431711213015</v>
      </c>
      <c r="EB167">
        <f t="shared" si="41"/>
        <v>42.723043452583653</v>
      </c>
      <c r="EC167">
        <f t="shared" si="41"/>
        <v>42.700326499332846</v>
      </c>
      <c r="ED167">
        <f t="shared" si="41"/>
        <v>42.659526897749629</v>
      </c>
      <c r="EE167">
        <f t="shared" si="41"/>
        <v>42.600895088729352</v>
      </c>
      <c r="EF167">
        <f t="shared" si="41"/>
        <v>42.524685746285662</v>
      </c>
      <c r="EG167">
        <f t="shared" si="41"/>
        <v>42.43115761637354</v>
      </c>
      <c r="EH167">
        <f t="shared" si="41"/>
        <v>42.320573356086797</v>
      </c>
      <c r="EI167">
        <f t="shared" si="41"/>
        <v>42.193199373292508</v>
      </c>
      <c r="EJ167">
        <f t="shared" si="41"/>
        <v>42.049305666763892</v>
      </c>
      <c r="EK167">
        <f t="shared" si="41"/>
        <v>41.88916566687206</v>
      </c>
      <c r="EL167">
        <f t="shared" si="41"/>
        <v>41.713056076896152</v>
      </c>
      <c r="EM167">
        <f t="shared" si="41"/>
        <v>41.52125671501026</v>
      </c>
      <c r="EN167">
        <f t="shared" si="41"/>
        <v>41.314050357004589</v>
      </c>
      <c r="EO167">
        <f t="shared" si="41"/>
        <v>41.091722579797128</v>
      </c>
      <c r="EP167">
        <f t="shared" ref="EP167:FU167" si="42">EO167 + $D225 * ((EO165 -EO166) / $D224)</f>
        <v>40.854561605791218</v>
      </c>
      <c r="EQ167">
        <f t="shared" si="42"/>
        <v>40.602858148133201</v>
      </c>
      <c r="ER167">
        <f t="shared" si="42"/>
        <v>40.336905256923281</v>
      </c>
      <c r="ES167">
        <f t="shared" si="42"/>
        <v>40.056998166431732</v>
      </c>
      <c r="ET167">
        <f t="shared" si="42"/>
        <v>39.763434143371377</v>
      </c>
      <c r="EU167">
        <f t="shared" si="42"/>
        <v>39.456512336276212</v>
      </c>
      <c r="EV167">
        <f t="shared" si="42"/>
        <v>39.136533626034996</v>
      </c>
      <c r="EW167">
        <f t="shared" si="42"/>
        <v>38.803800477627419</v>
      </c>
      <c r="EX167">
        <f t="shared" si="42"/>
        <v>38.4586167931094</v>
      </c>
      <c r="EY167">
        <f t="shared" si="42"/>
        <v>38.101287765892941</v>
      </c>
      <c r="EZ167">
        <f t="shared" si="42"/>
        <v>37.732119736364844</v>
      </c>
      <c r="FA167">
        <f t="shared" si="42"/>
        <v>37.351420048887377</v>
      </c>
      <c r="FB167">
        <f t="shared" si="42"/>
        <v>36.959496910223038</v>
      </c>
      <c r="FC167">
        <f t="shared" si="42"/>
        <v>36.556659249424165</v>
      </c>
      <c r="FD167">
        <f t="shared" si="42"/>
        <v>36.143216579227243</v>
      </c>
      <c r="FE167">
        <f t="shared" si="42"/>
        <v>35.719478858990449</v>
      </c>
      <c r="FF167">
        <f t="shared" si="42"/>
        <v>35.285756359211945</v>
      </c>
      <c r="FG167">
        <f t="shared" si="42"/>
        <v>34.842359527665167</v>
      </c>
      <c r="FH167">
        <f t="shared" si="42"/>
        <v>34.38959885718635</v>
      </c>
      <c r="FI167">
        <f t="shared" si="42"/>
        <v>33.927784755148274</v>
      </c>
      <c r="FJ167">
        <f t="shared" si="42"/>
        <v>33.457227414653119</v>
      </c>
      <c r="FK167">
        <f t="shared" si="42"/>
        <v>32.978236687476141</v>
      </c>
      <c r="FL167">
        <f t="shared" si="42"/>
        <v>32.491121958790849</v>
      </c>
      <c r="FM167">
        <f t="shared" si="42"/>
        <v>31.996192023705024</v>
      </c>
      <c r="FN167">
        <f t="shared" si="42"/>
        <v>31.493754965635961</v>
      </c>
      <c r="FO167">
        <f t="shared" si="42"/>
        <v>30.984118036552125</v>
      </c>
      <c r="FP167">
        <f t="shared" si="42"/>
        <v>30.467587539107235</v>
      </c>
      <c r="FQ167">
        <f t="shared" si="42"/>
        <v>29.944468710691726</v>
      </c>
      <c r="FR167">
        <f t="shared" si="42"/>
        <v>29.415065609425366</v>
      </c>
      <c r="FS167">
        <f t="shared" si="42"/>
        <v>28.879681002113717</v>
      </c>
      <c r="FT167">
        <f t="shared" si="42"/>
        <v>28.338616254190018</v>
      </c>
      <c r="FU167">
        <f t="shared" si="42"/>
        <v>27.792171221662926</v>
      </c>
      <c r="FV167">
        <f t="shared" ref="FV167:GQ167" si="43">FU167 + $D225 * ((FU165 -FU166) / $D224)</f>
        <v>27.240644145089469</v>
      </c>
      <c r="FW167">
        <f t="shared" si="43"/>
        <v>26.68433154559148</v>
      </c>
      <c r="FX167">
        <f t="shared" si="43"/>
        <v>26.123528122932665</v>
      </c>
      <c r="FY167">
        <f t="shared" si="43"/>
        <v>25.558526655672388</v>
      </c>
      <c r="FZ167">
        <f t="shared" si="43"/>
        <v>24.989617903411183</v>
      </c>
      <c r="GA167">
        <f t="shared" si="43"/>
        <v>24.417090511141918</v>
      </c>
      <c r="GB167">
        <f t="shared" si="43"/>
        <v>23.841230915719496</v>
      </c>
      <c r="GC167">
        <f t="shared" si="43"/>
        <v>23.262323254460906</v>
      </c>
      <c r="GD167">
        <f t="shared" si="43"/>
        <v>22.680649275886413</v>
      </c>
      <c r="GE167">
        <f t="shared" si="43"/>
        <v>22.096488252611614</v>
      </c>
      <c r="GF167">
        <f t="shared" si="43"/>
        <v>21.51011689639909</v>
      </c>
      <c r="GG167">
        <f t="shared" si="43"/>
        <v>20.921809275377349</v>
      </c>
      <c r="GH167">
        <f t="shared" si="43"/>
        <v>20.331836733433757</v>
      </c>
      <c r="GI167">
        <f t="shared" si="43"/>
        <v>19.740467811787152</v>
      </c>
      <c r="GJ167">
        <f t="shared" si="43"/>
        <v>19.147968172744847</v>
      </c>
      <c r="GK167">
        <f t="shared" si="43"/>
        <v>18.554600525647786</v>
      </c>
      <c r="GL167">
        <f t="shared" si="43"/>
        <v>17.960624555006589</v>
      </c>
      <c r="GM167">
        <f t="shared" si="43"/>
        <v>17.366296850830331</v>
      </c>
      <c r="GN167">
        <f t="shared" si="43"/>
        <v>16.771870841148939</v>
      </c>
      <c r="GO167">
        <f t="shared" si="43"/>
        <v>16.177596726729124</v>
      </c>
      <c r="GP167">
        <f t="shared" si="43"/>
        <v>15.583721417982931</v>
      </c>
      <c r="GQ167">
        <f t="shared" si="43"/>
        <v>14.990488474066984</v>
      </c>
    </row>
    <row r="168" spans="1:199" x14ac:dyDescent="0.25">
      <c r="A168" s="65"/>
      <c r="C168" t="s">
        <v>160</v>
      </c>
      <c r="D168" s="34">
        <v>0.5</v>
      </c>
      <c r="E168" t="s">
        <v>120</v>
      </c>
      <c r="Q168">
        <f>K231+1</f>
        <v>6</v>
      </c>
      <c r="R168">
        <f t="shared" ref="R168:BX168" si="44">Q168+1</f>
        <v>7</v>
      </c>
      <c r="S168">
        <f t="shared" si="44"/>
        <v>8</v>
      </c>
      <c r="T168">
        <f t="shared" si="44"/>
        <v>9</v>
      </c>
      <c r="U168">
        <f t="shared" si="44"/>
        <v>10</v>
      </c>
      <c r="V168">
        <f t="shared" si="44"/>
        <v>11</v>
      </c>
      <c r="W168">
        <f t="shared" si="44"/>
        <v>12</v>
      </c>
      <c r="X168">
        <f t="shared" si="44"/>
        <v>13</v>
      </c>
      <c r="Y168">
        <f t="shared" si="44"/>
        <v>14</v>
      </c>
      <c r="Z168">
        <f t="shared" si="44"/>
        <v>15</v>
      </c>
      <c r="AA168">
        <f t="shared" si="44"/>
        <v>16</v>
      </c>
      <c r="AB168">
        <f t="shared" si="44"/>
        <v>17</v>
      </c>
      <c r="AC168">
        <f t="shared" si="44"/>
        <v>18</v>
      </c>
      <c r="AD168">
        <f t="shared" si="44"/>
        <v>19</v>
      </c>
      <c r="AE168">
        <f t="shared" si="44"/>
        <v>20</v>
      </c>
      <c r="AF168">
        <f t="shared" si="44"/>
        <v>21</v>
      </c>
      <c r="AG168">
        <f t="shared" si="44"/>
        <v>22</v>
      </c>
      <c r="AH168">
        <f t="shared" si="44"/>
        <v>23</v>
      </c>
      <c r="AI168">
        <f t="shared" si="44"/>
        <v>24</v>
      </c>
      <c r="AJ168">
        <f t="shared" si="44"/>
        <v>25</v>
      </c>
      <c r="AK168">
        <f t="shared" si="44"/>
        <v>26</v>
      </c>
      <c r="AL168">
        <f t="shared" si="44"/>
        <v>27</v>
      </c>
      <c r="AM168">
        <f t="shared" si="44"/>
        <v>28</v>
      </c>
      <c r="AN168">
        <f t="shared" si="44"/>
        <v>29</v>
      </c>
      <c r="AO168">
        <f t="shared" si="44"/>
        <v>30</v>
      </c>
      <c r="AP168">
        <f t="shared" si="44"/>
        <v>31</v>
      </c>
      <c r="AQ168">
        <f t="shared" si="44"/>
        <v>32</v>
      </c>
      <c r="AR168">
        <f t="shared" si="44"/>
        <v>33</v>
      </c>
      <c r="AS168">
        <f t="shared" si="44"/>
        <v>34</v>
      </c>
      <c r="AT168">
        <f t="shared" si="44"/>
        <v>35</v>
      </c>
      <c r="AU168">
        <f t="shared" si="44"/>
        <v>36</v>
      </c>
      <c r="AV168">
        <f t="shared" si="44"/>
        <v>37</v>
      </c>
      <c r="AW168">
        <f t="shared" si="44"/>
        <v>38</v>
      </c>
      <c r="AX168">
        <f t="shared" si="44"/>
        <v>39</v>
      </c>
      <c r="AY168">
        <f t="shared" si="44"/>
        <v>40</v>
      </c>
      <c r="AZ168">
        <f t="shared" si="44"/>
        <v>41</v>
      </c>
      <c r="BA168">
        <f t="shared" si="44"/>
        <v>42</v>
      </c>
      <c r="BB168">
        <f t="shared" si="44"/>
        <v>43</v>
      </c>
      <c r="BC168">
        <f t="shared" si="44"/>
        <v>44</v>
      </c>
      <c r="BD168">
        <f t="shared" si="44"/>
        <v>45</v>
      </c>
      <c r="BE168">
        <f t="shared" si="44"/>
        <v>46</v>
      </c>
      <c r="BF168">
        <f t="shared" si="44"/>
        <v>47</v>
      </c>
      <c r="BG168">
        <f t="shared" si="44"/>
        <v>48</v>
      </c>
      <c r="BH168">
        <f t="shared" si="44"/>
        <v>49</v>
      </c>
      <c r="BI168">
        <f t="shared" si="44"/>
        <v>50</v>
      </c>
      <c r="BJ168">
        <f t="shared" si="44"/>
        <v>51</v>
      </c>
      <c r="BK168">
        <f t="shared" si="44"/>
        <v>52</v>
      </c>
      <c r="BL168">
        <f t="shared" si="44"/>
        <v>53</v>
      </c>
      <c r="BM168">
        <f t="shared" si="44"/>
        <v>54</v>
      </c>
      <c r="BN168">
        <f t="shared" si="44"/>
        <v>55</v>
      </c>
      <c r="BO168">
        <f t="shared" si="44"/>
        <v>56</v>
      </c>
      <c r="BP168">
        <f t="shared" si="44"/>
        <v>57</v>
      </c>
      <c r="BQ168">
        <f t="shared" si="44"/>
        <v>58</v>
      </c>
      <c r="BR168">
        <f>BQ168+1</f>
        <v>59</v>
      </c>
      <c r="BS168">
        <f t="shared" si="44"/>
        <v>60</v>
      </c>
      <c r="BT168">
        <f t="shared" si="44"/>
        <v>61</v>
      </c>
      <c r="BU168">
        <f t="shared" si="44"/>
        <v>62</v>
      </c>
      <c r="BV168">
        <f t="shared" si="44"/>
        <v>63</v>
      </c>
      <c r="BW168">
        <f t="shared" si="44"/>
        <v>64</v>
      </c>
      <c r="BX168">
        <f t="shared" si="44"/>
        <v>65</v>
      </c>
      <c r="BY168">
        <f t="shared" ref="BY168:CU168" si="45">BX168+1</f>
        <v>66</v>
      </c>
      <c r="BZ168">
        <f t="shared" si="45"/>
        <v>67</v>
      </c>
      <c r="CA168">
        <f t="shared" si="45"/>
        <v>68</v>
      </c>
      <c r="CB168">
        <f t="shared" si="45"/>
        <v>69</v>
      </c>
      <c r="CC168">
        <f t="shared" si="45"/>
        <v>70</v>
      </c>
      <c r="CD168">
        <f t="shared" si="45"/>
        <v>71</v>
      </c>
      <c r="CE168">
        <f t="shared" si="45"/>
        <v>72</v>
      </c>
      <c r="CF168">
        <f t="shared" si="45"/>
        <v>73</v>
      </c>
      <c r="CG168">
        <f t="shared" si="45"/>
        <v>74</v>
      </c>
      <c r="CH168">
        <f t="shared" si="45"/>
        <v>75</v>
      </c>
      <c r="CI168">
        <f t="shared" si="45"/>
        <v>76</v>
      </c>
      <c r="CJ168">
        <f t="shared" si="45"/>
        <v>77</v>
      </c>
      <c r="CK168">
        <f t="shared" si="45"/>
        <v>78</v>
      </c>
      <c r="CL168">
        <f t="shared" si="45"/>
        <v>79</v>
      </c>
      <c r="CM168">
        <f t="shared" si="45"/>
        <v>80</v>
      </c>
      <c r="CN168">
        <f t="shared" si="45"/>
        <v>81</v>
      </c>
      <c r="CO168">
        <f t="shared" si="45"/>
        <v>82</v>
      </c>
      <c r="CP168">
        <f t="shared" si="45"/>
        <v>83</v>
      </c>
      <c r="CQ168">
        <f t="shared" si="45"/>
        <v>84</v>
      </c>
      <c r="CR168">
        <f t="shared" si="45"/>
        <v>85</v>
      </c>
      <c r="CS168">
        <f t="shared" si="45"/>
        <v>86</v>
      </c>
      <c r="CT168">
        <f t="shared" si="45"/>
        <v>87</v>
      </c>
      <c r="CU168">
        <f t="shared" si="45"/>
        <v>88</v>
      </c>
      <c r="CV168">
        <f>CU168+1</f>
        <v>89</v>
      </c>
      <c r="CW168">
        <f t="shared" ref="CW168:FH168" si="46">CV168+1</f>
        <v>90</v>
      </c>
      <c r="CX168">
        <f t="shared" si="46"/>
        <v>91</v>
      </c>
      <c r="CY168">
        <f t="shared" si="46"/>
        <v>92</v>
      </c>
      <c r="CZ168">
        <f t="shared" si="46"/>
        <v>93</v>
      </c>
      <c r="DA168">
        <f t="shared" si="46"/>
        <v>94</v>
      </c>
      <c r="DB168">
        <f t="shared" si="46"/>
        <v>95</v>
      </c>
      <c r="DC168">
        <f t="shared" si="46"/>
        <v>96</v>
      </c>
      <c r="DD168">
        <f t="shared" si="46"/>
        <v>97</v>
      </c>
      <c r="DE168">
        <f t="shared" si="46"/>
        <v>98</v>
      </c>
      <c r="DF168">
        <f t="shared" si="46"/>
        <v>99</v>
      </c>
      <c r="DG168">
        <f t="shared" si="46"/>
        <v>100</v>
      </c>
      <c r="DH168">
        <f t="shared" si="46"/>
        <v>101</v>
      </c>
      <c r="DI168">
        <f t="shared" si="46"/>
        <v>102</v>
      </c>
      <c r="DJ168">
        <f t="shared" si="46"/>
        <v>103</v>
      </c>
      <c r="DK168">
        <f t="shared" si="46"/>
        <v>104</v>
      </c>
      <c r="DL168">
        <f t="shared" si="46"/>
        <v>105</v>
      </c>
      <c r="DM168">
        <f t="shared" si="46"/>
        <v>106</v>
      </c>
      <c r="DN168">
        <f t="shared" si="46"/>
        <v>107</v>
      </c>
      <c r="DO168">
        <f t="shared" si="46"/>
        <v>108</v>
      </c>
      <c r="DP168">
        <f t="shared" si="46"/>
        <v>109</v>
      </c>
      <c r="DQ168">
        <f t="shared" si="46"/>
        <v>110</v>
      </c>
      <c r="DR168">
        <f t="shared" si="46"/>
        <v>111</v>
      </c>
      <c r="DS168">
        <f t="shared" si="46"/>
        <v>112</v>
      </c>
      <c r="DT168">
        <f t="shared" si="46"/>
        <v>113</v>
      </c>
      <c r="DU168">
        <f t="shared" si="46"/>
        <v>114</v>
      </c>
      <c r="DV168">
        <f t="shared" si="46"/>
        <v>115</v>
      </c>
      <c r="DW168">
        <f t="shared" si="46"/>
        <v>116</v>
      </c>
      <c r="DX168">
        <f t="shared" si="46"/>
        <v>117</v>
      </c>
      <c r="DY168">
        <f t="shared" si="46"/>
        <v>118</v>
      </c>
      <c r="DZ168">
        <f t="shared" si="46"/>
        <v>119</v>
      </c>
      <c r="EA168">
        <f t="shared" si="46"/>
        <v>120</v>
      </c>
      <c r="EB168">
        <f t="shared" si="46"/>
        <v>121</v>
      </c>
      <c r="EC168">
        <f t="shared" si="46"/>
        <v>122</v>
      </c>
      <c r="ED168">
        <f t="shared" si="46"/>
        <v>123</v>
      </c>
      <c r="EE168">
        <f t="shared" si="46"/>
        <v>124</v>
      </c>
      <c r="EF168">
        <f t="shared" si="46"/>
        <v>125</v>
      </c>
      <c r="EG168">
        <f t="shared" si="46"/>
        <v>126</v>
      </c>
      <c r="EH168">
        <f t="shared" si="46"/>
        <v>127</v>
      </c>
      <c r="EI168">
        <f t="shared" si="46"/>
        <v>128</v>
      </c>
      <c r="EJ168">
        <f t="shared" si="46"/>
        <v>129</v>
      </c>
      <c r="EK168">
        <f t="shared" si="46"/>
        <v>130</v>
      </c>
      <c r="EL168">
        <f t="shared" si="46"/>
        <v>131</v>
      </c>
      <c r="EM168">
        <f t="shared" si="46"/>
        <v>132</v>
      </c>
      <c r="EN168">
        <f t="shared" si="46"/>
        <v>133</v>
      </c>
      <c r="EO168">
        <f t="shared" si="46"/>
        <v>134</v>
      </c>
      <c r="EP168">
        <f t="shared" si="46"/>
        <v>135</v>
      </c>
      <c r="EQ168">
        <f t="shared" si="46"/>
        <v>136</v>
      </c>
      <c r="ER168">
        <f t="shared" si="46"/>
        <v>137</v>
      </c>
      <c r="ES168">
        <f t="shared" si="46"/>
        <v>138</v>
      </c>
      <c r="ET168">
        <f t="shared" si="46"/>
        <v>139</v>
      </c>
      <c r="EU168">
        <f t="shared" si="46"/>
        <v>140</v>
      </c>
      <c r="EV168">
        <f t="shared" si="46"/>
        <v>141</v>
      </c>
      <c r="EW168">
        <f t="shared" si="46"/>
        <v>142</v>
      </c>
      <c r="EX168">
        <f t="shared" si="46"/>
        <v>143</v>
      </c>
      <c r="EY168">
        <f t="shared" si="46"/>
        <v>144</v>
      </c>
      <c r="EZ168">
        <f t="shared" si="46"/>
        <v>145</v>
      </c>
      <c r="FA168">
        <f t="shared" si="46"/>
        <v>146</v>
      </c>
      <c r="FB168">
        <f t="shared" si="46"/>
        <v>147</v>
      </c>
      <c r="FC168">
        <f t="shared" si="46"/>
        <v>148</v>
      </c>
      <c r="FD168">
        <f t="shared" si="46"/>
        <v>149</v>
      </c>
      <c r="FE168">
        <f t="shared" si="46"/>
        <v>150</v>
      </c>
      <c r="FF168">
        <f t="shared" si="46"/>
        <v>151</v>
      </c>
      <c r="FG168">
        <f t="shared" si="46"/>
        <v>152</v>
      </c>
      <c r="FH168">
        <f t="shared" si="46"/>
        <v>153</v>
      </c>
      <c r="FI168">
        <f t="shared" ref="FI168:GQ168" si="47">FH168+1</f>
        <v>154</v>
      </c>
      <c r="FJ168">
        <f t="shared" si="47"/>
        <v>155</v>
      </c>
      <c r="FK168">
        <f t="shared" si="47"/>
        <v>156</v>
      </c>
      <c r="FL168">
        <f t="shared" si="47"/>
        <v>157</v>
      </c>
      <c r="FM168">
        <f t="shared" si="47"/>
        <v>158</v>
      </c>
      <c r="FN168">
        <f t="shared" si="47"/>
        <v>159</v>
      </c>
      <c r="FO168">
        <f t="shared" si="47"/>
        <v>160</v>
      </c>
      <c r="FP168">
        <f t="shared" si="47"/>
        <v>161</v>
      </c>
      <c r="FQ168">
        <f t="shared" si="47"/>
        <v>162</v>
      </c>
      <c r="FR168">
        <f t="shared" si="47"/>
        <v>163</v>
      </c>
      <c r="FS168">
        <f t="shared" si="47"/>
        <v>164</v>
      </c>
      <c r="FT168">
        <f t="shared" si="47"/>
        <v>165</v>
      </c>
      <c r="FU168">
        <f t="shared" si="47"/>
        <v>166</v>
      </c>
      <c r="FV168">
        <f t="shared" si="47"/>
        <v>167</v>
      </c>
      <c r="FW168">
        <f t="shared" si="47"/>
        <v>168</v>
      </c>
      <c r="FX168">
        <f t="shared" si="47"/>
        <v>169</v>
      </c>
      <c r="FY168">
        <f t="shared" si="47"/>
        <v>170</v>
      </c>
      <c r="FZ168">
        <f t="shared" si="47"/>
        <v>171</v>
      </c>
      <c r="GA168">
        <f t="shared" si="47"/>
        <v>172</v>
      </c>
      <c r="GB168">
        <f t="shared" si="47"/>
        <v>173</v>
      </c>
      <c r="GC168">
        <f t="shared" si="47"/>
        <v>174</v>
      </c>
      <c r="GD168">
        <f t="shared" si="47"/>
        <v>175</v>
      </c>
      <c r="GE168">
        <f t="shared" si="47"/>
        <v>176</v>
      </c>
      <c r="GF168">
        <f t="shared" si="47"/>
        <v>177</v>
      </c>
      <c r="GG168">
        <f t="shared" si="47"/>
        <v>178</v>
      </c>
      <c r="GH168">
        <f t="shared" si="47"/>
        <v>179</v>
      </c>
      <c r="GI168">
        <f t="shared" si="47"/>
        <v>180</v>
      </c>
      <c r="GJ168">
        <f t="shared" si="47"/>
        <v>181</v>
      </c>
      <c r="GK168">
        <f t="shared" si="47"/>
        <v>182</v>
      </c>
      <c r="GL168">
        <f t="shared" si="47"/>
        <v>183</v>
      </c>
      <c r="GM168">
        <f t="shared" si="47"/>
        <v>184</v>
      </c>
      <c r="GN168">
        <f t="shared" si="47"/>
        <v>185</v>
      </c>
      <c r="GO168">
        <f t="shared" si="47"/>
        <v>186</v>
      </c>
      <c r="GP168">
        <f t="shared" si="47"/>
        <v>187</v>
      </c>
      <c r="GQ168">
        <f t="shared" si="47"/>
        <v>188</v>
      </c>
    </row>
    <row r="169" spans="1:199" x14ac:dyDescent="0.25">
      <c r="A169" s="65"/>
      <c r="C169" t="s">
        <v>169</v>
      </c>
      <c r="D169" s="18">
        <f>D168/2000</f>
        <v>2.5000000000000001E-4</v>
      </c>
      <c r="E169" t="s">
        <v>192</v>
      </c>
      <c r="Q169">
        <f t="shared" ref="Q169:AV169" si="48">Q167*$D214</f>
        <v>2.0015825248788399</v>
      </c>
      <c r="R169">
        <f t="shared" si="48"/>
        <v>2.7888051269658729</v>
      </c>
      <c r="S169">
        <f t="shared" si="48"/>
        <v>3.7003894868367224</v>
      </c>
      <c r="T169">
        <f t="shared" si="48"/>
        <v>4.734306876935527</v>
      </c>
      <c r="U169">
        <f t="shared" si="48"/>
        <v>5.8885035493237279</v>
      </c>
      <c r="V169">
        <f t="shared" si="48"/>
        <v>7.1609019178720574</v>
      </c>
      <c r="W169">
        <f t="shared" si="48"/>
        <v>8.5494017351828795</v>
      </c>
      <c r="X169">
        <f t="shared" si="48"/>
        <v>10.051881263818277</v>
      </c>
      <c r="Y169">
        <f t="shared" si="48"/>
        <v>11.666198441417155</v>
      </c>
      <c r="Z169">
        <f t="shared" si="48"/>
        <v>13.390192039292563</v>
      </c>
      <c r="AA169">
        <f t="shared" si="48"/>
        <v>15.221682814108409</v>
      </c>
      <c r="AB169">
        <f t="shared" si="48"/>
        <v>17.158474652242848</v>
      </c>
      <c r="AC169">
        <f t="shared" si="48"/>
        <v>19.198355706453714</v>
      </c>
      <c r="AD169">
        <f t="shared" si="48"/>
        <v>21.339099524469596</v>
      </c>
      <c r="AE169">
        <f t="shared" si="48"/>
        <v>23.578466169138306</v>
      </c>
      <c r="AF169">
        <f t="shared" si="48"/>
        <v>25.914203329772885</v>
      </c>
      <c r="AG169">
        <f t="shared" si="48"/>
        <v>28.344047424343501</v>
      </c>
      <c r="AH169">
        <f t="shared" si="48"/>
        <v>30.865724692172066</v>
      </c>
      <c r="AI169">
        <f t="shared" si="48"/>
        <v>33.476952276794698</v>
      </c>
      <c r="AJ169">
        <f t="shared" si="48"/>
        <v>36.175439298665694</v>
      </c>
      <c r="AK169">
        <f t="shared" si="48"/>
        <v>38.958887917384992</v>
      </c>
      <c r="AL169">
        <f t="shared" si="48"/>
        <v>41.824994383139838</v>
      </c>
      <c r="AM169">
        <f t="shared" si="48"/>
        <v>44.771450077059498</v>
      </c>
      <c r="AN169">
        <f t="shared" si="48"/>
        <v>47.795942540190808</v>
      </c>
      <c r="AO169">
        <f t="shared" si="48"/>
        <v>50.896156490810561</v>
      </c>
      <c r="AP169">
        <f t="shared" si="48"/>
        <v>54.06977482979935</v>
      </c>
      <c r="AQ169">
        <f t="shared" si="48"/>
        <v>57.314479633810237</v>
      </c>
      <c r="AR169">
        <f t="shared" si="48"/>
        <v>60.62795313597379</v>
      </c>
      <c r="AS169">
        <f t="shared" si="48"/>
        <v>64.007878693889992</v>
      </c>
      <c r="AT169">
        <f t="shared" si="48"/>
        <v>67.45194174466566</v>
      </c>
      <c r="AU169">
        <f t="shared" si="48"/>
        <v>70.957830746764927</v>
      </c>
      <c r="AV169">
        <f t="shared" si="48"/>
        <v>74.523238108448595</v>
      </c>
      <c r="AW169">
        <f t="shared" ref="AW169:CB169" si="49">AW167*$D214</f>
        <v>78.145861102586693</v>
      </c>
      <c r="AX169">
        <f t="shared" si="49"/>
        <v>81.823402767637262</v>
      </c>
      <c r="AY169">
        <f t="shared" si="49"/>
        <v>85.553572794592611</v>
      </c>
      <c r="AZ169">
        <f t="shared" si="49"/>
        <v>89.334088399702793</v>
      </c>
      <c r="BA169">
        <f t="shared" si="49"/>
        <v>93.162675182794516</v>
      </c>
      <c r="BB169">
        <f t="shared" si="49"/>
        <v>97.037067971012149</v>
      </c>
      <c r="BC169">
        <f t="shared" si="49"/>
        <v>100.95501164781548</v>
      </c>
      <c r="BD169">
        <f t="shared" si="49"/>
        <v>104.91426196707762</v>
      </c>
      <c r="BE169">
        <f t="shared" si="49"/>
        <v>108.91258635213441</v>
      </c>
      <c r="BF169">
        <f t="shared" si="49"/>
        <v>112.947764679645</v>
      </c>
      <c r="BG169">
        <f t="shared" si="49"/>
        <v>117.01759004813148</v>
      </c>
      <c r="BH169">
        <f t="shared" si="49"/>
        <v>121.11986953107342</v>
      </c>
      <c r="BI169">
        <f t="shared" si="49"/>
        <v>125.25242491444135</v>
      </c>
      <c r="BJ169">
        <f t="shared" si="49"/>
        <v>129.41309341856132</v>
      </c>
      <c r="BK169">
        <f t="shared" si="49"/>
        <v>133.59972840421031</v>
      </c>
      <c r="BL169">
        <f t="shared" si="49"/>
        <v>137.81020006285047</v>
      </c>
      <c r="BM169">
        <f t="shared" si="49"/>
        <v>142.042396090918</v>
      </c>
      <c r="BN169">
        <f t="shared" si="49"/>
        <v>146.29422234808959</v>
      </c>
      <c r="BO169">
        <f t="shared" si="49"/>
        <v>150.5636034994584</v>
      </c>
      <c r="BP169">
        <f t="shared" si="49"/>
        <v>154.84848364155744</v>
      </c>
      <c r="BQ169">
        <f t="shared" si="49"/>
        <v>159.14682691217752</v>
      </c>
      <c r="BR169">
        <f t="shared" si="49"/>
        <v>163.45661808393265</v>
      </c>
      <c r="BS169">
        <f t="shared" si="49"/>
        <v>167.77586314153493</v>
      </c>
      <c r="BT169">
        <f t="shared" si="49"/>
        <v>172.10258984274685</v>
      </c>
      <c r="BU169">
        <f t="shared" si="49"/>
        <v>176.43484826298703</v>
      </c>
      <c r="BV169">
        <f t="shared" si="49"/>
        <v>180.7707113235721</v>
      </c>
      <c r="BW169">
        <f t="shared" si="49"/>
        <v>185.10827530358486</v>
      </c>
      <c r="BX169">
        <f t="shared" si="49"/>
        <v>189.44566033536549</v>
      </c>
      <c r="BY169">
        <f t="shared" si="49"/>
        <v>193.78101088362979</v>
      </c>
      <c r="BZ169">
        <f t="shared" si="49"/>
        <v>198.11249620822511</v>
      </c>
      <c r="CA169">
        <f t="shared" si="49"/>
        <v>202.43831081054108</v>
      </c>
      <c r="CB169">
        <f t="shared" si="49"/>
        <v>206.75667486359939</v>
      </c>
      <c r="CC169">
        <f t="shared" ref="CC169:DH169" si="50">CC167*$D214</f>
        <v>211.06583462585286</v>
      </c>
      <c r="CD169">
        <f t="shared" si="50"/>
        <v>215.364062838731</v>
      </c>
      <c r="CE169">
        <f t="shared" si="50"/>
        <v>219.64965910797517</v>
      </c>
      <c r="CF169">
        <f t="shared" si="50"/>
        <v>223.92095026881239</v>
      </c>
      <c r="CG169">
        <f t="shared" si="50"/>
        <v>228.17629073502434</v>
      </c>
      <c r="CH169">
        <f t="shared" si="50"/>
        <v>232.41406283197222</v>
      </c>
      <c r="CI169">
        <f t="shared" si="50"/>
        <v>236.63267711364534</v>
      </c>
      <c r="CJ169">
        <f t="shared" si="50"/>
        <v>240.83057266380723</v>
      </c>
      <c r="CK169">
        <f t="shared" si="50"/>
        <v>245.0062173813175</v>
      </c>
      <c r="CL169">
        <f t="shared" si="50"/>
        <v>249.15810824971476</v>
      </c>
      <c r="CM169">
        <f t="shared" si="50"/>
        <v>253.28477159115062</v>
      </c>
      <c r="CN169">
        <f t="shared" si="50"/>
        <v>257.38476330476999</v>
      </c>
      <c r="CO169">
        <f t="shared" si="50"/>
        <v>261.45666908963886</v>
      </c>
      <c r="CP169">
        <f t="shared" si="50"/>
        <v>265.49910465232574</v>
      </c>
      <c r="CQ169">
        <f t="shared" si="50"/>
        <v>269.51071589924686</v>
      </c>
      <c r="CR169">
        <f t="shared" si="50"/>
        <v>273.49017911389251</v>
      </c>
      <c r="CS169">
        <f t="shared" si="50"/>
        <v>277.43620111905381</v>
      </c>
      <c r="CT169">
        <f t="shared" si="50"/>
        <v>281.34751942417699</v>
      </c>
      <c r="CU169">
        <f t="shared" si="50"/>
        <v>285.22290235797385</v>
      </c>
      <c r="CV169">
        <f t="shared" si="50"/>
        <v>289.06114918642447</v>
      </c>
      <c r="CW169">
        <f t="shared" si="50"/>
        <v>292.86109021630978</v>
      </c>
      <c r="CX169">
        <f t="shared" si="50"/>
        <v>296.62158688441838</v>
      </c>
      <c r="CY169">
        <f t="shared" si="50"/>
        <v>300.34153183257462</v>
      </c>
      <c r="CZ169">
        <f t="shared" si="50"/>
        <v>304.01984896863894</v>
      </c>
      <c r="DA169">
        <f t="shared" si="50"/>
        <v>307.65549351363683</v>
      </c>
      <c r="DB169">
        <f t="shared" si="50"/>
        <v>311.24745203517477</v>
      </c>
      <c r="DC169">
        <f t="shared" si="50"/>
        <v>314.79474246730632</v>
      </c>
      <c r="DD169">
        <f t="shared" si="50"/>
        <v>318.29641411701459</v>
      </c>
      <c r="DE169">
        <f t="shared" si="50"/>
        <v>321.75154765748169</v>
      </c>
      <c r="DF169">
        <f t="shared" si="50"/>
        <v>325.15925510831698</v>
      </c>
      <c r="DG169">
        <f t="shared" si="50"/>
        <v>328.51867980292235</v>
      </c>
      <c r="DH169">
        <f t="shared" si="50"/>
        <v>331.82899634317255</v>
      </c>
      <c r="DI169">
        <f t="shared" ref="DI169:EN169" si="51">DI167*$D214</f>
        <v>335.08941054159385</v>
      </c>
      <c r="DJ169">
        <f t="shared" si="51"/>
        <v>338.16321741230621</v>
      </c>
      <c r="DK169">
        <f t="shared" si="51"/>
        <v>341.05153850616807</v>
      </c>
      <c r="DL169">
        <f t="shared" si="51"/>
        <v>343.75555853753309</v>
      </c>
      <c r="DM169">
        <f t="shared" si="51"/>
        <v>346.27652407383977</v>
      </c>
      <c r="DN169">
        <f t="shared" si="51"/>
        <v>348.61574221621407</v>
      </c>
      <c r="DO169">
        <f t="shared" si="51"/>
        <v>350.77457927175442</v>
      </c>
      <c r="DP169">
        <f t="shared" si="51"/>
        <v>352.75445941816031</v>
      </c>
      <c r="DQ169">
        <f t="shared" si="51"/>
        <v>354.55686336136387</v>
      </c>
      <c r="DR169">
        <f t="shared" si="51"/>
        <v>356.18332698681536</v>
      </c>
      <c r="DS169">
        <f t="shared" si="51"/>
        <v>357.6354400050688</v>
      </c>
      <c r="DT169">
        <f t="shared" si="51"/>
        <v>358.91484459230907</v>
      </c>
      <c r="DU169">
        <f t="shared" si="51"/>
        <v>360.02323402645339</v>
      </c>
      <c r="DV169">
        <f t="shared" si="51"/>
        <v>360.96235131945645</v>
      </c>
      <c r="DW169">
        <f t="shared" si="51"/>
        <v>361.73398784643888</v>
      </c>
      <c r="DX169">
        <f t="shared" si="51"/>
        <v>362.33998197225571</v>
      </c>
      <c r="DY169">
        <f t="shared" si="51"/>
        <v>362.78221767611075</v>
      </c>
      <c r="DZ169">
        <f t="shared" si="51"/>
        <v>363.06262317481912</v>
      </c>
      <c r="EA169">
        <f t="shared" si="51"/>
        <v>363.18316954531065</v>
      </c>
      <c r="EB169">
        <f t="shared" si="51"/>
        <v>363.14586934696104</v>
      </c>
      <c r="EC169">
        <f t="shared" si="51"/>
        <v>362.95277524432919</v>
      </c>
      <c r="ED169">
        <f t="shared" si="51"/>
        <v>362.60597863087185</v>
      </c>
      <c r="EE169">
        <f t="shared" si="51"/>
        <v>362.10760825419948</v>
      </c>
      <c r="EF169">
        <f t="shared" si="51"/>
        <v>361.45982884342811</v>
      </c>
      <c r="EG169">
        <f t="shared" si="51"/>
        <v>360.66483973917508</v>
      </c>
      <c r="EH169">
        <f t="shared" si="51"/>
        <v>359.72487352673778</v>
      </c>
      <c r="EI169">
        <f t="shared" si="51"/>
        <v>358.64219467298631</v>
      </c>
      <c r="EJ169">
        <f t="shared" si="51"/>
        <v>357.41909816749308</v>
      </c>
      <c r="EK169">
        <f t="shared" si="51"/>
        <v>356.0579081684125</v>
      </c>
      <c r="EL169">
        <f t="shared" si="51"/>
        <v>354.56097665361727</v>
      </c>
      <c r="EM169">
        <f t="shared" si="51"/>
        <v>352.93068207758722</v>
      </c>
      <c r="EN169">
        <f t="shared" si="51"/>
        <v>351.16942803453901</v>
      </c>
      <c r="EO169">
        <f t="shared" ref="EO169:FT169" si="52">EO167*$D214</f>
        <v>349.27964192827557</v>
      </c>
      <c r="EP169">
        <f t="shared" si="52"/>
        <v>347.26377364922536</v>
      </c>
      <c r="EQ169">
        <f t="shared" si="52"/>
        <v>345.12429425913223</v>
      </c>
      <c r="ER169">
        <f t="shared" si="52"/>
        <v>342.86369468384788</v>
      </c>
      <c r="ES169">
        <f t="shared" si="52"/>
        <v>340.48448441466974</v>
      </c>
      <c r="ET169">
        <f t="shared" si="52"/>
        <v>337.98919021865669</v>
      </c>
      <c r="EU169">
        <f t="shared" si="52"/>
        <v>335.3803548583478</v>
      </c>
      <c r="EV169">
        <f t="shared" si="52"/>
        <v>332.66053582129746</v>
      </c>
      <c r="EW169">
        <f t="shared" si="52"/>
        <v>329.83230405983306</v>
      </c>
      <c r="EX169">
        <f t="shared" si="52"/>
        <v>326.8982427414299</v>
      </c>
      <c r="EY169">
        <f t="shared" si="52"/>
        <v>323.86094601009</v>
      </c>
      <c r="EZ169">
        <f t="shared" si="52"/>
        <v>320.7230177591012</v>
      </c>
      <c r="FA169">
        <f t="shared" si="52"/>
        <v>317.48707041554269</v>
      </c>
      <c r="FB169">
        <f t="shared" si="52"/>
        <v>314.15572373689582</v>
      </c>
      <c r="FC169">
        <f t="shared" si="52"/>
        <v>310.73160362010537</v>
      </c>
      <c r="FD169">
        <f t="shared" si="52"/>
        <v>307.21734092343155</v>
      </c>
      <c r="FE169">
        <f t="shared" si="52"/>
        <v>303.61557030141881</v>
      </c>
      <c r="FF169">
        <f t="shared" si="52"/>
        <v>299.92892905330154</v>
      </c>
      <c r="FG169">
        <f t="shared" si="52"/>
        <v>296.16005598515392</v>
      </c>
      <c r="FH169">
        <f t="shared" si="52"/>
        <v>292.31159028608397</v>
      </c>
      <c r="FI169">
        <f t="shared" si="52"/>
        <v>288.38617041876034</v>
      </c>
      <c r="FJ169">
        <f t="shared" si="52"/>
        <v>284.38643302455148</v>
      </c>
      <c r="FK169">
        <f t="shared" si="52"/>
        <v>280.31501184354721</v>
      </c>
      <c r="FL169">
        <f t="shared" si="52"/>
        <v>276.1745366497222</v>
      </c>
      <c r="FM169">
        <f t="shared" si="52"/>
        <v>271.96763220149273</v>
      </c>
      <c r="FN169">
        <f t="shared" si="52"/>
        <v>267.6969172079057</v>
      </c>
      <c r="FO169">
        <f t="shared" si="52"/>
        <v>263.36500331069306</v>
      </c>
      <c r="FP169">
        <f t="shared" si="52"/>
        <v>258.97449408241152</v>
      </c>
      <c r="FQ169">
        <f t="shared" si="52"/>
        <v>254.52798404087969</v>
      </c>
      <c r="FR169">
        <f t="shared" si="52"/>
        <v>250.02805768011561</v>
      </c>
      <c r="FS169">
        <f t="shared" si="52"/>
        <v>245.4772885179666</v>
      </c>
      <c r="FT169">
        <f t="shared" si="52"/>
        <v>240.87823816061515</v>
      </c>
      <c r="FU169">
        <f t="shared" ref="FU169:GQ169" si="53">FU167*$D214</f>
        <v>236.23345538413486</v>
      </c>
      <c r="FV169">
        <f t="shared" si="53"/>
        <v>231.54547523326048</v>
      </c>
      <c r="FW169">
        <f t="shared" si="53"/>
        <v>226.81681813752758</v>
      </c>
      <c r="FX169">
        <f t="shared" si="53"/>
        <v>222.04998904492766</v>
      </c>
      <c r="FY169">
        <f t="shared" si="53"/>
        <v>217.24747657321529</v>
      </c>
      <c r="FZ169">
        <f t="shared" si="53"/>
        <v>212.41175217899504</v>
      </c>
      <c r="GA169">
        <f t="shared" si="53"/>
        <v>207.5452693447063</v>
      </c>
      <c r="GB169">
        <f t="shared" si="53"/>
        <v>202.65046278361572</v>
      </c>
      <c r="GC169">
        <f t="shared" si="53"/>
        <v>197.7297476629177</v>
      </c>
      <c r="GD169">
        <f t="shared" si="53"/>
        <v>192.78551884503452</v>
      </c>
      <c r="GE169">
        <f t="shared" si="53"/>
        <v>187.82015014719872</v>
      </c>
      <c r="GF169">
        <f t="shared" si="53"/>
        <v>182.83599361939227</v>
      </c>
      <c r="GG169">
        <f t="shared" si="53"/>
        <v>177.83537884070748</v>
      </c>
      <c r="GH169">
        <f t="shared" si="53"/>
        <v>172.82061223418694</v>
      </c>
      <c r="GI169">
        <f t="shared" si="53"/>
        <v>167.79397640019079</v>
      </c>
      <c r="GJ169">
        <f t="shared" si="53"/>
        <v>162.75772946833121</v>
      </c>
      <c r="GK169">
        <f t="shared" si="53"/>
        <v>157.71410446800618</v>
      </c>
      <c r="GL169">
        <f t="shared" si="53"/>
        <v>152.665308717556</v>
      </c>
      <c r="GM169">
        <f t="shared" si="53"/>
        <v>147.61352323205782</v>
      </c>
      <c r="GN169">
        <f t="shared" si="53"/>
        <v>142.56090214976598</v>
      </c>
      <c r="GO169">
        <f t="shared" si="53"/>
        <v>137.50957217719755</v>
      </c>
      <c r="GP169">
        <f t="shared" si="53"/>
        <v>132.46163205285492</v>
      </c>
      <c r="GQ169">
        <f t="shared" si="53"/>
        <v>127.41915202956936</v>
      </c>
    </row>
    <row r="170" spans="1:199" x14ac:dyDescent="0.25">
      <c r="A170" s="65"/>
      <c r="C170" t="s">
        <v>161</v>
      </c>
      <c r="D170" s="34">
        <f>0.1</f>
        <v>0.1</v>
      </c>
      <c r="E170" t="s">
        <v>120</v>
      </c>
    </row>
    <row r="171" spans="1:199" x14ac:dyDescent="0.25">
      <c r="A171" s="65"/>
      <c r="C171" t="s">
        <v>162</v>
      </c>
      <c r="D171" s="18">
        <f>D168*(1+D170)</f>
        <v>0.55000000000000004</v>
      </c>
    </row>
    <row r="172" spans="1:199" x14ac:dyDescent="0.25">
      <c r="A172" s="65"/>
      <c r="C172" t="s">
        <v>157</v>
      </c>
      <c r="D172" s="18">
        <f>D160/D161</f>
        <v>85.065744601000318</v>
      </c>
    </row>
    <row r="173" spans="1:199" x14ac:dyDescent="0.25">
      <c r="A173" s="65"/>
      <c r="C173" t="s">
        <v>163</v>
      </c>
      <c r="D173" s="18">
        <f>D167/D171</f>
        <v>119.99999999999999</v>
      </c>
    </row>
    <row r="174" spans="1:199" x14ac:dyDescent="0.25">
      <c r="A174" s="65"/>
      <c r="C174" t="s">
        <v>175</v>
      </c>
      <c r="D174" s="18">
        <f>D172/D173</f>
        <v>0.70888120500833607</v>
      </c>
    </row>
    <row r="175" spans="1:199" x14ac:dyDescent="0.25">
      <c r="A175" s="65"/>
      <c r="C175" t="s">
        <v>174</v>
      </c>
      <c r="D175" s="18">
        <f>D174*D168</f>
        <v>0.35444060250416803</v>
      </c>
      <c r="E175" t="s">
        <v>120</v>
      </c>
    </row>
    <row r="176" spans="1:199" x14ac:dyDescent="0.25">
      <c r="A176" s="65"/>
      <c r="C176" t="s">
        <v>166</v>
      </c>
      <c r="D176" s="18">
        <f>(D163/2)+(D175/2)</f>
        <v>16.677220301252085</v>
      </c>
      <c r="E176" t="s">
        <v>120</v>
      </c>
    </row>
    <row r="177" spans="1:6" x14ac:dyDescent="0.25">
      <c r="A177" s="65"/>
      <c r="C177" t="s">
        <v>168</v>
      </c>
      <c r="D177" s="18">
        <f>(D176/1000)*D160*2*PI()</f>
        <v>8.9137046907917874</v>
      </c>
      <c r="E177" t="s">
        <v>192</v>
      </c>
    </row>
    <row r="178" spans="1:6" x14ac:dyDescent="0.25">
      <c r="A178" s="65"/>
      <c r="C178" t="s">
        <v>169</v>
      </c>
      <c r="D178" s="18">
        <f>D168/2000</f>
        <v>2.5000000000000001E-4</v>
      </c>
      <c r="E178" t="s">
        <v>192</v>
      </c>
    </row>
    <row r="179" spans="1:6" x14ac:dyDescent="0.25">
      <c r="A179" s="65"/>
      <c r="C179" t="s">
        <v>170</v>
      </c>
      <c r="D179" s="18">
        <f>PI()*POWER(D178, 2)*D177</f>
        <v>1.7502018233037722E-6</v>
      </c>
    </row>
    <row r="180" spans="1:6" x14ac:dyDescent="0.25">
      <c r="A180" s="65"/>
      <c r="C180" t="s">
        <v>171</v>
      </c>
      <c r="D180" s="34">
        <v>8960</v>
      </c>
      <c r="E180" t="s">
        <v>172</v>
      </c>
    </row>
    <row r="181" spans="1:6" x14ac:dyDescent="0.25">
      <c r="A181" s="65"/>
      <c r="C181" t="s">
        <v>173</v>
      </c>
      <c r="D181" s="18">
        <f>D180*D179</f>
        <v>1.56818083368018E-2</v>
      </c>
      <c r="E181" t="s">
        <v>373</v>
      </c>
    </row>
    <row r="182" spans="1:6" x14ac:dyDescent="0.25">
      <c r="A182" s="65"/>
      <c r="C182" t="s">
        <v>202</v>
      </c>
      <c r="D182" s="18">
        <f>(D169^2)*PI()</f>
        <v>1.9634954084936206E-7</v>
      </c>
    </row>
    <row r="183" spans="1:6" x14ac:dyDescent="0.25">
      <c r="A183" s="65"/>
      <c r="C183" t="s">
        <v>181</v>
      </c>
      <c r="D183" s="36">
        <v>1.6800000000000002E-8</v>
      </c>
      <c r="E183" t="s">
        <v>698</v>
      </c>
    </row>
    <row r="184" spans="1:6" ht="15.75" x14ac:dyDescent="0.25">
      <c r="A184" s="65"/>
      <c r="C184" t="s">
        <v>180</v>
      </c>
      <c r="D184" s="33">
        <f>D183*D177/D182</f>
        <v>0.76267170352177871</v>
      </c>
      <c r="E184" s="60" t="s">
        <v>21</v>
      </c>
    </row>
    <row r="185" spans="1:6" x14ac:dyDescent="0.25">
      <c r="A185" s="65"/>
      <c r="B185" t="s">
        <v>705</v>
      </c>
      <c r="C185" t="s">
        <v>182</v>
      </c>
      <c r="D185" s="33">
        <f>POWER(D159/POWER(3, 0.5), 2)*D184</f>
        <v>1.5888993823370394</v>
      </c>
      <c r="E185" t="s">
        <v>203</v>
      </c>
    </row>
    <row r="186" spans="1:6" x14ac:dyDescent="0.25">
      <c r="A186" s="20"/>
    </row>
    <row r="187" spans="1:6" x14ac:dyDescent="0.25">
      <c r="A187" s="20"/>
    </row>
    <row r="188" spans="1:6" x14ac:dyDescent="0.25">
      <c r="A188" s="65" t="s">
        <v>706</v>
      </c>
      <c r="B188" s="2" t="s">
        <v>40</v>
      </c>
      <c r="C188" s="2" t="s">
        <v>39</v>
      </c>
      <c r="D188" s="2">
        <f>D3</f>
        <v>16000</v>
      </c>
      <c r="E188" s="2" t="s">
        <v>58</v>
      </c>
      <c r="F188" t="s">
        <v>176</v>
      </c>
    </row>
    <row r="189" spans="1:6" x14ac:dyDescent="0.25">
      <c r="A189" s="65"/>
      <c r="B189" s="2" t="s">
        <v>36</v>
      </c>
      <c r="C189" s="59" t="s">
        <v>31</v>
      </c>
      <c r="D189" s="56">
        <f>D18</f>
        <v>20</v>
      </c>
      <c r="E189" s="2" t="s">
        <v>17</v>
      </c>
      <c r="F189" t="s">
        <v>177</v>
      </c>
    </row>
    <row r="190" spans="1:6" x14ac:dyDescent="0.25">
      <c r="A190" s="65"/>
      <c r="B190" s="2" t="s">
        <v>701</v>
      </c>
      <c r="C190" s="2" t="s">
        <v>700</v>
      </c>
      <c r="D190" s="56">
        <f>D135</f>
        <v>9.4103979964856617</v>
      </c>
      <c r="E190" s="2"/>
    </row>
    <row r="191" spans="1:6" x14ac:dyDescent="0.25">
      <c r="A191" s="65"/>
      <c r="C191" t="s">
        <v>179</v>
      </c>
      <c r="D191" s="34">
        <v>1</v>
      </c>
      <c r="E191" t="s">
        <v>185</v>
      </c>
    </row>
    <row r="192" spans="1:6" x14ac:dyDescent="0.25">
      <c r="A192" s="65"/>
      <c r="C192" t="s">
        <v>178</v>
      </c>
      <c r="D192" s="34">
        <v>21</v>
      </c>
      <c r="E192" t="s">
        <v>120</v>
      </c>
    </row>
    <row r="193" spans="1:5" x14ac:dyDescent="0.25">
      <c r="A193" s="65"/>
      <c r="C193" t="s">
        <v>183</v>
      </c>
      <c r="D193" s="34">
        <v>0.1</v>
      </c>
      <c r="E193" t="s">
        <v>192</v>
      </c>
    </row>
    <row r="194" spans="1:5" x14ac:dyDescent="0.25">
      <c r="A194" s="65"/>
      <c r="C194" t="s">
        <v>189</v>
      </c>
      <c r="D194" s="18">
        <f>D191/2000</f>
        <v>5.0000000000000001E-4</v>
      </c>
      <c r="E194" t="s">
        <v>192</v>
      </c>
    </row>
    <row r="195" spans="1:5" x14ac:dyDescent="0.25">
      <c r="A195" s="65"/>
      <c r="C195" t="s">
        <v>184</v>
      </c>
      <c r="D195" s="18">
        <f>(D192/1000)*D190*2*PI()</f>
        <v>1.2416727629508495</v>
      </c>
      <c r="E195" t="s">
        <v>192</v>
      </c>
    </row>
    <row r="196" spans="1:5" x14ac:dyDescent="0.25">
      <c r="A196" s="65"/>
      <c r="C196" t="s">
        <v>169</v>
      </c>
      <c r="D196" s="18">
        <f>D191/2000</f>
        <v>5.0000000000000001E-4</v>
      </c>
      <c r="E196" t="s">
        <v>192</v>
      </c>
    </row>
    <row r="197" spans="1:5" x14ac:dyDescent="0.25">
      <c r="A197" s="65"/>
      <c r="C197" t="s">
        <v>170</v>
      </c>
      <c r="D197" s="18">
        <f>PI()*POWER(D196, 2)*D195</f>
        <v>9.7520750756223232E-7</v>
      </c>
      <c r="E197" t="s">
        <v>361</v>
      </c>
    </row>
    <row r="198" spans="1:5" x14ac:dyDescent="0.25">
      <c r="A198" s="65"/>
      <c r="C198" t="s">
        <v>186</v>
      </c>
      <c r="D198" s="18">
        <f>POWER(2*D203/(4*PI()*(0.0000001)*2*PI()*D188), 0.5)</f>
        <v>5.157209585242166E-4</v>
      </c>
      <c r="E198" t="s">
        <v>192</v>
      </c>
    </row>
    <row r="199" spans="1:5" x14ac:dyDescent="0.25">
      <c r="A199" s="65"/>
      <c r="C199" t="s">
        <v>187</v>
      </c>
      <c r="D199" s="18">
        <f>1000*D198</f>
        <v>0.51572095852421662</v>
      </c>
      <c r="E199" t="s">
        <v>120</v>
      </c>
    </row>
    <row r="200" spans="1:5" x14ac:dyDescent="0.25">
      <c r="A200" s="65"/>
      <c r="C200" t="s">
        <v>188</v>
      </c>
      <c r="D200" s="18">
        <f>POWER(D194, 2)*PI()</f>
        <v>7.8539816339744823E-7</v>
      </c>
      <c r="E200" t="s">
        <v>193</v>
      </c>
    </row>
    <row r="201" spans="1:5" x14ac:dyDescent="0.25">
      <c r="A201" s="65"/>
      <c r="C201" t="s">
        <v>190</v>
      </c>
      <c r="D201" s="18">
        <f>POWER((D194-D198), 2)*PI()</f>
        <v>7.7644002793377189E-10</v>
      </c>
      <c r="E201" t="s">
        <v>193</v>
      </c>
    </row>
    <row r="202" spans="1:5" x14ac:dyDescent="0.25">
      <c r="A202" s="65"/>
      <c r="C202" t="s">
        <v>191</v>
      </c>
      <c r="D202" s="18">
        <f>D200-D201</f>
        <v>7.8462172336951441E-7</v>
      </c>
      <c r="E202" t="s">
        <v>193</v>
      </c>
    </row>
    <row r="203" spans="1:5" x14ac:dyDescent="0.25">
      <c r="A203" s="65"/>
      <c r="C203" t="s">
        <v>181</v>
      </c>
      <c r="D203" s="33">
        <v>1.6800000000000002E-8</v>
      </c>
      <c r="E203" t="s">
        <v>698</v>
      </c>
    </row>
    <row r="204" spans="1:5" x14ac:dyDescent="0.25">
      <c r="A204" s="65"/>
      <c r="C204" t="s">
        <v>194</v>
      </c>
      <c r="D204" s="33">
        <f>D195+D193</f>
        <v>1.3416727629508496</v>
      </c>
      <c r="E204" t="s">
        <v>192</v>
      </c>
    </row>
    <row r="205" spans="1:5" x14ac:dyDescent="0.25">
      <c r="A205" s="65"/>
      <c r="C205" t="s">
        <v>195</v>
      </c>
      <c r="D205" s="33">
        <f>2*D194*PI()*D195</f>
        <v>3.9008300302489298E-3</v>
      </c>
      <c r="E205" t="s">
        <v>193</v>
      </c>
    </row>
    <row r="206" spans="1:5" x14ac:dyDescent="0.25">
      <c r="A206" s="65"/>
      <c r="C206" t="s">
        <v>196</v>
      </c>
      <c r="D206" s="33">
        <f>D203*D195/D202</f>
        <v>2.6586190257378708E-2</v>
      </c>
      <c r="E206" t="s">
        <v>21</v>
      </c>
    </row>
    <row r="207" spans="1:5" x14ac:dyDescent="0.25">
      <c r="A207" s="65"/>
      <c r="C207" t="s">
        <v>197</v>
      </c>
      <c r="D207" s="33">
        <f>D203*D193/D202</f>
        <v>2.1411591725823413E-3</v>
      </c>
      <c r="E207" t="s">
        <v>21</v>
      </c>
    </row>
    <row r="208" spans="1:5" x14ac:dyDescent="0.25">
      <c r="A208" s="65"/>
      <c r="C208" t="s">
        <v>198</v>
      </c>
      <c r="D208" s="33">
        <f>D206+D207</f>
        <v>2.8727349429961049E-2</v>
      </c>
      <c r="E208" t="s">
        <v>21</v>
      </c>
    </row>
    <row r="209" spans="1:5" x14ac:dyDescent="0.25">
      <c r="A209" s="65"/>
      <c r="C209" t="s">
        <v>702</v>
      </c>
      <c r="D209" s="33">
        <f>POWER(D189/POWER(3, 0.5), 2)*D206</f>
        <v>3.5448253676504953</v>
      </c>
      <c r="E209" t="s">
        <v>19</v>
      </c>
    </row>
    <row r="210" spans="1:5" x14ac:dyDescent="0.25">
      <c r="A210" s="65"/>
      <c r="C210" t="s">
        <v>199</v>
      </c>
      <c r="D210" s="33">
        <f>POWER(D189/POWER(3, 0.5), 2)*D207</f>
        <v>0.2854878896776456</v>
      </c>
      <c r="E210" t="s">
        <v>19</v>
      </c>
    </row>
    <row r="211" spans="1:5" x14ac:dyDescent="0.25">
      <c r="A211" s="65"/>
      <c r="C211" t="s">
        <v>200</v>
      </c>
      <c r="D211" s="33">
        <f>D209+D210</f>
        <v>3.8303132573281409</v>
      </c>
      <c r="E211" t="s">
        <v>19</v>
      </c>
    </row>
    <row r="212" spans="1:5" x14ac:dyDescent="0.25">
      <c r="A212" s="65"/>
      <c r="C212" t="s">
        <v>201</v>
      </c>
      <c r="D212" s="37">
        <f>D209/D205</f>
        <v>908.73617670141959</v>
      </c>
      <c r="E212" t="s">
        <v>699</v>
      </c>
    </row>
    <row r="213" spans="1:5" x14ac:dyDescent="0.25">
      <c r="A213" s="64"/>
      <c r="D213" s="37"/>
    </row>
    <row r="214" spans="1:5" x14ac:dyDescent="0.25">
      <c r="A214" s="65" t="s">
        <v>904</v>
      </c>
      <c r="B214" t="s">
        <v>863</v>
      </c>
      <c r="D214">
        <f>D157</f>
        <v>8.5</v>
      </c>
    </row>
    <row r="215" spans="1:5" x14ac:dyDescent="0.25">
      <c r="A215" s="65"/>
      <c r="B215" t="s">
        <v>862</v>
      </c>
      <c r="D215">
        <f>D154</f>
        <v>3.5</v>
      </c>
      <c r="E215" s="7" t="s">
        <v>21</v>
      </c>
    </row>
    <row r="216" spans="1:5" x14ac:dyDescent="0.25">
      <c r="A216" s="65"/>
      <c r="B216" t="s">
        <v>865</v>
      </c>
      <c r="D216" s="1">
        <f>D83</f>
        <v>1.1999999999999999E-6</v>
      </c>
      <c r="E216" t="s">
        <v>20</v>
      </c>
    </row>
    <row r="217" spans="1:5" x14ac:dyDescent="0.25">
      <c r="A217" s="65"/>
      <c r="B217" t="s">
        <v>874</v>
      </c>
      <c r="D217">
        <f>D150</f>
        <v>6.6000000000000003E-6</v>
      </c>
      <c r="E217" t="s">
        <v>141</v>
      </c>
    </row>
    <row r="218" spans="1:5" x14ac:dyDescent="0.25">
      <c r="A218" s="65"/>
      <c r="B218" t="s">
        <v>876</v>
      </c>
      <c r="D218" s="1">
        <f>D152</f>
        <v>4.2351562500000024E-5</v>
      </c>
      <c r="E218" t="s">
        <v>141</v>
      </c>
    </row>
    <row r="219" spans="1:5" x14ac:dyDescent="0.25">
      <c r="A219" s="65"/>
      <c r="B219" t="s">
        <v>875</v>
      </c>
      <c r="D219">
        <f>D153</f>
        <v>0.1</v>
      </c>
      <c r="E219" s="7" t="s">
        <v>21</v>
      </c>
    </row>
    <row r="220" spans="1:5" x14ac:dyDescent="0.25">
      <c r="A220" s="65"/>
      <c r="B220" t="s">
        <v>898</v>
      </c>
      <c r="C220" t="s">
        <v>902</v>
      </c>
      <c r="D220">
        <f>D18</f>
        <v>20</v>
      </c>
      <c r="E220" s="7"/>
    </row>
    <row r="221" spans="1:5" x14ac:dyDescent="0.25">
      <c r="A221" s="65"/>
      <c r="B221" t="s">
        <v>894</v>
      </c>
      <c r="D221">
        <f>D3</f>
        <v>16000</v>
      </c>
    </row>
    <row r="222" spans="1:5" x14ac:dyDescent="0.25">
      <c r="A222" s="65"/>
      <c r="B222" t="s">
        <v>895</v>
      </c>
      <c r="D222">
        <f>D7</f>
        <v>44.1</v>
      </c>
    </row>
    <row r="223" spans="1:5" x14ac:dyDescent="0.25">
      <c r="A223" s="65"/>
      <c r="B223" t="s">
        <v>861</v>
      </c>
      <c r="D223" s="18">
        <f>D215/D214</f>
        <v>0.41176470588235292</v>
      </c>
      <c r="E223" s="7" t="s">
        <v>21</v>
      </c>
    </row>
    <row r="224" spans="1:5" x14ac:dyDescent="0.25">
      <c r="A224" s="65"/>
      <c r="B224" t="s">
        <v>864</v>
      </c>
      <c r="D224" s="18">
        <f>D216*D214</f>
        <v>1.0199999999999999E-5</v>
      </c>
      <c r="E224" t="s">
        <v>20</v>
      </c>
    </row>
    <row r="225" spans="1:107" x14ac:dyDescent="0.25">
      <c r="A225" s="65"/>
      <c r="B225" t="s">
        <v>665</v>
      </c>
      <c r="D225" s="33">
        <f>1/(D221*4*100)</f>
        <v>1.5625000000000001E-7</v>
      </c>
      <c r="E225" t="s">
        <v>232</v>
      </c>
    </row>
    <row r="226" spans="1:107" x14ac:dyDescent="0.25">
      <c r="A226" s="65"/>
      <c r="B226" t="s">
        <v>805</v>
      </c>
      <c r="C226" t="s">
        <v>866</v>
      </c>
      <c r="E226" t="s">
        <v>232</v>
      </c>
      <c r="F226">
        <v>0</v>
      </c>
      <c r="G226" s="1">
        <f t="shared" ref="G226:AL226" si="54">F226+$D225</f>
        <v>1.5625000000000001E-7</v>
      </c>
      <c r="H226" s="1">
        <f t="shared" si="54"/>
        <v>3.1250000000000003E-7</v>
      </c>
      <c r="I226" s="1">
        <f t="shared" si="54"/>
        <v>4.6875000000000006E-7</v>
      </c>
      <c r="J226" s="1">
        <f t="shared" si="54"/>
        <v>6.2500000000000005E-7</v>
      </c>
      <c r="K226" s="1">
        <f t="shared" si="54"/>
        <v>7.8125000000000004E-7</v>
      </c>
      <c r="L226" s="1">
        <f t="shared" si="54"/>
        <v>9.3750000000000002E-7</v>
      </c>
      <c r="M226" s="1">
        <f t="shared" si="54"/>
        <v>1.0937500000000001E-6</v>
      </c>
      <c r="N226" s="1">
        <f t="shared" si="54"/>
        <v>1.2500000000000001E-6</v>
      </c>
      <c r="O226" s="1">
        <f t="shared" si="54"/>
        <v>1.4062500000000001E-6</v>
      </c>
      <c r="P226" s="1">
        <f t="shared" si="54"/>
        <v>1.5625000000000001E-6</v>
      </c>
      <c r="Q226" s="1">
        <f t="shared" si="54"/>
        <v>1.7187500000000001E-6</v>
      </c>
      <c r="R226" s="1">
        <f t="shared" si="54"/>
        <v>1.875E-6</v>
      </c>
      <c r="S226" s="1">
        <f t="shared" si="54"/>
        <v>2.0312500000000002E-6</v>
      </c>
      <c r="T226" s="1">
        <f t="shared" si="54"/>
        <v>2.1875000000000002E-6</v>
      </c>
      <c r="U226" s="1">
        <f t="shared" si="54"/>
        <v>2.3437500000000002E-6</v>
      </c>
      <c r="V226" s="1">
        <f t="shared" si="54"/>
        <v>2.5000000000000002E-6</v>
      </c>
      <c r="W226" s="1">
        <f t="shared" si="54"/>
        <v>2.6562500000000002E-6</v>
      </c>
      <c r="X226" s="1">
        <f t="shared" si="54"/>
        <v>2.8125000000000002E-6</v>
      </c>
      <c r="Y226" s="1">
        <f t="shared" si="54"/>
        <v>2.9687500000000002E-6</v>
      </c>
      <c r="Z226" s="1">
        <f t="shared" si="54"/>
        <v>3.1250000000000001E-6</v>
      </c>
      <c r="AA226" s="1">
        <f t="shared" si="54"/>
        <v>3.2812500000000001E-6</v>
      </c>
      <c r="AB226" s="1">
        <f t="shared" si="54"/>
        <v>3.4375000000000001E-6</v>
      </c>
      <c r="AC226" s="1">
        <f t="shared" si="54"/>
        <v>3.5937500000000001E-6</v>
      </c>
      <c r="AD226" s="1">
        <f t="shared" si="54"/>
        <v>3.7500000000000001E-6</v>
      </c>
      <c r="AE226" s="1">
        <f t="shared" si="54"/>
        <v>3.9062500000000001E-6</v>
      </c>
      <c r="AF226" s="1">
        <f t="shared" si="54"/>
        <v>4.0625000000000005E-6</v>
      </c>
      <c r="AG226" s="1">
        <f t="shared" si="54"/>
        <v>4.2187500000000009E-6</v>
      </c>
      <c r="AH226" s="1">
        <f t="shared" si="54"/>
        <v>4.3750000000000013E-6</v>
      </c>
      <c r="AI226" s="1">
        <f t="shared" si="54"/>
        <v>4.5312500000000017E-6</v>
      </c>
      <c r="AJ226" s="1">
        <f t="shared" si="54"/>
        <v>4.6875000000000021E-6</v>
      </c>
      <c r="AK226" s="1">
        <f t="shared" si="54"/>
        <v>4.8437500000000025E-6</v>
      </c>
      <c r="AL226" s="1">
        <f t="shared" si="54"/>
        <v>5.000000000000003E-6</v>
      </c>
      <c r="AM226" s="1">
        <f t="shared" ref="AM226:BR226" si="55">AL226+$D225</f>
        <v>5.1562500000000034E-6</v>
      </c>
      <c r="AN226" s="1">
        <f t="shared" si="55"/>
        <v>5.3125000000000038E-6</v>
      </c>
      <c r="AO226" s="1">
        <f t="shared" si="55"/>
        <v>5.4687500000000042E-6</v>
      </c>
      <c r="AP226" s="1">
        <f t="shared" si="55"/>
        <v>5.6250000000000046E-6</v>
      </c>
      <c r="AQ226" s="1">
        <f t="shared" si="55"/>
        <v>5.781250000000005E-6</v>
      </c>
      <c r="AR226" s="1">
        <f t="shared" si="55"/>
        <v>5.9375000000000054E-6</v>
      </c>
      <c r="AS226" s="1">
        <f t="shared" si="55"/>
        <v>6.0937500000000058E-6</v>
      </c>
      <c r="AT226" s="1">
        <f t="shared" si="55"/>
        <v>6.2500000000000062E-6</v>
      </c>
      <c r="AU226" s="1">
        <f t="shared" si="55"/>
        <v>6.4062500000000066E-6</v>
      </c>
      <c r="AV226" s="1">
        <f t="shared" si="55"/>
        <v>6.562500000000007E-6</v>
      </c>
      <c r="AW226" s="1">
        <f t="shared" si="55"/>
        <v>6.7187500000000075E-6</v>
      </c>
      <c r="AX226" s="1">
        <f t="shared" si="55"/>
        <v>6.8750000000000079E-6</v>
      </c>
      <c r="AY226" s="1">
        <f t="shared" si="55"/>
        <v>7.0312500000000083E-6</v>
      </c>
      <c r="AZ226" s="1">
        <f t="shared" si="55"/>
        <v>7.1875000000000087E-6</v>
      </c>
      <c r="BA226" s="1">
        <f t="shared" si="55"/>
        <v>7.3437500000000091E-6</v>
      </c>
      <c r="BB226" s="1">
        <f t="shared" si="55"/>
        <v>7.5000000000000095E-6</v>
      </c>
      <c r="BC226" s="1">
        <f t="shared" si="55"/>
        <v>7.6562500000000099E-6</v>
      </c>
      <c r="BD226" s="1">
        <f t="shared" si="55"/>
        <v>7.8125000000000103E-6</v>
      </c>
      <c r="BE226" s="1">
        <f t="shared" si="55"/>
        <v>7.9687500000000107E-6</v>
      </c>
      <c r="BF226" s="1">
        <f t="shared" si="55"/>
        <v>8.1250000000000111E-6</v>
      </c>
      <c r="BG226" s="1">
        <f t="shared" si="55"/>
        <v>8.2812500000000116E-6</v>
      </c>
      <c r="BH226" s="1">
        <f t="shared" si="55"/>
        <v>8.437500000000012E-6</v>
      </c>
      <c r="BI226" s="1">
        <f t="shared" si="55"/>
        <v>8.5937500000000124E-6</v>
      </c>
      <c r="BJ226" s="1">
        <f t="shared" si="55"/>
        <v>8.7500000000000128E-6</v>
      </c>
      <c r="BK226" s="1">
        <f t="shared" si="55"/>
        <v>8.9062500000000132E-6</v>
      </c>
      <c r="BL226" s="1">
        <f t="shared" si="55"/>
        <v>9.0625000000000136E-6</v>
      </c>
      <c r="BM226" s="1">
        <f t="shared" si="55"/>
        <v>9.218750000000014E-6</v>
      </c>
      <c r="BN226" s="1">
        <f t="shared" si="55"/>
        <v>9.3750000000000144E-6</v>
      </c>
      <c r="BO226" s="1">
        <f t="shared" si="55"/>
        <v>9.5312500000000148E-6</v>
      </c>
      <c r="BP226" s="1">
        <f t="shared" si="55"/>
        <v>9.6875000000000152E-6</v>
      </c>
      <c r="BQ226" s="1">
        <f t="shared" si="55"/>
        <v>9.8437500000000157E-6</v>
      </c>
      <c r="BR226" s="1">
        <f t="shared" si="55"/>
        <v>1.0000000000000016E-5</v>
      </c>
      <c r="BS226" s="1">
        <f t="shared" ref="BS226:CX226" si="56">BR226+$D225</f>
        <v>1.0156250000000016E-5</v>
      </c>
      <c r="BT226" s="1">
        <f t="shared" si="56"/>
        <v>1.0312500000000017E-5</v>
      </c>
      <c r="BU226" s="1">
        <f t="shared" si="56"/>
        <v>1.0468750000000017E-5</v>
      </c>
      <c r="BV226" s="1">
        <f t="shared" si="56"/>
        <v>1.0625000000000018E-5</v>
      </c>
      <c r="BW226" s="1">
        <f t="shared" si="56"/>
        <v>1.0781250000000018E-5</v>
      </c>
      <c r="BX226" s="1">
        <f t="shared" si="56"/>
        <v>1.0937500000000019E-5</v>
      </c>
      <c r="BY226" s="1">
        <f t="shared" si="56"/>
        <v>1.1093750000000019E-5</v>
      </c>
      <c r="BZ226" s="1">
        <f t="shared" si="56"/>
        <v>1.1250000000000019E-5</v>
      </c>
      <c r="CA226" s="1">
        <f t="shared" si="56"/>
        <v>1.140625000000002E-5</v>
      </c>
      <c r="CB226" s="1">
        <f t="shared" si="56"/>
        <v>1.156250000000002E-5</v>
      </c>
      <c r="CC226" s="1">
        <f t="shared" si="56"/>
        <v>1.1718750000000021E-5</v>
      </c>
      <c r="CD226" s="1">
        <f t="shared" si="56"/>
        <v>1.1875000000000021E-5</v>
      </c>
      <c r="CE226" s="1">
        <f t="shared" si="56"/>
        <v>1.2031250000000021E-5</v>
      </c>
      <c r="CF226" s="1">
        <f t="shared" si="56"/>
        <v>1.2187500000000022E-5</v>
      </c>
      <c r="CG226" s="1">
        <f t="shared" si="56"/>
        <v>1.2343750000000022E-5</v>
      </c>
      <c r="CH226" s="1">
        <f t="shared" si="56"/>
        <v>1.2500000000000023E-5</v>
      </c>
      <c r="CI226" s="1">
        <f t="shared" si="56"/>
        <v>1.2656250000000023E-5</v>
      </c>
      <c r="CJ226" s="1">
        <f t="shared" si="56"/>
        <v>1.2812500000000023E-5</v>
      </c>
      <c r="CK226" s="1">
        <f t="shared" si="56"/>
        <v>1.2968750000000024E-5</v>
      </c>
      <c r="CL226" s="1">
        <f t="shared" si="56"/>
        <v>1.3125000000000024E-5</v>
      </c>
      <c r="CM226" s="1">
        <f t="shared" si="56"/>
        <v>1.3281250000000025E-5</v>
      </c>
      <c r="CN226" s="1">
        <f t="shared" si="56"/>
        <v>1.3437500000000025E-5</v>
      </c>
      <c r="CO226" s="1">
        <f t="shared" si="56"/>
        <v>1.3593750000000025E-5</v>
      </c>
      <c r="CP226" s="1">
        <f t="shared" si="56"/>
        <v>1.3750000000000026E-5</v>
      </c>
      <c r="CQ226" s="1">
        <f t="shared" si="56"/>
        <v>1.3906250000000026E-5</v>
      </c>
      <c r="CR226" s="1">
        <f t="shared" si="56"/>
        <v>1.4062500000000027E-5</v>
      </c>
      <c r="CS226" s="1">
        <f t="shared" si="56"/>
        <v>1.4218750000000027E-5</v>
      </c>
      <c r="CT226" s="1">
        <f t="shared" si="56"/>
        <v>1.4375000000000028E-5</v>
      </c>
      <c r="CU226" s="1">
        <f t="shared" si="56"/>
        <v>1.4531250000000028E-5</v>
      </c>
      <c r="CV226" s="1">
        <f t="shared" si="56"/>
        <v>1.4687500000000028E-5</v>
      </c>
      <c r="CW226" s="1">
        <f t="shared" si="56"/>
        <v>1.4843750000000029E-5</v>
      </c>
      <c r="CX226" s="1">
        <f t="shared" si="56"/>
        <v>1.5000000000000029E-5</v>
      </c>
      <c r="CY226" s="1">
        <f t="shared" ref="CY226:DB226" si="57">CX226+$D225</f>
        <v>1.515625000000003E-5</v>
      </c>
      <c r="CZ226" s="1">
        <f t="shared" si="57"/>
        <v>1.531250000000003E-5</v>
      </c>
      <c r="DA226" s="1">
        <f t="shared" si="57"/>
        <v>1.546875000000003E-5</v>
      </c>
      <c r="DB226" s="1">
        <f t="shared" si="57"/>
        <v>1.5625000000000031E-5</v>
      </c>
      <c r="DC226" s="1"/>
    </row>
    <row r="227" spans="1:107" x14ac:dyDescent="0.25">
      <c r="A227" s="65"/>
      <c r="B227" t="s">
        <v>867</v>
      </c>
      <c r="C227" t="s">
        <v>868</v>
      </c>
      <c r="E227" t="s">
        <v>18</v>
      </c>
      <c r="F227">
        <f>D222</f>
        <v>44.1</v>
      </c>
      <c r="G227">
        <f>$F227</f>
        <v>44.1</v>
      </c>
      <c r="H227">
        <f>$F227</f>
        <v>44.1</v>
      </c>
      <c r="I227">
        <f>$F227</f>
        <v>44.1</v>
      </c>
      <c r="J227">
        <f>$F227</f>
        <v>44.1</v>
      </c>
      <c r="K227">
        <f>$F227</f>
        <v>44.1</v>
      </c>
      <c r="L227">
        <f t="shared" ref="L227:BW227" si="58">$F227</f>
        <v>44.1</v>
      </c>
      <c r="M227">
        <f t="shared" si="58"/>
        <v>44.1</v>
      </c>
      <c r="N227">
        <f t="shared" si="58"/>
        <v>44.1</v>
      </c>
      <c r="O227">
        <f t="shared" si="58"/>
        <v>44.1</v>
      </c>
      <c r="P227">
        <f t="shared" si="58"/>
        <v>44.1</v>
      </c>
      <c r="Q227">
        <f t="shared" si="58"/>
        <v>44.1</v>
      </c>
      <c r="R227">
        <f t="shared" si="58"/>
        <v>44.1</v>
      </c>
      <c r="S227">
        <f t="shared" si="58"/>
        <v>44.1</v>
      </c>
      <c r="T227">
        <f t="shared" si="58"/>
        <v>44.1</v>
      </c>
      <c r="U227">
        <f t="shared" si="58"/>
        <v>44.1</v>
      </c>
      <c r="V227">
        <f t="shared" si="58"/>
        <v>44.1</v>
      </c>
      <c r="W227">
        <f t="shared" si="58"/>
        <v>44.1</v>
      </c>
      <c r="X227">
        <f t="shared" si="58"/>
        <v>44.1</v>
      </c>
      <c r="Y227">
        <f t="shared" si="58"/>
        <v>44.1</v>
      </c>
      <c r="Z227">
        <f t="shared" si="58"/>
        <v>44.1</v>
      </c>
      <c r="AA227">
        <f t="shared" si="58"/>
        <v>44.1</v>
      </c>
      <c r="AB227">
        <f t="shared" si="58"/>
        <v>44.1</v>
      </c>
      <c r="AC227">
        <f t="shared" si="58"/>
        <v>44.1</v>
      </c>
      <c r="AD227">
        <f t="shared" si="58"/>
        <v>44.1</v>
      </c>
      <c r="AE227">
        <f t="shared" si="58"/>
        <v>44.1</v>
      </c>
      <c r="AF227">
        <f t="shared" si="58"/>
        <v>44.1</v>
      </c>
      <c r="AG227">
        <f t="shared" si="58"/>
        <v>44.1</v>
      </c>
      <c r="AH227">
        <f t="shared" si="58"/>
        <v>44.1</v>
      </c>
      <c r="AI227">
        <f t="shared" si="58"/>
        <v>44.1</v>
      </c>
      <c r="AJ227">
        <f t="shared" si="58"/>
        <v>44.1</v>
      </c>
      <c r="AK227">
        <f t="shared" si="58"/>
        <v>44.1</v>
      </c>
      <c r="AL227">
        <f t="shared" si="58"/>
        <v>44.1</v>
      </c>
      <c r="AM227">
        <f t="shared" si="58"/>
        <v>44.1</v>
      </c>
      <c r="AN227">
        <f t="shared" si="58"/>
        <v>44.1</v>
      </c>
      <c r="AO227">
        <f t="shared" si="58"/>
        <v>44.1</v>
      </c>
      <c r="AP227">
        <f t="shared" si="58"/>
        <v>44.1</v>
      </c>
      <c r="AQ227">
        <f t="shared" si="58"/>
        <v>44.1</v>
      </c>
      <c r="AR227">
        <f t="shared" si="58"/>
        <v>44.1</v>
      </c>
      <c r="AS227">
        <f t="shared" si="58"/>
        <v>44.1</v>
      </c>
      <c r="AT227">
        <f t="shared" si="58"/>
        <v>44.1</v>
      </c>
      <c r="AU227">
        <f t="shared" si="58"/>
        <v>44.1</v>
      </c>
      <c r="AV227">
        <f t="shared" si="58"/>
        <v>44.1</v>
      </c>
      <c r="AW227">
        <f t="shared" si="58"/>
        <v>44.1</v>
      </c>
      <c r="AX227">
        <f t="shared" si="58"/>
        <v>44.1</v>
      </c>
      <c r="AY227">
        <f t="shared" si="58"/>
        <v>44.1</v>
      </c>
      <c r="AZ227">
        <f t="shared" si="58"/>
        <v>44.1</v>
      </c>
      <c r="BA227">
        <f t="shared" si="58"/>
        <v>44.1</v>
      </c>
      <c r="BB227">
        <f t="shared" si="58"/>
        <v>44.1</v>
      </c>
      <c r="BC227">
        <f t="shared" si="58"/>
        <v>44.1</v>
      </c>
      <c r="BD227">
        <f t="shared" si="58"/>
        <v>44.1</v>
      </c>
      <c r="BE227">
        <f t="shared" si="58"/>
        <v>44.1</v>
      </c>
      <c r="BF227">
        <f t="shared" si="58"/>
        <v>44.1</v>
      </c>
      <c r="BG227">
        <f t="shared" si="58"/>
        <v>44.1</v>
      </c>
      <c r="BH227">
        <f t="shared" si="58"/>
        <v>44.1</v>
      </c>
      <c r="BI227">
        <f t="shared" si="58"/>
        <v>44.1</v>
      </c>
      <c r="BJ227">
        <f t="shared" si="58"/>
        <v>44.1</v>
      </c>
      <c r="BK227">
        <f t="shared" si="58"/>
        <v>44.1</v>
      </c>
      <c r="BL227">
        <f t="shared" si="58"/>
        <v>44.1</v>
      </c>
      <c r="BM227">
        <f t="shared" si="58"/>
        <v>44.1</v>
      </c>
      <c r="BN227">
        <f t="shared" si="58"/>
        <v>44.1</v>
      </c>
      <c r="BO227">
        <f t="shared" si="58"/>
        <v>44.1</v>
      </c>
      <c r="BP227">
        <f t="shared" si="58"/>
        <v>44.1</v>
      </c>
      <c r="BQ227">
        <f t="shared" si="58"/>
        <v>44.1</v>
      </c>
      <c r="BR227">
        <f t="shared" si="58"/>
        <v>44.1</v>
      </c>
      <c r="BS227">
        <f t="shared" si="58"/>
        <v>44.1</v>
      </c>
      <c r="BT227">
        <f t="shared" si="58"/>
        <v>44.1</v>
      </c>
      <c r="BU227">
        <f t="shared" si="58"/>
        <v>44.1</v>
      </c>
      <c r="BV227">
        <f t="shared" si="58"/>
        <v>44.1</v>
      </c>
      <c r="BW227">
        <f t="shared" si="58"/>
        <v>44.1</v>
      </c>
      <c r="BX227">
        <f t="shared" ref="BX227:DB227" si="59">$F227</f>
        <v>44.1</v>
      </c>
      <c r="BY227">
        <f t="shared" si="59"/>
        <v>44.1</v>
      </c>
      <c r="BZ227">
        <f t="shared" si="59"/>
        <v>44.1</v>
      </c>
      <c r="CA227">
        <f t="shared" si="59"/>
        <v>44.1</v>
      </c>
      <c r="CB227">
        <f t="shared" si="59"/>
        <v>44.1</v>
      </c>
      <c r="CC227">
        <f t="shared" si="59"/>
        <v>44.1</v>
      </c>
      <c r="CD227">
        <f t="shared" si="59"/>
        <v>44.1</v>
      </c>
      <c r="CE227">
        <f t="shared" si="59"/>
        <v>44.1</v>
      </c>
      <c r="CF227">
        <f t="shared" si="59"/>
        <v>44.1</v>
      </c>
      <c r="CG227">
        <f t="shared" si="59"/>
        <v>44.1</v>
      </c>
      <c r="CH227">
        <f t="shared" si="59"/>
        <v>44.1</v>
      </c>
      <c r="CI227">
        <f t="shared" si="59"/>
        <v>44.1</v>
      </c>
      <c r="CJ227">
        <f t="shared" si="59"/>
        <v>44.1</v>
      </c>
      <c r="CK227">
        <f t="shared" si="59"/>
        <v>44.1</v>
      </c>
      <c r="CL227">
        <f t="shared" si="59"/>
        <v>44.1</v>
      </c>
      <c r="CM227">
        <f t="shared" si="59"/>
        <v>44.1</v>
      </c>
      <c r="CN227">
        <f t="shared" si="59"/>
        <v>44.1</v>
      </c>
      <c r="CO227">
        <f t="shared" si="59"/>
        <v>44.1</v>
      </c>
      <c r="CP227">
        <f t="shared" si="59"/>
        <v>44.1</v>
      </c>
      <c r="CQ227">
        <f t="shared" si="59"/>
        <v>44.1</v>
      </c>
      <c r="CR227">
        <f t="shared" si="59"/>
        <v>44.1</v>
      </c>
      <c r="CS227">
        <f t="shared" si="59"/>
        <v>44.1</v>
      </c>
      <c r="CT227">
        <f t="shared" si="59"/>
        <v>44.1</v>
      </c>
      <c r="CU227">
        <f t="shared" si="59"/>
        <v>44.1</v>
      </c>
      <c r="CV227">
        <f t="shared" si="59"/>
        <v>44.1</v>
      </c>
      <c r="CW227">
        <f t="shared" si="59"/>
        <v>44.1</v>
      </c>
      <c r="CX227">
        <f t="shared" si="59"/>
        <v>44.1</v>
      </c>
      <c r="CY227">
        <f t="shared" si="59"/>
        <v>44.1</v>
      </c>
      <c r="CZ227">
        <f t="shared" si="59"/>
        <v>44.1</v>
      </c>
      <c r="DA227">
        <f t="shared" si="59"/>
        <v>44.1</v>
      </c>
      <c r="DB227">
        <f t="shared" si="59"/>
        <v>44.1</v>
      </c>
    </row>
    <row r="228" spans="1:107" x14ac:dyDescent="0.25">
      <c r="A228" s="65"/>
      <c r="B228" t="s">
        <v>858</v>
      </c>
      <c r="C228" t="s">
        <v>869</v>
      </c>
      <c r="E228" t="s">
        <v>17</v>
      </c>
      <c r="F228">
        <v>0</v>
      </c>
      <c r="G228">
        <f>F228 + $D225 * ((F227 - ($D219 + $D223)*F228 + ($D223*F229) - F230) /$D217)</f>
        <v>1.0440340909090911</v>
      </c>
      <c r="H228">
        <f t="shared" ref="H228:BS228" si="60">G228 + $D225 * ((G227 - ($D219 + $D223)*G228 + ($D223*G229) - G230) /$D217)</f>
        <v>2.0754190388384179</v>
      </c>
      <c r="I228">
        <f t="shared" si="60"/>
        <v>3.0939449311772647</v>
      </c>
      <c r="J228">
        <f t="shared" si="60"/>
        <v>4.0994099254087999</v>
      </c>
      <c r="K228">
        <f t="shared" si="60"/>
        <v>5.0916202295130635</v>
      </c>
      <c r="L228">
        <f t="shared" si="60"/>
        <v>6.0703900792534604</v>
      </c>
      <c r="M228">
        <f t="shared" si="60"/>
        <v>7.0355417123964425</v>
      </c>
      <c r="N228">
        <f t="shared" si="60"/>
        <v>7.9869053399147383</v>
      </c>
      <c r="O228">
        <f t="shared" si="60"/>
        <v>8.9243191142250655</v>
      </c>
      <c r="P228">
        <f t="shared" si="60"/>
        <v>9.8476290945118805</v>
      </c>
      <c r="Q228">
        <f t="shared" si="60"/>
        <v>10.756689209189249</v>
      </c>
      <c r="R228">
        <f t="shared" si="60"/>
        <v>11.651361215553449</v>
      </c>
      <c r="S228">
        <f t="shared" si="60"/>
        <v>12.531514656679443</v>
      </c>
      <c r="T228">
        <f t="shared" si="60"/>
        <v>13.397026815614788</v>
      </c>
      <c r="U228">
        <f t="shared" si="60"/>
        <v>14.247782666925003</v>
      </c>
      <c r="V228">
        <f t="shared" si="60"/>
        <v>15.083674825644843</v>
      </c>
      <c r="W228">
        <f t="shared" si="60"/>
        <v>15.904603493690297</v>
      </c>
      <c r="X228">
        <f t="shared" si="60"/>
        <v>16.710476403786476</v>
      </c>
      <c r="Y228">
        <f t="shared" si="60"/>
        <v>17.501208760966904</v>
      </c>
      <c r="Z228">
        <f t="shared" si="60"/>
        <v>18.276723181700007</v>
      </c>
      <c r="AA228">
        <f t="shared" si="60"/>
        <v>19.036949630698892</v>
      </c>
      <c r="AB228">
        <f t="shared" si="60"/>
        <v>19.781825355470716</v>
      </c>
      <c r="AC228">
        <f t="shared" si="60"/>
        <v>20.511294818662211</v>
      </c>
      <c r="AD228">
        <f t="shared" si="60"/>
        <v>21.225309628258103</v>
      </c>
      <c r="AE228">
        <f t="shared" si="60"/>
        <v>21.92382846568929</v>
      </c>
      <c r="AF228">
        <f t="shared" si="60"/>
        <v>22.606817011907882</v>
      </c>
      <c r="AG228">
        <f t="shared" si="60"/>
        <v>23.27424787148621</v>
      </c>
      <c r="AH228">
        <f t="shared" si="60"/>
        <v>23.926100494797083</v>
      </c>
      <c r="AI228">
        <f t="shared" si="60"/>
        <v>24.562361098332605</v>
      </c>
      <c r="AJ228">
        <f t="shared" si="60"/>
        <v>25.183022583218879</v>
      </c>
      <c r="AK228">
        <f t="shared" si="60"/>
        <v>25.788084451984016</v>
      </c>
      <c r="AL228">
        <f t="shared" si="60"/>
        <v>26.377552723636761</v>
      </c>
      <c r="AM228">
        <f t="shared" si="60"/>
        <v>26.951439847113093</v>
      </c>
      <c r="AN228">
        <f t="shared" si="60"/>
        <v>27.509764613148054</v>
      </c>
      <c r="AO228">
        <f t="shared" si="60"/>
        <v>28.052552064630017</v>
      </c>
      <c r="AP228">
        <f t="shared" si="60"/>
        <v>28.579833405494462</v>
      </c>
      <c r="AQ228">
        <f t="shared" si="60"/>
        <v>29.091645908214236</v>
      </c>
      <c r="AR228">
        <f t="shared" si="60"/>
        <v>29.588032819943116</v>
      </c>
      <c r="AS228">
        <f t="shared" si="60"/>
        <v>30.069043267369313</v>
      </c>
      <c r="AT228">
        <f t="shared" si="60"/>
        <v>30.534732160335388</v>
      </c>
      <c r="AU228">
        <f t="shared" si="60"/>
        <v>30.985160094280801</v>
      </c>
      <c r="AV228">
        <f t="shared" si="60"/>
        <v>31.420393251563144</v>
      </c>
      <c r="AW228">
        <f t="shared" si="60"/>
        <v>31.840503301713788</v>
      </c>
      <c r="AX228">
        <f t="shared" si="60"/>
        <v>32.245567300683426</v>
      </c>
      <c r="AY228">
        <f t="shared" si="60"/>
        <v>32.63566758913273</v>
      </c>
      <c r="AZ228">
        <f t="shared" si="60"/>
        <v>33.010891689822998</v>
      </c>
      <c r="BA228">
        <f t="shared" si="60"/>
        <v>33.37133220416132</v>
      </c>
      <c r="BB228">
        <f t="shared" si="60"/>
        <v>33.717086707954493</v>
      </c>
      <c r="BC228">
        <f t="shared" si="60"/>
        <v>34.048257646425498</v>
      </c>
      <c r="BD228">
        <f t="shared" si="60"/>
        <v>34.364952228545974</v>
      </c>
      <c r="BE228">
        <f t="shared" si="60"/>
        <v>34.66728232073779</v>
      </c>
      <c r="BF228">
        <f t="shared" si="60"/>
        <v>34.955364339996279</v>
      </c>
      <c r="BG228">
        <f t="shared" si="60"/>
        <v>35.229319146487327</v>
      </c>
      <c r="BH228">
        <f t="shared" si="60"/>
        <v>35.489271935670097</v>
      </c>
      <c r="BI228">
        <f t="shared" si="60"/>
        <v>35.735352129996606</v>
      </c>
      <c r="BJ228">
        <f t="shared" si="60"/>
        <v>35.967693270238975</v>
      </c>
      <c r="BK228">
        <f t="shared" si="60"/>
        <v>36.186432906494588</v>
      </c>
      <c r="BL228">
        <f t="shared" si="60"/>
        <v>36.391712488918984</v>
      </c>
      <c r="BM228">
        <f t="shared" si="60"/>
        <v>36.583677258235674</v>
      </c>
      <c r="BN228">
        <f t="shared" si="60"/>
        <v>36.762476136071619</v>
      </c>
      <c r="BO228">
        <f t="shared" si="60"/>
        <v>36.928261615166505</v>
      </c>
      <c r="BP228">
        <f t="shared" si="60"/>
        <v>37.081189649503365</v>
      </c>
      <c r="BQ228">
        <f t="shared" si="60"/>
        <v>37.221419544407574</v>
      </c>
      <c r="BR228">
        <f t="shared" si="60"/>
        <v>37.349113846660636</v>
      </c>
      <c r="BS228">
        <f t="shared" si="60"/>
        <v>37.464438234674482</v>
      </c>
      <c r="BT228">
        <f t="shared" ref="BT228:DB228" si="61">BS228 + $D225 * ((BS227 - ($D219 + $D223)*BS228 + ($D223*BS229) - BS230) /$D217)</f>
        <v>37.567561408771567</v>
      </c>
      <c r="BU228">
        <f t="shared" si="61"/>
        <v>37.658654981615236</v>
      </c>
      <c r="BV228">
        <f t="shared" si="61"/>
        <v>37.737893368834342</v>
      </c>
      <c r="BW228">
        <f t="shared" si="61"/>
        <v>37.805453679885318</v>
      </c>
      <c r="BX228">
        <f t="shared" si="61"/>
        <v>37.861515609194377</v>
      </c>
      <c r="BY228">
        <f t="shared" si="61"/>
        <v>37.906261327621756</v>
      </c>
      <c r="BZ228">
        <f t="shared" si="61"/>
        <v>37.939875374289279</v>
      </c>
      <c r="CA228">
        <f t="shared" si="61"/>
        <v>37.96254454881182</v>
      </c>
      <c r="CB228">
        <f t="shared" si="61"/>
        <v>37.974457803972584</v>
      </c>
      <c r="CC228">
        <f t="shared" si="61"/>
        <v>37.975806138881339</v>
      </c>
      <c r="CD228">
        <f t="shared" si="61"/>
        <v>37.96678249265419</v>
      </c>
      <c r="CE228">
        <f t="shared" si="61"/>
        <v>37.947581638652537</v>
      </c>
      <c r="CF228">
        <f t="shared" si="61"/>
        <v>37.918400079318374</v>
      </c>
      <c r="CG228">
        <f t="shared" si="61"/>
        <v>37.879435941642193</v>
      </c>
      <c r="CH228">
        <f t="shared" si="61"/>
        <v>37.830888873299095</v>
      </c>
      <c r="CI228">
        <f t="shared" si="61"/>
        <v>37.772959939487983</v>
      </c>
      <c r="CJ228">
        <f t="shared" si="61"/>
        <v>37.705851520507892</v>
      </c>
      <c r="CK228">
        <f t="shared" si="61"/>
        <v>37.629767210104887</v>
      </c>
      <c r="CL228">
        <f t="shared" si="61"/>
        <v>37.54491171462206</v>
      </c>
      <c r="CM228">
        <f t="shared" si="61"/>
        <v>37.451490752984498</v>
      </c>
      <c r="CN228">
        <f t="shared" si="61"/>
        <v>37.349710957550379</v>
      </c>
      <c r="CO228">
        <f t="shared" si="61"/>
        <v>37.239779775858416</v>
      </c>
      <c r="CP228">
        <f t="shared" si="61"/>
        <v>37.121905373301274</v>
      </c>
      <c r="CQ228">
        <f t="shared" si="61"/>
        <v>36.996296536753725</v>
      </c>
      <c r="CR228">
        <f t="shared" si="61"/>
        <v>36.863162579183587</v>
      </c>
      <c r="CS228">
        <f t="shared" si="61"/>
        <v>36.722713245272672</v>
      </c>
      <c r="CT228">
        <f t="shared" si="61"/>
        <v>36.575158618074198</v>
      </c>
      <c r="CU228">
        <f t="shared" si="61"/>
        <v>36.420709026732439</v>
      </c>
      <c r="CV228">
        <f t="shared" si="61"/>
        <v>36.259574955289409</v>
      </c>
      <c r="CW228">
        <f t="shared" si="61"/>
        <v>36.091966952602874</v>
      </c>
      <c r="CX228">
        <f t="shared" si="61"/>
        <v>35.918095543398934</v>
      </c>
      <c r="CY228">
        <f t="shared" si="61"/>
        <v>35.738171140481839</v>
      </c>
      <c r="CZ228">
        <f t="shared" si="61"/>
        <v>35.552403958122831</v>
      </c>
      <c r="DA228">
        <f t="shared" si="61"/>
        <v>35.361003926649069</v>
      </c>
      <c r="DB228">
        <f t="shared" si="61"/>
        <v>35.164180608252899</v>
      </c>
    </row>
    <row r="229" spans="1:107" x14ac:dyDescent="0.25">
      <c r="A229" s="65"/>
      <c r="B229" t="s">
        <v>870</v>
      </c>
      <c r="C229" t="s">
        <v>871</v>
      </c>
      <c r="E229" t="s">
        <v>17</v>
      </c>
      <c r="F229">
        <v>0</v>
      </c>
      <c r="G229" s="1">
        <f t="shared" ref="G229:AL229" si="62">F229 + $D225 * (($D223*(F228 - F229) + F230) /$D218)</f>
        <v>0</v>
      </c>
      <c r="H229" s="1">
        <f t="shared" si="62"/>
        <v>1.5860409163413812E-3</v>
      </c>
      <c r="I229" s="1">
        <f t="shared" si="62"/>
        <v>4.7955019151359243E-3</v>
      </c>
      <c r="J229" s="1">
        <f t="shared" si="62"/>
        <v>9.6645819761661256E-3</v>
      </c>
      <c r="K229" s="1">
        <f t="shared" si="62"/>
        <v>1.6228299969506886E-2</v>
      </c>
      <c r="L229" s="1">
        <f t="shared" si="62"/>
        <v>2.4520495225047741E-2</v>
      </c>
      <c r="M229" s="1">
        <f t="shared" si="62"/>
        <v>3.4573828588320532E-2</v>
      </c>
      <c r="N229" s="1">
        <f t="shared" si="62"/>
        <v>4.6419783955918989E-2</v>
      </c>
      <c r="O229" s="1">
        <f t="shared" si="62"/>
        <v>6.0088670283682512E-2</v>
      </c>
      <c r="P229" s="1">
        <f t="shared" si="62"/>
        <v>7.5609624060706648E-2</v>
      </c>
      <c r="Q229" s="1">
        <f t="shared" si="62"/>
        <v>9.3010612242137386E-2</v>
      </c>
      <c r="R229" s="1">
        <f t="shared" si="62"/>
        <v>0.11231843563360495</v>
      </c>
      <c r="S229" s="1">
        <f t="shared" si="62"/>
        <v>0.13355873272005625</v>
      </c>
      <c r="T229" s="1">
        <f t="shared" si="62"/>
        <v>0.15675598393165216</v>
      </c>
      <c r="U229" s="1">
        <f t="shared" si="62"/>
        <v>0.18193351633930782</v>
      </c>
      <c r="V229" s="1">
        <f t="shared" si="62"/>
        <v>0.20911350877236987</v>
      </c>
      <c r="W229" s="1">
        <f t="shared" si="62"/>
        <v>0.23831699735084444</v>
      </c>
      <c r="X229" s="1">
        <f t="shared" si="62"/>
        <v>0.26956388142451476</v>
      </c>
      <c r="Y229" s="1">
        <f t="shared" si="62"/>
        <v>0.30287292991121484</v>
      </c>
      <c r="Z229" s="1">
        <f t="shared" si="62"/>
        <v>0.33826178802645923</v>
      </c>
      <c r="AA229" s="1">
        <f t="shared" si="62"/>
        <v>0.3757469843965649</v>
      </c>
      <c r="AB229" s="1">
        <f t="shared" si="62"/>
        <v>0.41534393854734281</v>
      </c>
      <c r="AC229" s="1">
        <f t="shared" si="62"/>
        <v>0.45706696876038155</v>
      </c>
      <c r="AD229" s="1">
        <f t="shared" si="62"/>
        <v>0.50092930028889415</v>
      </c>
      <c r="AE229" s="1">
        <f t="shared" si="62"/>
        <v>0.54694307392505281</v>
      </c>
      <c r="AF229" s="1">
        <f t="shared" si="62"/>
        <v>0.59511935491069279</v>
      </c>
      <c r="AG229" s="1">
        <f t="shared" si="62"/>
        <v>0.64546814218322779</v>
      </c>
      <c r="AH229" s="1">
        <f t="shared" si="62"/>
        <v>0.69799837794858477</v>
      </c>
      <c r="AI229" s="1">
        <f t="shared" si="62"/>
        <v>0.75271795757293414</v>
      </c>
      <c r="AJ229" s="1">
        <f t="shared" si="62"/>
        <v>0.80963373978496345</v>
      </c>
      <c r="AK229" s="1">
        <f t="shared" si="62"/>
        <v>0.86875155718042085</v>
      </c>
      <c r="AL229" s="1">
        <f t="shared" si="62"/>
        <v>0.93007622702063342</v>
      </c>
      <c r="AM229" s="1">
        <f t="shared" ref="AM229:BR229" si="63">AL229 + $D225 * (($D223*(AL228 - AL229) + AL230) /$D218)</f>
        <v>0.99361156231668979</v>
      </c>
      <c r="AN229" s="1">
        <f t="shared" si="63"/>
        <v>1.0593603831909635</v>
      </c>
      <c r="AO229" s="1">
        <f t="shared" si="63"/>
        <v>1.1273245285076468</v>
      </c>
      <c r="AP229" s="1">
        <f t="shared" si="63"/>
        <v>1.1975048677639566</v>
      </c>
      <c r="AQ229" s="1">
        <f t="shared" si="63"/>
        <v>1.2699013132336752</v>
      </c>
      <c r="AR229" s="1">
        <f t="shared" si="63"/>
        <v>1.3445128323546884</v>
      </c>
      <c r="AS229" s="1">
        <f t="shared" si="63"/>
        <v>1.4213374603521909</v>
      </c>
      <c r="AT229" s="1">
        <f t="shared" si="63"/>
        <v>1.5003723130892361</v>
      </c>
      <c r="AU229" s="1">
        <f t="shared" si="63"/>
        <v>1.5816136001363206</v>
      </c>
      <c r="AV229" s="1">
        <f t="shared" si="63"/>
        <v>1.6650566380517078</v>
      </c>
      <c r="AW229" s="1">
        <f t="shared" si="63"/>
        <v>1.7506958638642167</v>
      </c>
      <c r="AX229" s="1">
        <f t="shared" si="63"/>
        <v>1.8385248487502202</v>
      </c>
      <c r="AY229" s="1">
        <f t="shared" si="63"/>
        <v>1.9285363118966254</v>
      </c>
      <c r="AZ229" s="1">
        <f t="shared" si="63"/>
        <v>2.0207221345416353</v>
      </c>
      <c r="BA229" s="1">
        <f t="shared" si="63"/>
        <v>2.1150733741851218</v>
      </c>
      <c r="BB229" s="1">
        <f t="shared" si="63"/>
        <v>2.2115802789604775</v>
      </c>
      <c r="BC229" s="1">
        <f t="shared" si="63"/>
        <v>2.3102323021598483</v>
      </c>
      <c r="BD229" s="1">
        <f t="shared" si="63"/>
        <v>2.4110181169046871</v>
      </c>
      <c r="BE229" s="1">
        <f t="shared" si="63"/>
        <v>2.5139256309536191</v>
      </c>
      <c r="BF229" s="1">
        <f t="shared" si="63"/>
        <v>2.6189420016396467</v>
      </c>
      <c r="BG229" s="1">
        <f t="shared" si="63"/>
        <v>2.7260536509287765</v>
      </c>
      <c r="BH229" s="1">
        <f t="shared" si="63"/>
        <v>2.8352462805922012</v>
      </c>
      <c r="BI229" s="1">
        <f t="shared" si="63"/>
        <v>2.9465048874842181</v>
      </c>
      <c r="BJ229" s="1">
        <f t="shared" si="63"/>
        <v>3.0598137789181332</v>
      </c>
      <c r="BK229" s="1">
        <f t="shared" si="63"/>
        <v>3.1751565881324439</v>
      </c>
      <c r="BL229" s="1">
        <f t="shared" si="63"/>
        <v>3.2925162898396718</v>
      </c>
      <c r="BM229" s="1">
        <f t="shared" si="63"/>
        <v>3.4118752158502645</v>
      </c>
      <c r="BN229" s="1">
        <f t="shared" si="63"/>
        <v>3.5332150707640668</v>
      </c>
      <c r="BO229" s="1">
        <f t="shared" si="63"/>
        <v>3.6565169477219155</v>
      </c>
      <c r="BP229" s="1">
        <f t="shared" si="63"/>
        <v>3.7817613442099969</v>
      </c>
      <c r="BQ229" s="1">
        <f t="shared" si="63"/>
        <v>3.9089281779096674</v>
      </c>
      <c r="BR229" s="1">
        <f t="shared" si="63"/>
        <v>4.0379968025855204</v>
      </c>
      <c r="BS229" s="1">
        <f t="shared" ref="BS229:DB229" si="64">BR229 + $D225 * (($D223*(BR228 - BR229) + BR230) /$D218)</f>
        <v>4.1689460240045539</v>
      </c>
      <c r="BT229" s="1">
        <f t="shared" si="64"/>
        <v>4.3017541158793806</v>
      </c>
      <c r="BU229" s="1">
        <f t="shared" si="64"/>
        <v>4.4363988358284905</v>
      </c>
      <c r="BV229" s="1">
        <f t="shared" si="64"/>
        <v>4.5728574413466729</v>
      </c>
      <c r="BW229" s="1">
        <f t="shared" si="64"/>
        <v>4.7111067057787821</v>
      </c>
      <c r="BX229" s="1">
        <f t="shared" si="64"/>
        <v>4.8511229342901148</v>
      </c>
      <c r="BY229" s="1">
        <f t="shared" si="64"/>
        <v>4.9928819798267607</v>
      </c>
      <c r="BZ229" s="1">
        <f t="shared" si="64"/>
        <v>5.1363592590593807</v>
      </c>
      <c r="CA229" s="1">
        <f t="shared" si="64"/>
        <v>5.2815297683039439</v>
      </c>
      <c r="CB229" s="1">
        <f t="shared" si="64"/>
        <v>5.4283680994130687</v>
      </c>
      <c r="CC229" s="1">
        <f t="shared" si="64"/>
        <v>5.576848455631688</v>
      </c>
      <c r="CD229" s="1">
        <f t="shared" si="64"/>
        <v>5.7269446674108675</v>
      </c>
      <c r="CE229" s="1">
        <f t="shared" si="64"/>
        <v>5.8786302081736945</v>
      </c>
      <c r="CF229" s="1">
        <f t="shared" si="64"/>
        <v>6.031878210027263</v>
      </c>
      <c r="CG229" s="1">
        <f t="shared" si="64"/>
        <v>6.1866614794148669</v>
      </c>
      <c r="CH229" s="1">
        <f t="shared" si="64"/>
        <v>6.3429525127026301</v>
      </c>
      <c r="CI229" s="1">
        <f t="shared" si="64"/>
        <v>6.500723511694888</v>
      </c>
      <c r="CJ229" s="1">
        <f t="shared" si="64"/>
        <v>6.6599463990727523</v>
      </c>
      <c r="CK229" s="1">
        <f t="shared" si="64"/>
        <v>6.8205928337503838</v>
      </c>
      <c r="CL229" s="1">
        <f t="shared" si="64"/>
        <v>6.9826342261436114</v>
      </c>
      <c r="CM229" s="1">
        <f t="shared" si="64"/>
        <v>7.1460417533456342</v>
      </c>
      <c r="CN229" s="1">
        <f t="shared" si="64"/>
        <v>7.3107863742046586</v>
      </c>
      <c r="CO229" s="1">
        <f t="shared" si="64"/>
        <v>7.4768388442984177</v>
      </c>
      <c r="CP229" s="1">
        <f t="shared" si="64"/>
        <v>7.644169730800642</v>
      </c>
      <c r="CQ229" s="1">
        <f t="shared" si="64"/>
        <v>7.8127494272346514</v>
      </c>
      <c r="CR229" s="1">
        <f t="shared" si="64"/>
        <v>7.9825481681093509</v>
      </c>
      <c r="CS229" s="1">
        <f t="shared" si="64"/>
        <v>8.1535360434330126</v>
      </c>
      <c r="CT229" s="1">
        <f t="shared" si="64"/>
        <v>8.3256830131003667</v>
      </c>
      <c r="CU229" s="1">
        <f t="shared" si="64"/>
        <v>8.4989589211485814</v>
      </c>
      <c r="CV229" s="1">
        <f t="shared" si="64"/>
        <v>8.6733335098778941</v>
      </c>
      <c r="CW229" s="1">
        <f t="shared" si="64"/>
        <v>8.8487764338327004</v>
      </c>
      <c r="CX229" s="1">
        <f t="shared" si="64"/>
        <v>9.0252572736390615</v>
      </c>
      <c r="CY229" s="1">
        <f t="shared" si="64"/>
        <v>9.2027455496946899</v>
      </c>
      <c r="CZ229" s="1">
        <f t="shared" si="64"/>
        <v>9.3812107357075902</v>
      </c>
      <c r="DA229" s="1">
        <f t="shared" si="64"/>
        <v>9.5606222720796232</v>
      </c>
      <c r="DB229" s="1">
        <f t="shared" si="64"/>
        <v>9.7409495791314189</v>
      </c>
      <c r="DC229" s="1"/>
    </row>
    <row r="230" spans="1:107" x14ac:dyDescent="0.25">
      <c r="A230" s="65"/>
      <c r="B230" t="s">
        <v>872</v>
      </c>
      <c r="C230" t="s">
        <v>873</v>
      </c>
      <c r="E230" t="s">
        <v>18</v>
      </c>
      <c r="F230">
        <v>0</v>
      </c>
      <c r="G230">
        <f t="shared" ref="G230:AL230" si="65">F230 + $D225 * ((F228 -F229) / $D224)</f>
        <v>0</v>
      </c>
      <c r="H230">
        <f t="shared" si="65"/>
        <v>1.5993169284759363E-2</v>
      </c>
      <c r="I230">
        <f t="shared" si="65"/>
        <v>4.7761444375477448E-2</v>
      </c>
      <c r="J230">
        <f t="shared" si="65"/>
        <v>9.5082973622752726E-2</v>
      </c>
      <c r="K230">
        <f t="shared" si="65"/>
        <v>0.1577322589081791</v>
      </c>
      <c r="L230">
        <f t="shared" si="65"/>
        <v>0.23548029704456938</v>
      </c>
      <c r="M230">
        <f t="shared" si="65"/>
        <v>0.32809472081951446</v>
      </c>
      <c r="N230">
        <f t="shared" si="65"/>
        <v>0.43533993962784967</v>
      </c>
      <c r="O230">
        <f t="shared" si="65"/>
        <v>0.55697727963947374</v>
      </c>
      <c r="P230">
        <f t="shared" si="65"/>
        <v>0.69276512344985031</v>
      </c>
      <c r="Q230">
        <f t="shared" si="65"/>
        <v>0.84245904916141856</v>
      </c>
      <c r="R230">
        <f t="shared" si="65"/>
        <v>1.0058119688450446</v>
      </c>
      <c r="S230">
        <f t="shared" si="65"/>
        <v>1.1825742663315619</v>
      </c>
      <c r="T230">
        <f t="shared" si="65"/>
        <v>1.3724939342843712</v>
      </c>
      <c r="U230">
        <f t="shared" si="65"/>
        <v>1.5753167105050074</v>
      </c>
      <c r="V230">
        <f t="shared" si="65"/>
        <v>1.7907862134245187</v>
      </c>
      <c r="W230">
        <f t="shared" si="65"/>
        <v>2.0186440767344527</v>
      </c>
      <c r="X230">
        <f t="shared" si="65"/>
        <v>2.2586300831122017</v>
      </c>
      <c r="Y230">
        <f t="shared" si="65"/>
        <v>2.5104822969964231</v>
      </c>
      <c r="Z230">
        <f t="shared" si="65"/>
        <v>2.7739371963692125</v>
      </c>
      <c r="AA230">
        <f t="shared" si="65"/>
        <v>3.0487298035026922</v>
      </c>
      <c r="AB230">
        <f t="shared" si="65"/>
        <v>3.3345938146286471</v>
      </c>
      <c r="AC230">
        <f t="shared" si="65"/>
        <v>3.6312617284908311</v>
      </c>
      <c r="AD230">
        <f t="shared" si="65"/>
        <v>3.9384649737405528</v>
      </c>
      <c r="AE230">
        <f t="shared" si="65"/>
        <v>4.2559340351371402</v>
      </c>
      <c r="AF230">
        <f t="shared" si="65"/>
        <v>4.5833985785158813</v>
      </c>
      <c r="AG230">
        <f t="shared" si="65"/>
        <v>4.9205875744870395</v>
      </c>
      <c r="AH230">
        <f t="shared" si="65"/>
        <v>5.267229420830529</v>
      </c>
      <c r="AI230">
        <f t="shared" si="65"/>
        <v>5.6230520635518602</v>
      </c>
      <c r="AJ230">
        <f t="shared" si="65"/>
        <v>5.9877831165659483</v>
      </c>
      <c r="AK230">
        <f t="shared" si="65"/>
        <v>6.3611499799763944</v>
      </c>
      <c r="AL230">
        <f t="shared" si="65"/>
        <v>6.7428799569188511</v>
      </c>
      <c r="AM230">
        <f t="shared" ref="AM230:BR230" si="66">AL230 + $D225 * ((AL228 -AL229) / $D224)</f>
        <v>7.1327003689380932</v>
      </c>
      <c r="AN230">
        <f t="shared" si="66"/>
        <v>7.530338669869411</v>
      </c>
      <c r="AO230">
        <f t="shared" si="66"/>
        <v>7.9355225581959594</v>
      </c>
      <c r="AP230">
        <f t="shared" si="66"/>
        <v>8.3479800878546975</v>
      </c>
      <c r="AQ230">
        <f t="shared" si="66"/>
        <v>8.7674397774645403</v>
      </c>
      <c r="AR230">
        <f t="shared" si="66"/>
        <v>9.1936307179513754</v>
      </c>
      <c r="AS230">
        <f t="shared" si="66"/>
        <v>9.6262826785455609</v>
      </c>
      <c r="AT230">
        <f t="shared" si="66"/>
        <v>10.065126211128543</v>
      </c>
      <c r="AU230">
        <f t="shared" si="66"/>
        <v>10.509892752906211</v>
      </c>
      <c r="AV230">
        <f t="shared" si="66"/>
        <v>10.96031472738759</v>
      </c>
      <c r="AW230">
        <f t="shared" si="66"/>
        <v>11.416125643648488</v>
      </c>
      <c r="AX230">
        <f t="shared" si="66"/>
        <v>11.877060193860645</v>
      </c>
      <c r="AY230">
        <f t="shared" si="66"/>
        <v>12.342854349067956</v>
      </c>
      <c r="AZ230">
        <f t="shared" si="66"/>
        <v>12.813245453192284</v>
      </c>
      <c r="BA230">
        <f t="shared" si="66"/>
        <v>13.287972315252354</v>
      </c>
      <c r="BB230">
        <f t="shared" si="66"/>
        <v>13.766775299780175</v>
      </c>
      <c r="BC230">
        <f t="shared" si="66"/>
        <v>14.249396415420403</v>
      </c>
      <c r="BD230">
        <f t="shared" si="66"/>
        <v>14.735579401698983</v>
      </c>
      <c r="BE230">
        <f t="shared" si="66"/>
        <v>15.225069813948391</v>
      </c>
      <c r="BF230">
        <f t="shared" si="66"/>
        <v>15.717615106377682</v>
      </c>
      <c r="BG230">
        <f t="shared" si="66"/>
        <v>16.212964713276527</v>
      </c>
      <c r="BH230">
        <f t="shared" si="66"/>
        <v>16.710870128343295</v>
      </c>
      <c r="BI230">
        <f t="shared" si="66"/>
        <v>17.211084982128188</v>
      </c>
      <c r="BJ230">
        <f t="shared" si="66"/>
        <v>17.71336511758334</v>
      </c>
      <c r="BK230">
        <f t="shared" si="66"/>
        <v>18.217468663712641</v>
      </c>
      <c r="BL230">
        <f t="shared" si="66"/>
        <v>18.723156107315003</v>
      </c>
      <c r="BM230">
        <f t="shared" si="66"/>
        <v>19.230190362815605</v>
      </c>
      <c r="BN230">
        <f t="shared" si="66"/>
        <v>19.73833684018058</v>
      </c>
      <c r="BO230">
        <f t="shared" si="66"/>
        <v>20.247363510911395</v>
      </c>
      <c r="BP230">
        <f t="shared" si="66"/>
        <v>20.757040972116123</v>
      </c>
      <c r="BQ230">
        <f t="shared" si="66"/>
        <v>21.267142508655542</v>
      </c>
      <c r="BR230">
        <f t="shared" si="66"/>
        <v>21.777444153362925</v>
      </c>
      <c r="BS230">
        <f t="shared" ref="BS230:DB230" si="67">BR230 + $D225 * ((BR228 -BR229) / $D224)</f>
        <v>22.287724745337115</v>
      </c>
      <c r="BT230">
        <f t="shared" si="67"/>
        <v>22.797765986309386</v>
      </c>
      <c r="BU230">
        <f t="shared" si="67"/>
        <v>23.307352495085308</v>
      </c>
      <c r="BV230">
        <f t="shared" si="67"/>
        <v>23.816271860063658</v>
      </c>
      <c r="BW230">
        <f t="shared" si="67"/>
        <v>24.324314689835223</v>
      </c>
      <c r="BX230">
        <f t="shared" si="67"/>
        <v>24.831274661865042</v>
      </c>
      <c r="BY230">
        <f t="shared" si="67"/>
        <v>25.336948569262471</v>
      </c>
      <c r="BZ230">
        <f t="shared" si="67"/>
        <v>25.841136365644136</v>
      </c>
      <c r="CA230">
        <f t="shared" si="67"/>
        <v>26.343641208095576</v>
      </c>
      <c r="CB230">
        <f t="shared" si="67"/>
        <v>26.844269498238159</v>
      </c>
      <c r="CC230">
        <f t="shared" si="67"/>
        <v>27.342830921408495</v>
      </c>
      <c r="CD230">
        <f t="shared" si="67"/>
        <v>27.839138483958276</v>
      </c>
      <c r="CE230">
        <f t="shared" si="67"/>
        <v>28.333008548683203</v>
      </c>
      <c r="CF230">
        <f t="shared" si="67"/>
        <v>28.824260868390294</v>
      </c>
      <c r="CG230">
        <f t="shared" si="67"/>
        <v>29.312718617613502</v>
      </c>
      <c r="CH230">
        <f t="shared" si="67"/>
        <v>29.798208422488308</v>
      </c>
      <c r="CI230">
        <f t="shared" si="67"/>
        <v>30.280560388796466</v>
      </c>
      <c r="CJ230">
        <f t="shared" si="67"/>
        <v>30.759608128192806</v>
      </c>
      <c r="CK230">
        <f t="shared" si="67"/>
        <v>31.235188782626555</v>
      </c>
      <c r="CL230">
        <f t="shared" si="67"/>
        <v>31.70714304697022</v>
      </c>
      <c r="CM230">
        <f t="shared" si="67"/>
        <v>32.175315189869707</v>
      </c>
      <c r="CN230">
        <f t="shared" si="67"/>
        <v>32.639553072829862</v>
      </c>
      <c r="CO230">
        <f t="shared" si="67"/>
        <v>33.099708167550233</v>
      </c>
      <c r="CP230">
        <f t="shared" si="67"/>
        <v>33.555635571526338</v>
      </c>
      <c r="CQ230">
        <f t="shared" si="67"/>
        <v>34.007194021932293</v>
      </c>
      <c r="CR230">
        <f t="shared" si="67"/>
        <v>34.454245907801152</v>
      </c>
      <c r="CS230">
        <f t="shared" si="67"/>
        <v>34.896657280519811</v>
      </c>
      <c r="CT230">
        <f t="shared" si="67"/>
        <v>35.334297862655838</v>
      </c>
      <c r="CU230">
        <f t="shared" si="67"/>
        <v>35.767041055133994</v>
      </c>
      <c r="CV230">
        <f t="shared" si="67"/>
        <v>36.194763942780803</v>
      </c>
      <c r="CW230">
        <f t="shared" si="67"/>
        <v>36.617347298255858</v>
      </c>
      <c r="CX230">
        <f t="shared" si="67"/>
        <v>37.034675584388978</v>
      </c>
      <c r="CY230">
        <f t="shared" si="67"/>
        <v>37.446636954942896</v>
      </c>
      <c r="CZ230">
        <f t="shared" si="67"/>
        <v>37.853123253821373</v>
      </c>
      <c r="DA230">
        <f t="shared" si="67"/>
        <v>38.254030012743172</v>
      </c>
      <c r="DB230">
        <f t="shared" si="67"/>
        <v>38.649256447402628</v>
      </c>
    </row>
    <row r="231" spans="1:107" x14ac:dyDescent="0.25">
      <c r="A231" s="65"/>
      <c r="B231" t="s">
        <v>878</v>
      </c>
      <c r="C231" t="s">
        <v>892</v>
      </c>
      <c r="F231">
        <v>0</v>
      </c>
      <c r="G231">
        <f>F231+1</f>
        <v>1</v>
      </c>
      <c r="H231">
        <f>G231+1</f>
        <v>2</v>
      </c>
      <c r="I231">
        <f>H231+1</f>
        <v>3</v>
      </c>
      <c r="J231">
        <f>I231+1</f>
        <v>4</v>
      </c>
      <c r="K231">
        <f>J231+1</f>
        <v>5</v>
      </c>
      <c r="L231">
        <f t="shared" ref="L231:P231" si="68">K231+1</f>
        <v>6</v>
      </c>
      <c r="M231">
        <f t="shared" si="68"/>
        <v>7</v>
      </c>
      <c r="N231">
        <f t="shared" si="68"/>
        <v>8</v>
      </c>
      <c r="O231">
        <f t="shared" si="68"/>
        <v>9</v>
      </c>
      <c r="P231">
        <f t="shared" si="68"/>
        <v>10</v>
      </c>
      <c r="Q231">
        <f t="shared" ref="Q231:U231" si="69">P231+1</f>
        <v>11</v>
      </c>
      <c r="R231">
        <f t="shared" si="69"/>
        <v>12</v>
      </c>
      <c r="S231">
        <f t="shared" si="69"/>
        <v>13</v>
      </c>
      <c r="T231">
        <f t="shared" si="69"/>
        <v>14</v>
      </c>
      <c r="U231">
        <f t="shared" si="69"/>
        <v>15</v>
      </c>
      <c r="V231">
        <f t="shared" ref="V231:BT231" si="70">U231+1</f>
        <v>16</v>
      </c>
      <c r="W231">
        <f t="shared" si="70"/>
        <v>17</v>
      </c>
      <c r="X231">
        <f t="shared" si="70"/>
        <v>18</v>
      </c>
      <c r="Y231">
        <f t="shared" si="70"/>
        <v>19</v>
      </c>
      <c r="Z231">
        <f t="shared" si="70"/>
        <v>20</v>
      </c>
      <c r="AA231">
        <f t="shared" si="70"/>
        <v>21</v>
      </c>
      <c r="AB231">
        <f t="shared" si="70"/>
        <v>22</v>
      </c>
      <c r="AC231">
        <f t="shared" si="70"/>
        <v>23</v>
      </c>
      <c r="AD231">
        <f t="shared" si="70"/>
        <v>24</v>
      </c>
      <c r="AE231">
        <f t="shared" si="70"/>
        <v>25</v>
      </c>
      <c r="AF231">
        <f t="shared" si="70"/>
        <v>26</v>
      </c>
      <c r="AG231">
        <f t="shared" si="70"/>
        <v>27</v>
      </c>
      <c r="AH231">
        <f t="shared" si="70"/>
        <v>28</v>
      </c>
      <c r="AI231">
        <f t="shared" si="70"/>
        <v>29</v>
      </c>
      <c r="AJ231">
        <f t="shared" si="70"/>
        <v>30</v>
      </c>
      <c r="AK231">
        <f t="shared" si="70"/>
        <v>31</v>
      </c>
      <c r="AL231">
        <f t="shared" si="70"/>
        <v>32</v>
      </c>
      <c r="AM231">
        <f t="shared" si="70"/>
        <v>33</v>
      </c>
      <c r="AN231">
        <f t="shared" si="70"/>
        <v>34</v>
      </c>
      <c r="AO231">
        <f t="shared" si="70"/>
        <v>35</v>
      </c>
      <c r="AP231">
        <f t="shared" si="70"/>
        <v>36</v>
      </c>
      <c r="AQ231">
        <f t="shared" si="70"/>
        <v>37</v>
      </c>
      <c r="AR231">
        <f t="shared" si="70"/>
        <v>38</v>
      </c>
      <c r="AS231">
        <f t="shared" si="70"/>
        <v>39</v>
      </c>
      <c r="AT231">
        <f t="shared" si="70"/>
        <v>40</v>
      </c>
      <c r="AU231">
        <f t="shared" si="70"/>
        <v>41</v>
      </c>
      <c r="AV231">
        <f t="shared" si="70"/>
        <v>42</v>
      </c>
      <c r="AW231">
        <f t="shared" si="70"/>
        <v>43</v>
      </c>
      <c r="AX231">
        <f t="shared" si="70"/>
        <v>44</v>
      </c>
      <c r="AY231">
        <f t="shared" si="70"/>
        <v>45</v>
      </c>
      <c r="AZ231">
        <f t="shared" si="70"/>
        <v>46</v>
      </c>
      <c r="BA231">
        <f t="shared" si="70"/>
        <v>47</v>
      </c>
      <c r="BB231">
        <f t="shared" si="70"/>
        <v>48</v>
      </c>
      <c r="BC231">
        <f t="shared" si="70"/>
        <v>49</v>
      </c>
      <c r="BD231">
        <f t="shared" si="70"/>
        <v>50</v>
      </c>
      <c r="BE231">
        <f t="shared" si="70"/>
        <v>51</v>
      </c>
      <c r="BF231">
        <f t="shared" si="70"/>
        <v>52</v>
      </c>
      <c r="BG231">
        <f t="shared" si="70"/>
        <v>53</v>
      </c>
      <c r="BH231">
        <f t="shared" si="70"/>
        <v>54</v>
      </c>
      <c r="BI231">
        <f t="shared" si="70"/>
        <v>55</v>
      </c>
      <c r="BJ231">
        <f t="shared" si="70"/>
        <v>56</v>
      </c>
      <c r="BK231">
        <f t="shared" si="70"/>
        <v>57</v>
      </c>
      <c r="BL231">
        <f t="shared" si="70"/>
        <v>58</v>
      </c>
      <c r="BM231">
        <f t="shared" si="70"/>
        <v>59</v>
      </c>
      <c r="BN231">
        <f t="shared" si="70"/>
        <v>60</v>
      </c>
      <c r="BO231">
        <f t="shared" si="70"/>
        <v>61</v>
      </c>
      <c r="BP231">
        <f t="shared" si="70"/>
        <v>62</v>
      </c>
      <c r="BQ231">
        <f t="shared" si="70"/>
        <v>63</v>
      </c>
      <c r="BR231">
        <f t="shared" si="70"/>
        <v>64</v>
      </c>
      <c r="BS231">
        <f t="shared" si="70"/>
        <v>65</v>
      </c>
      <c r="BT231">
        <f t="shared" si="70"/>
        <v>66</v>
      </c>
      <c r="BU231">
        <f t="shared" ref="BU231:DB231" si="71">BT231+1</f>
        <v>67</v>
      </c>
      <c r="BV231">
        <f t="shared" si="71"/>
        <v>68</v>
      </c>
      <c r="BW231">
        <f t="shared" si="71"/>
        <v>69</v>
      </c>
      <c r="BX231">
        <f t="shared" si="71"/>
        <v>70</v>
      </c>
      <c r="BY231">
        <f t="shared" si="71"/>
        <v>71</v>
      </c>
      <c r="BZ231">
        <f t="shared" si="71"/>
        <v>72</v>
      </c>
      <c r="CA231">
        <f t="shared" si="71"/>
        <v>73</v>
      </c>
      <c r="CB231">
        <f t="shared" si="71"/>
        <v>74</v>
      </c>
      <c r="CC231">
        <f t="shared" si="71"/>
        <v>75</v>
      </c>
      <c r="CD231">
        <f t="shared" si="71"/>
        <v>76</v>
      </c>
      <c r="CE231">
        <f t="shared" si="71"/>
        <v>77</v>
      </c>
      <c r="CF231">
        <f t="shared" si="71"/>
        <v>78</v>
      </c>
      <c r="CG231">
        <f t="shared" si="71"/>
        <v>79</v>
      </c>
      <c r="CH231">
        <f t="shared" si="71"/>
        <v>80</v>
      </c>
      <c r="CI231">
        <f t="shared" si="71"/>
        <v>81</v>
      </c>
      <c r="CJ231">
        <f t="shared" si="71"/>
        <v>82</v>
      </c>
      <c r="CK231">
        <f t="shared" si="71"/>
        <v>83</v>
      </c>
      <c r="CL231">
        <f t="shared" si="71"/>
        <v>84</v>
      </c>
      <c r="CM231">
        <f t="shared" si="71"/>
        <v>85</v>
      </c>
      <c r="CN231">
        <f t="shared" si="71"/>
        <v>86</v>
      </c>
      <c r="CO231">
        <f t="shared" si="71"/>
        <v>87</v>
      </c>
      <c r="CP231">
        <f t="shared" si="71"/>
        <v>88</v>
      </c>
      <c r="CQ231">
        <f t="shared" si="71"/>
        <v>89</v>
      </c>
      <c r="CR231">
        <f t="shared" si="71"/>
        <v>90</v>
      </c>
      <c r="CS231">
        <f t="shared" si="71"/>
        <v>91</v>
      </c>
      <c r="CT231">
        <f t="shared" si="71"/>
        <v>92</v>
      </c>
      <c r="CU231">
        <f t="shared" si="71"/>
        <v>93</v>
      </c>
      <c r="CV231">
        <f t="shared" si="71"/>
        <v>94</v>
      </c>
      <c r="CW231">
        <f t="shared" si="71"/>
        <v>95</v>
      </c>
      <c r="CX231">
        <f t="shared" si="71"/>
        <v>96</v>
      </c>
      <c r="CY231">
        <f t="shared" si="71"/>
        <v>97</v>
      </c>
      <c r="CZ231">
        <f t="shared" si="71"/>
        <v>98</v>
      </c>
      <c r="DA231">
        <f t="shared" si="71"/>
        <v>99</v>
      </c>
      <c r="DB231">
        <f t="shared" si="71"/>
        <v>100</v>
      </c>
    </row>
    <row r="232" spans="1:107" x14ac:dyDescent="0.25">
      <c r="A232" s="65"/>
      <c r="B232" t="s">
        <v>879</v>
      </c>
      <c r="C232" t="s">
        <v>893</v>
      </c>
      <c r="F232">
        <f>F230*$D214</f>
        <v>0</v>
      </c>
      <c r="G232">
        <f>G230*$D214</f>
        <v>0</v>
      </c>
      <c r="H232">
        <f>H230*POWER($D214, 2)</f>
        <v>1.155506480823864</v>
      </c>
      <c r="I232">
        <f t="shared" ref="I232:BT232" si="72">I230*POWER($D214, 2)</f>
        <v>3.4507643561282455</v>
      </c>
      <c r="J232">
        <f t="shared" si="72"/>
        <v>6.8697448442438844</v>
      </c>
      <c r="K232">
        <f t="shared" si="72"/>
        <v>11.396155706115939</v>
      </c>
      <c r="L232">
        <f t="shared" si="72"/>
        <v>17.013451461470137</v>
      </c>
      <c r="M232">
        <f t="shared" si="72"/>
        <v>23.704843579209921</v>
      </c>
      <c r="N232">
        <f t="shared" si="72"/>
        <v>31.453310638112139</v>
      </c>
      <c r="O232">
        <f t="shared" si="72"/>
        <v>40.241608453951976</v>
      </c>
      <c r="P232">
        <f t="shared" si="72"/>
        <v>50.052280169251688</v>
      </c>
      <c r="Q232">
        <f t="shared" si="72"/>
        <v>60.867666301912493</v>
      </c>
      <c r="R232">
        <f t="shared" si="72"/>
        <v>72.66991474905447</v>
      </c>
      <c r="S232">
        <f t="shared" si="72"/>
        <v>85.440990742455355</v>
      </c>
      <c r="T232">
        <f t="shared" si="72"/>
        <v>99.162686752045815</v>
      </c>
      <c r="U232">
        <f t="shared" si="72"/>
        <v>113.81663233398679</v>
      </c>
      <c r="V232">
        <f t="shared" si="72"/>
        <v>129.38430391992148</v>
      </c>
      <c r="W232">
        <f t="shared" si="72"/>
        <v>145.8470345440642</v>
      </c>
      <c r="X232">
        <f t="shared" si="72"/>
        <v>163.18602350485656</v>
      </c>
      <c r="Y232">
        <f t="shared" si="72"/>
        <v>181.38234595799156</v>
      </c>
      <c r="Z232">
        <f t="shared" si="72"/>
        <v>200.41696243767561</v>
      </c>
      <c r="AA232">
        <f t="shared" si="72"/>
        <v>220.27072830306952</v>
      </c>
      <c r="AB232">
        <f t="shared" si="72"/>
        <v>240.92440310691975</v>
      </c>
      <c r="AC232">
        <f t="shared" si="72"/>
        <v>262.35865988346256</v>
      </c>
      <c r="AD232">
        <f t="shared" si="72"/>
        <v>284.55409435275493</v>
      </c>
      <c r="AE232">
        <f t="shared" si="72"/>
        <v>307.49123403865838</v>
      </c>
      <c r="AF232">
        <f t="shared" si="72"/>
        <v>331.15054729777245</v>
      </c>
      <c r="AG232">
        <f t="shared" si="72"/>
        <v>355.51245225668862</v>
      </c>
      <c r="AH232">
        <f t="shared" si="72"/>
        <v>380.55732565500574</v>
      </c>
      <c r="AI232">
        <f t="shared" si="72"/>
        <v>406.26551159162187</v>
      </c>
      <c r="AJ232">
        <f t="shared" si="72"/>
        <v>432.61733017188976</v>
      </c>
      <c r="AK232">
        <f t="shared" si="72"/>
        <v>459.59308605329448</v>
      </c>
      <c r="AL232">
        <f t="shared" si="72"/>
        <v>487.17307688738697</v>
      </c>
      <c r="AM232">
        <f t="shared" si="72"/>
        <v>515.33760165577723</v>
      </c>
      <c r="AN232">
        <f t="shared" si="72"/>
        <v>544.06696889806494</v>
      </c>
      <c r="AO232">
        <f t="shared" si="72"/>
        <v>573.34150482965811</v>
      </c>
      <c r="AP232">
        <f t="shared" si="72"/>
        <v>603.14156134750192</v>
      </c>
      <c r="AQ232">
        <f t="shared" si="72"/>
        <v>633.44752392181306</v>
      </c>
      <c r="AR232">
        <f t="shared" si="72"/>
        <v>664.23981937198687</v>
      </c>
      <c r="AS232">
        <f t="shared" si="72"/>
        <v>695.49892352491679</v>
      </c>
      <c r="AT232">
        <f t="shared" si="72"/>
        <v>727.20536875403729</v>
      </c>
      <c r="AU232">
        <f t="shared" si="72"/>
        <v>759.33975139747372</v>
      </c>
      <c r="AV232">
        <f t="shared" si="72"/>
        <v>791.88273905375343</v>
      </c>
      <c r="AW232">
        <f t="shared" si="72"/>
        <v>824.8150777536033</v>
      </c>
      <c r="AX232">
        <f t="shared" si="72"/>
        <v>858.11759900643165</v>
      </c>
      <c r="AY232">
        <f t="shared" si="72"/>
        <v>891.7712267201598</v>
      </c>
      <c r="AZ232">
        <f t="shared" si="72"/>
        <v>925.75698399314251</v>
      </c>
      <c r="BA232">
        <f t="shared" si="72"/>
        <v>960.05599977698262</v>
      </c>
      <c r="BB232">
        <f t="shared" si="72"/>
        <v>994.64951540911761</v>
      </c>
      <c r="BC232">
        <f t="shared" si="72"/>
        <v>1029.5188910141242</v>
      </c>
      <c r="BD232">
        <f t="shared" si="72"/>
        <v>1064.6456117727514</v>
      </c>
      <c r="BE232">
        <f t="shared" si="72"/>
        <v>1100.0112940577712</v>
      </c>
      <c r="BF232">
        <f t="shared" si="72"/>
        <v>1135.5976914357875</v>
      </c>
      <c r="BG232">
        <f t="shared" si="72"/>
        <v>1171.386700534229</v>
      </c>
      <c r="BH232">
        <f t="shared" si="72"/>
        <v>1207.360366772803</v>
      </c>
      <c r="BI232">
        <f t="shared" si="72"/>
        <v>1243.5008899587615</v>
      </c>
      <c r="BJ232">
        <f t="shared" si="72"/>
        <v>1279.7906297453962</v>
      </c>
      <c r="BK232">
        <f t="shared" si="72"/>
        <v>1316.2121109532384</v>
      </c>
      <c r="BL232">
        <f t="shared" si="72"/>
        <v>1352.7480287535088</v>
      </c>
      <c r="BM232">
        <f t="shared" si="72"/>
        <v>1389.3812537134274</v>
      </c>
      <c r="BN232">
        <f t="shared" si="72"/>
        <v>1426.0948367030469</v>
      </c>
      <c r="BO232">
        <f t="shared" si="72"/>
        <v>1462.8720136633483</v>
      </c>
      <c r="BP232">
        <f t="shared" si="72"/>
        <v>1499.6962102353898</v>
      </c>
      <c r="BQ232">
        <f t="shared" si="72"/>
        <v>1536.551046250363</v>
      </c>
      <c r="BR232">
        <f t="shared" si="72"/>
        <v>1573.4203400804713</v>
      </c>
      <c r="BS232">
        <f t="shared" si="72"/>
        <v>1610.2881128506067</v>
      </c>
      <c r="BT232">
        <f t="shared" si="72"/>
        <v>1647.1385925108532</v>
      </c>
      <c r="BU232">
        <f t="shared" ref="BU232:DB232" si="73">BU230*POWER($D214, 2)</f>
        <v>1683.9562177699136</v>
      </c>
      <c r="BV232">
        <f t="shared" si="73"/>
        <v>1720.7256418895993</v>
      </c>
      <c r="BW232">
        <f t="shared" si="73"/>
        <v>1757.4317363405949</v>
      </c>
      <c r="BX232">
        <f t="shared" si="73"/>
        <v>1794.0595943197493</v>
      </c>
      <c r="BY232">
        <f t="shared" si="73"/>
        <v>1830.5945341292136</v>
      </c>
      <c r="BZ232">
        <f t="shared" si="73"/>
        <v>1867.0221024177888</v>
      </c>
      <c r="CA232">
        <f t="shared" si="73"/>
        <v>1903.3280772849055</v>
      </c>
      <c r="CB232">
        <f t="shared" si="73"/>
        <v>1939.4984712477069</v>
      </c>
      <c r="CC232">
        <f t="shared" si="73"/>
        <v>1975.5195340717637</v>
      </c>
      <c r="CD232">
        <f t="shared" si="73"/>
        <v>2011.3777554659855</v>
      </c>
      <c r="CE232">
        <f t="shared" si="73"/>
        <v>2047.0598676423615</v>
      </c>
      <c r="CF232">
        <f t="shared" si="73"/>
        <v>2082.5528477411985</v>
      </c>
      <c r="CG232">
        <f t="shared" si="73"/>
        <v>2117.8439201225756</v>
      </c>
      <c r="CH232">
        <f t="shared" si="73"/>
        <v>2152.9205585247801</v>
      </c>
      <c r="CI232">
        <f t="shared" si="73"/>
        <v>2187.7704880905449</v>
      </c>
      <c r="CJ232">
        <f t="shared" si="73"/>
        <v>2222.3816872619304</v>
      </c>
      <c r="CK232">
        <f t="shared" si="73"/>
        <v>2256.7423895447687</v>
      </c>
      <c r="CL232">
        <f t="shared" si="73"/>
        <v>2290.8410851435983</v>
      </c>
      <c r="CM232">
        <f t="shared" si="73"/>
        <v>2324.6665224680864</v>
      </c>
      <c r="CN232">
        <f t="shared" si="73"/>
        <v>2358.2077095119575</v>
      </c>
      <c r="CO232">
        <f t="shared" si="73"/>
        <v>2391.4539151055042</v>
      </c>
      <c r="CP232">
        <f t="shared" si="73"/>
        <v>2424.3946700427778</v>
      </c>
      <c r="CQ232">
        <f t="shared" si="73"/>
        <v>2457.0197680846081</v>
      </c>
      <c r="CR232">
        <f t="shared" si="73"/>
        <v>2489.3192668386332</v>
      </c>
      <c r="CS232">
        <f t="shared" si="73"/>
        <v>2521.2834885175562</v>
      </c>
      <c r="CT232">
        <f t="shared" si="73"/>
        <v>2552.9030205768845</v>
      </c>
      <c r="CU232">
        <f t="shared" si="73"/>
        <v>2584.168716233431</v>
      </c>
      <c r="CV232">
        <f t="shared" si="73"/>
        <v>2615.0716948659128</v>
      </c>
      <c r="CW232">
        <f t="shared" si="73"/>
        <v>2645.6033422989858</v>
      </c>
      <c r="CX232">
        <f t="shared" si="73"/>
        <v>2675.7553109721039</v>
      </c>
      <c r="CY232">
        <f t="shared" si="73"/>
        <v>2705.5195199946243</v>
      </c>
      <c r="CZ232">
        <f t="shared" si="73"/>
        <v>2734.888155088594</v>
      </c>
      <c r="DA232">
        <f t="shared" si="73"/>
        <v>2763.8536684206942</v>
      </c>
      <c r="DB232">
        <f t="shared" si="73"/>
        <v>2792.4087783248397</v>
      </c>
    </row>
    <row r="233" spans="1:107" x14ac:dyDescent="0.25">
      <c r="A233" s="64"/>
      <c r="C233" t="s">
        <v>897</v>
      </c>
      <c r="F233" t="b">
        <f>F228&gt;$D220</f>
        <v>0</v>
      </c>
      <c r="G233" t="b">
        <f t="shared" ref="G233:BR233" si="74">G228&gt;$D220</f>
        <v>0</v>
      </c>
      <c r="H233" t="b">
        <f t="shared" si="74"/>
        <v>0</v>
      </c>
      <c r="I233" t="b">
        <f t="shared" si="74"/>
        <v>0</v>
      </c>
      <c r="J233" t="b">
        <f t="shared" si="74"/>
        <v>0</v>
      </c>
      <c r="K233" t="b">
        <f t="shared" si="74"/>
        <v>0</v>
      </c>
      <c r="L233" t="b">
        <f t="shared" si="74"/>
        <v>0</v>
      </c>
      <c r="M233" t="b">
        <f t="shared" si="74"/>
        <v>0</v>
      </c>
      <c r="N233" t="b">
        <f t="shared" si="74"/>
        <v>0</v>
      </c>
      <c r="O233" t="b">
        <f t="shared" si="74"/>
        <v>0</v>
      </c>
      <c r="P233" t="b">
        <f t="shared" si="74"/>
        <v>0</v>
      </c>
      <c r="Q233" t="b">
        <f t="shared" si="74"/>
        <v>0</v>
      </c>
      <c r="R233" t="b">
        <f t="shared" si="74"/>
        <v>0</v>
      </c>
      <c r="S233" t="b">
        <f t="shared" si="74"/>
        <v>0</v>
      </c>
      <c r="T233" t="b">
        <f t="shared" si="74"/>
        <v>0</v>
      </c>
      <c r="U233" t="b">
        <f t="shared" si="74"/>
        <v>0</v>
      </c>
      <c r="V233" t="b">
        <f t="shared" si="74"/>
        <v>0</v>
      </c>
      <c r="W233" t="b">
        <f t="shared" si="74"/>
        <v>0</v>
      </c>
      <c r="X233" t="b">
        <f t="shared" si="74"/>
        <v>0</v>
      </c>
      <c r="Y233" t="b">
        <f t="shared" si="74"/>
        <v>0</v>
      </c>
      <c r="Z233" t="b">
        <f t="shared" si="74"/>
        <v>0</v>
      </c>
      <c r="AA233" t="b">
        <f t="shared" si="74"/>
        <v>0</v>
      </c>
      <c r="AB233" t="b">
        <f t="shared" si="74"/>
        <v>0</v>
      </c>
      <c r="AC233" t="b">
        <f t="shared" si="74"/>
        <v>1</v>
      </c>
      <c r="AD233" t="b">
        <f t="shared" si="74"/>
        <v>1</v>
      </c>
      <c r="AE233" t="b">
        <f t="shared" si="74"/>
        <v>1</v>
      </c>
      <c r="AF233" t="b">
        <f t="shared" si="74"/>
        <v>1</v>
      </c>
      <c r="AG233" t="b">
        <f t="shared" si="74"/>
        <v>1</v>
      </c>
      <c r="AH233" t="b">
        <f t="shared" si="74"/>
        <v>1</v>
      </c>
      <c r="AI233" t="b">
        <f t="shared" si="74"/>
        <v>1</v>
      </c>
      <c r="AJ233" t="b">
        <f t="shared" si="74"/>
        <v>1</v>
      </c>
      <c r="AK233" t="b">
        <f t="shared" si="74"/>
        <v>1</v>
      </c>
      <c r="AL233" t="b">
        <f t="shared" si="74"/>
        <v>1</v>
      </c>
      <c r="AM233" t="b">
        <f t="shared" si="74"/>
        <v>1</v>
      </c>
      <c r="AN233" t="b">
        <f t="shared" si="74"/>
        <v>1</v>
      </c>
      <c r="AO233" t="b">
        <f t="shared" si="74"/>
        <v>1</v>
      </c>
      <c r="AP233" t="b">
        <f t="shared" si="74"/>
        <v>1</v>
      </c>
      <c r="AQ233" t="b">
        <f t="shared" si="74"/>
        <v>1</v>
      </c>
      <c r="AR233" t="b">
        <f t="shared" si="74"/>
        <v>1</v>
      </c>
      <c r="AS233" t="b">
        <f t="shared" si="74"/>
        <v>1</v>
      </c>
      <c r="AT233" t="b">
        <f t="shared" si="74"/>
        <v>1</v>
      </c>
      <c r="AU233" t="b">
        <f t="shared" si="74"/>
        <v>1</v>
      </c>
      <c r="AV233" t="b">
        <f t="shared" si="74"/>
        <v>1</v>
      </c>
      <c r="AW233" t="b">
        <f t="shared" si="74"/>
        <v>1</v>
      </c>
      <c r="AX233" t="b">
        <f t="shared" si="74"/>
        <v>1</v>
      </c>
      <c r="AY233" t="b">
        <f t="shared" si="74"/>
        <v>1</v>
      </c>
      <c r="AZ233" t="b">
        <f t="shared" si="74"/>
        <v>1</v>
      </c>
      <c r="BA233" t="b">
        <f t="shared" si="74"/>
        <v>1</v>
      </c>
      <c r="BB233" t="b">
        <f t="shared" si="74"/>
        <v>1</v>
      </c>
      <c r="BC233" t="b">
        <f t="shared" si="74"/>
        <v>1</v>
      </c>
      <c r="BD233" t="b">
        <f t="shared" si="74"/>
        <v>1</v>
      </c>
      <c r="BE233" t="b">
        <f t="shared" si="74"/>
        <v>1</v>
      </c>
      <c r="BF233" t="b">
        <f t="shared" si="74"/>
        <v>1</v>
      </c>
      <c r="BG233" t="b">
        <f t="shared" si="74"/>
        <v>1</v>
      </c>
      <c r="BH233" t="b">
        <f t="shared" si="74"/>
        <v>1</v>
      </c>
      <c r="BI233" t="b">
        <f t="shared" si="74"/>
        <v>1</v>
      </c>
      <c r="BJ233" t="b">
        <f t="shared" si="74"/>
        <v>1</v>
      </c>
      <c r="BK233" t="b">
        <f t="shared" si="74"/>
        <v>1</v>
      </c>
      <c r="BL233" t="b">
        <f t="shared" si="74"/>
        <v>1</v>
      </c>
      <c r="BM233" t="b">
        <f t="shared" si="74"/>
        <v>1</v>
      </c>
      <c r="BN233" t="b">
        <f t="shared" si="74"/>
        <v>1</v>
      </c>
      <c r="BO233" t="b">
        <f t="shared" si="74"/>
        <v>1</v>
      </c>
      <c r="BP233" t="b">
        <f t="shared" si="74"/>
        <v>1</v>
      </c>
      <c r="BQ233" t="b">
        <f t="shared" si="74"/>
        <v>1</v>
      </c>
      <c r="BR233" t="b">
        <f t="shared" si="74"/>
        <v>1</v>
      </c>
      <c r="BS233" t="b">
        <f t="shared" ref="BS233:DB233" si="75">BS228&gt;$D220</f>
        <v>1</v>
      </c>
      <c r="BT233" t="b">
        <f t="shared" si="75"/>
        <v>1</v>
      </c>
      <c r="BU233" t="b">
        <f t="shared" si="75"/>
        <v>1</v>
      </c>
      <c r="BV233" t="b">
        <f t="shared" si="75"/>
        <v>1</v>
      </c>
      <c r="BW233" t="b">
        <f t="shared" si="75"/>
        <v>1</v>
      </c>
      <c r="BX233" t="b">
        <f t="shared" si="75"/>
        <v>1</v>
      </c>
      <c r="BY233" t="b">
        <f t="shared" si="75"/>
        <v>1</v>
      </c>
      <c r="BZ233" t="b">
        <f t="shared" si="75"/>
        <v>1</v>
      </c>
      <c r="CA233" t="b">
        <f t="shared" si="75"/>
        <v>1</v>
      </c>
      <c r="CB233" t="b">
        <f t="shared" si="75"/>
        <v>1</v>
      </c>
      <c r="CC233" t="b">
        <f t="shared" si="75"/>
        <v>1</v>
      </c>
      <c r="CD233" t="b">
        <f t="shared" si="75"/>
        <v>1</v>
      </c>
      <c r="CE233" t="b">
        <f t="shared" si="75"/>
        <v>1</v>
      </c>
      <c r="CF233" t="b">
        <f t="shared" si="75"/>
        <v>1</v>
      </c>
      <c r="CG233" t="b">
        <f t="shared" si="75"/>
        <v>1</v>
      </c>
      <c r="CH233" t="b">
        <f t="shared" si="75"/>
        <v>1</v>
      </c>
      <c r="CI233" t="b">
        <f t="shared" si="75"/>
        <v>1</v>
      </c>
      <c r="CJ233" t="b">
        <f t="shared" si="75"/>
        <v>1</v>
      </c>
      <c r="CK233" t="b">
        <f t="shared" si="75"/>
        <v>1</v>
      </c>
      <c r="CL233" t="b">
        <f t="shared" si="75"/>
        <v>1</v>
      </c>
      <c r="CM233" t="b">
        <f t="shared" si="75"/>
        <v>1</v>
      </c>
      <c r="CN233" t="b">
        <f t="shared" si="75"/>
        <v>1</v>
      </c>
      <c r="CO233" t="b">
        <f t="shared" si="75"/>
        <v>1</v>
      </c>
      <c r="CP233" t="b">
        <f t="shared" si="75"/>
        <v>1</v>
      </c>
      <c r="CQ233" t="b">
        <f t="shared" si="75"/>
        <v>1</v>
      </c>
      <c r="CR233" t="b">
        <f t="shared" si="75"/>
        <v>1</v>
      </c>
      <c r="CS233" t="b">
        <f t="shared" si="75"/>
        <v>1</v>
      </c>
      <c r="CT233" t="b">
        <f t="shared" si="75"/>
        <v>1</v>
      </c>
      <c r="CU233" t="b">
        <f t="shared" si="75"/>
        <v>1</v>
      </c>
      <c r="CV233" t="b">
        <f t="shared" si="75"/>
        <v>1</v>
      </c>
      <c r="CW233" t="b">
        <f t="shared" si="75"/>
        <v>1</v>
      </c>
      <c r="CX233" t="b">
        <f t="shared" si="75"/>
        <v>1</v>
      </c>
      <c r="CY233" t="b">
        <f t="shared" si="75"/>
        <v>1</v>
      </c>
      <c r="CZ233" t="b">
        <f t="shared" si="75"/>
        <v>1</v>
      </c>
      <c r="DA233" t="b">
        <f t="shared" si="75"/>
        <v>1</v>
      </c>
      <c r="DB233" t="b">
        <f t="shared" si="75"/>
        <v>1</v>
      </c>
    </row>
    <row r="234" spans="1:107" x14ac:dyDescent="0.25">
      <c r="C234" t="s">
        <v>896</v>
      </c>
      <c r="D234">
        <f>MATCH(TRUE, F233:DB233, 0)-1</f>
        <v>23</v>
      </c>
    </row>
    <row r="235" spans="1:107" x14ac:dyDescent="0.25">
      <c r="B235" t="s">
        <v>907</v>
      </c>
      <c r="C235" t="s">
        <v>903</v>
      </c>
      <c r="D235">
        <f>INDEX(F230:DB230, 1, D234)</f>
        <v>3.3345938146286471</v>
      </c>
    </row>
    <row r="236" spans="1:107" x14ac:dyDescent="0.25">
      <c r="B236" t="s">
        <v>906</v>
      </c>
      <c r="C236" t="s">
        <v>903</v>
      </c>
      <c r="D236">
        <f>D235*POWER(D214, 2)</f>
        <v>240.92440310691975</v>
      </c>
    </row>
    <row r="237" spans="1:107" x14ac:dyDescent="0.25">
      <c r="B237" t="s">
        <v>905</v>
      </c>
      <c r="D237">
        <f>INDEX(F228:DB228, 1, D234)</f>
        <v>19.781825355470716</v>
      </c>
    </row>
    <row r="238" spans="1:107" x14ac:dyDescent="0.25">
      <c r="B238" t="s">
        <v>908</v>
      </c>
      <c r="D238">
        <f>INDEX(F229:DB229, 1, D234)</f>
        <v>0.41534393854734281</v>
      </c>
    </row>
    <row r="239" spans="1:107" x14ac:dyDescent="0.25">
      <c r="B239" t="s">
        <v>909</v>
      </c>
      <c r="D239">
        <f>INDEX(F226:DB226, 1, D234)</f>
        <v>3.4375000000000001E-6</v>
      </c>
    </row>
    <row r="244" spans="1:1" x14ac:dyDescent="0.25">
      <c r="A244" t="s">
        <v>858</v>
      </c>
    </row>
    <row r="246" spans="1:1" x14ac:dyDescent="0.25">
      <c r="A246" t="s">
        <v>858</v>
      </c>
    </row>
    <row r="248" spans="1:1" x14ac:dyDescent="0.25">
      <c r="A248" t="s">
        <v>858</v>
      </c>
    </row>
    <row r="253" spans="1:1" x14ac:dyDescent="0.25">
      <c r="A253" t="s">
        <v>858</v>
      </c>
    </row>
    <row r="255" spans="1:1" x14ac:dyDescent="0.25">
      <c r="A255" t="s">
        <v>858</v>
      </c>
    </row>
    <row r="256" spans="1:1" x14ac:dyDescent="0.25">
      <c r="A256" t="s">
        <v>858</v>
      </c>
    </row>
    <row r="260" spans="1:5" x14ac:dyDescent="0.25">
      <c r="A260" s="17"/>
    </row>
    <row r="261" spans="1:5" x14ac:dyDescent="0.25">
      <c r="A261" s="65" t="s">
        <v>336</v>
      </c>
      <c r="C261" t="s">
        <v>206</v>
      </c>
    </row>
    <row r="262" spans="1:5" x14ac:dyDescent="0.25">
      <c r="A262" s="65"/>
      <c r="B262" s="2" t="s">
        <v>34</v>
      </c>
      <c r="C262" s="2"/>
      <c r="D262" s="2">
        <f>D7</f>
        <v>44.1</v>
      </c>
      <c r="E262" s="2" t="s">
        <v>18</v>
      </c>
    </row>
    <row r="263" spans="1:5" x14ac:dyDescent="0.25">
      <c r="A263" s="65"/>
      <c r="B263" s="2" t="s">
        <v>33</v>
      </c>
      <c r="C263" s="2"/>
      <c r="D263" s="2">
        <f>D5</f>
        <v>35.400000000000006</v>
      </c>
      <c r="E263" s="2" t="s">
        <v>18</v>
      </c>
    </row>
    <row r="264" spans="1:5" x14ac:dyDescent="0.25">
      <c r="A264" s="65"/>
      <c r="B264" t="s">
        <v>734</v>
      </c>
      <c r="D264" s="34">
        <v>2000</v>
      </c>
      <c r="E264" s="7" t="s">
        <v>21</v>
      </c>
    </row>
    <row r="265" spans="1:5" x14ac:dyDescent="0.25">
      <c r="A265" s="65"/>
      <c r="C265" t="s">
        <v>733</v>
      </c>
      <c r="D265" s="18">
        <f>D262/D267</f>
        <v>16.333333333333332</v>
      </c>
    </row>
    <row r="266" spans="1:5" x14ac:dyDescent="0.25">
      <c r="A266" s="65"/>
      <c r="B266" t="s">
        <v>735</v>
      </c>
      <c r="D266" s="18">
        <f>D265*D264</f>
        <v>32666.666666666664</v>
      </c>
      <c r="E266" s="7" t="s">
        <v>21</v>
      </c>
    </row>
    <row r="267" spans="1:5" x14ac:dyDescent="0.25">
      <c r="A267" s="65"/>
      <c r="C267" t="s">
        <v>207</v>
      </c>
      <c r="D267" s="34">
        <v>2.7</v>
      </c>
      <c r="E267" t="s">
        <v>18</v>
      </c>
    </row>
    <row r="268" spans="1:5" x14ac:dyDescent="0.25">
      <c r="A268" s="65"/>
      <c r="B268" t="s">
        <v>736</v>
      </c>
      <c r="D268" s="34">
        <v>33000</v>
      </c>
      <c r="E268" s="7" t="s">
        <v>21</v>
      </c>
    </row>
    <row r="269" spans="1:5" x14ac:dyDescent="0.25">
      <c r="A269" s="65"/>
      <c r="C269" t="s">
        <v>745</v>
      </c>
      <c r="D269" s="34">
        <v>1</v>
      </c>
      <c r="E269" s="7" t="s">
        <v>149</v>
      </c>
    </row>
    <row r="270" spans="1:5" x14ac:dyDescent="0.25">
      <c r="A270" s="65"/>
      <c r="B270" t="s">
        <v>319</v>
      </c>
      <c r="D270" s="18">
        <f>D262/(D264+D268)</f>
        <v>1.2600000000000001E-3</v>
      </c>
      <c r="E270" t="s">
        <v>17</v>
      </c>
    </row>
    <row r="271" spans="1:5" x14ac:dyDescent="0.25">
      <c r="A271" s="65"/>
      <c r="B271" t="s">
        <v>743</v>
      </c>
      <c r="D271" s="18">
        <f>POWER(D270, 2)*D268</f>
        <v>5.2390800000000001E-2</v>
      </c>
      <c r="E271" t="s">
        <v>19</v>
      </c>
    </row>
    <row r="272" spans="1:5" x14ac:dyDescent="0.25">
      <c r="A272" s="65"/>
      <c r="B272" t="s">
        <v>744</v>
      </c>
      <c r="D272" s="18">
        <f>POWER(D270, 2)*D264</f>
        <v>3.1752E-3</v>
      </c>
      <c r="E272" t="s">
        <v>19</v>
      </c>
    </row>
    <row r="273" spans="1:6" x14ac:dyDescent="0.25">
      <c r="A273" s="65"/>
      <c r="B273" t="s">
        <v>144</v>
      </c>
      <c r="D273" s="18">
        <f>D271+D272</f>
        <v>5.5566000000000004E-2</v>
      </c>
      <c r="E273" t="s">
        <v>19</v>
      </c>
    </row>
    <row r="274" spans="1:6" x14ac:dyDescent="0.25">
      <c r="A274" s="65"/>
      <c r="B274" t="s">
        <v>233</v>
      </c>
      <c r="D274" s="36">
        <v>4.6999999999999999E-6</v>
      </c>
      <c r="E274" s="7" t="s">
        <v>21</v>
      </c>
    </row>
    <row r="275" spans="1:6" x14ac:dyDescent="0.25">
      <c r="A275" s="65"/>
      <c r="B275" t="s">
        <v>737</v>
      </c>
      <c r="D275" s="18">
        <f>(D264*D268)/(D264+D268)</f>
        <v>1885.7142857142858</v>
      </c>
      <c r="E275" s="7" t="s">
        <v>21</v>
      </c>
    </row>
    <row r="276" spans="1:6" x14ac:dyDescent="0.25">
      <c r="A276" s="65"/>
      <c r="B276" t="s">
        <v>756</v>
      </c>
      <c r="C276" t="s">
        <v>757</v>
      </c>
      <c r="D276" s="33">
        <f>D274*D275</f>
        <v>8.8628571428571428E-3</v>
      </c>
      <c r="E276" s="7" t="s">
        <v>232</v>
      </c>
    </row>
    <row r="277" spans="1:6" x14ac:dyDescent="0.25">
      <c r="A277" s="65"/>
      <c r="B277" t="s">
        <v>758</v>
      </c>
      <c r="D277" s="33">
        <f>D276*LN(100)</f>
        <v>4.0814965476957316E-2</v>
      </c>
      <c r="E277" s="7" t="s">
        <v>232</v>
      </c>
    </row>
    <row r="278" spans="1:6" x14ac:dyDescent="0.25">
      <c r="A278" s="65"/>
      <c r="B278" t="s">
        <v>732</v>
      </c>
      <c r="D278" s="36">
        <v>3.9999999999999998E-6</v>
      </c>
      <c r="E278" s="7" t="s">
        <v>17</v>
      </c>
    </row>
    <row r="279" spans="1:6" x14ac:dyDescent="0.25">
      <c r="A279" s="65"/>
      <c r="C279" t="s">
        <v>738</v>
      </c>
      <c r="D279" s="18">
        <f>(D262-(D268*D278))/(1+(D268/D264))</f>
        <v>2.5124571428571429</v>
      </c>
      <c r="E279" s="7" t="s">
        <v>18</v>
      </c>
    </row>
    <row r="280" spans="1:6" x14ac:dyDescent="0.25">
      <c r="A280" s="65"/>
      <c r="C280" t="s">
        <v>739</v>
      </c>
      <c r="D280" s="18">
        <f>D262/(1+(D268/D264))</f>
        <v>2.52</v>
      </c>
      <c r="E280" s="7" t="s">
        <v>18</v>
      </c>
    </row>
    <row r="281" spans="1:6" x14ac:dyDescent="0.25">
      <c r="A281" s="65"/>
      <c r="C281" t="s">
        <v>741</v>
      </c>
      <c r="D281" s="18">
        <f>D280-D279</f>
        <v>7.5428571428570734E-3</v>
      </c>
      <c r="E281" s="7" t="s">
        <v>18</v>
      </c>
    </row>
    <row r="282" spans="1:6" x14ac:dyDescent="0.25">
      <c r="A282" s="65"/>
      <c r="C282" t="s">
        <v>740</v>
      </c>
      <c r="D282" s="18">
        <f>(D263-(D268*D278))/(1+(D268/D264))</f>
        <v>2.0153142857142861</v>
      </c>
      <c r="E282" s="7" t="s">
        <v>18</v>
      </c>
    </row>
    <row r="283" spans="1:6" x14ac:dyDescent="0.25">
      <c r="A283" s="65"/>
      <c r="B283" t="s">
        <v>761</v>
      </c>
      <c r="C283" t="s">
        <v>760</v>
      </c>
      <c r="D283" s="18">
        <f>D263/(1+(D268/D264))</f>
        <v>2.0228571428571431</v>
      </c>
      <c r="E283" s="7" t="s">
        <v>18</v>
      </c>
    </row>
    <row r="284" spans="1:6" x14ac:dyDescent="0.25">
      <c r="A284" s="65"/>
      <c r="B284" t="s">
        <v>761</v>
      </c>
      <c r="C284" t="s">
        <v>762</v>
      </c>
      <c r="D284" s="18">
        <f>D283-D282</f>
        <v>7.5428571428570734E-3</v>
      </c>
      <c r="E284" s="7" t="s">
        <v>18</v>
      </c>
    </row>
    <row r="285" spans="1:6" x14ac:dyDescent="0.25">
      <c r="A285" s="65"/>
      <c r="C285" t="s">
        <v>742</v>
      </c>
      <c r="D285" s="18">
        <f>100*D284/D283</f>
        <v>0.3728813559321999</v>
      </c>
      <c r="E285" s="7" t="s">
        <v>149</v>
      </c>
    </row>
    <row r="286" spans="1:6" x14ac:dyDescent="0.25">
      <c r="A286" s="65"/>
      <c r="C286" t="s">
        <v>746</v>
      </c>
      <c r="D286" s="18">
        <f>(D285/100)*D263</f>
        <v>0.13199999999999878</v>
      </c>
      <c r="E286" s="7" t="s">
        <v>18</v>
      </c>
    </row>
    <row r="287" spans="1:6" x14ac:dyDescent="0.25">
      <c r="A287" s="65"/>
      <c r="C287" t="s">
        <v>759</v>
      </c>
      <c r="D287" s="18">
        <f>D269/100</f>
        <v>0.01</v>
      </c>
      <c r="E287" s="7"/>
    </row>
    <row r="288" spans="1:6" x14ac:dyDescent="0.25">
      <c r="A288" s="65"/>
      <c r="C288" t="s">
        <v>748</v>
      </c>
      <c r="D288" s="18">
        <f>D268/(D264)</f>
        <v>16.5</v>
      </c>
      <c r="E288" s="7"/>
      <c r="F288" t="s">
        <v>933</v>
      </c>
    </row>
    <row r="289" spans="1:5" x14ac:dyDescent="0.25">
      <c r="A289" s="65"/>
      <c r="C289" t="s">
        <v>747</v>
      </c>
      <c r="D289" s="18">
        <f>D268*(1+D287)/(D264*(1-D287))</f>
        <v>16.833333333333332</v>
      </c>
      <c r="E289" s="7"/>
    </row>
    <row r="290" spans="1:5" x14ac:dyDescent="0.25">
      <c r="A290" s="65"/>
      <c r="C290" t="s">
        <v>749</v>
      </c>
      <c r="D290" s="18">
        <f>D268*(1-D287)/(D264*(1+D287))</f>
        <v>16.173267326732674</v>
      </c>
      <c r="E290" s="7"/>
    </row>
    <row r="291" spans="1:5" x14ac:dyDescent="0.25">
      <c r="A291" s="65"/>
      <c r="C291" t="s">
        <v>750</v>
      </c>
      <c r="D291" s="18">
        <f>(D289-D288)/D288</f>
        <v>2.0202020202020131E-2</v>
      </c>
      <c r="E291" s="7"/>
    </row>
    <row r="292" spans="1:5" x14ac:dyDescent="0.25">
      <c r="A292" s="65"/>
      <c r="C292" t="s">
        <v>751</v>
      </c>
      <c r="D292" s="18">
        <f>(D290-D288)/D288</f>
        <v>-1.9801980198019764E-2</v>
      </c>
      <c r="E292" s="7"/>
    </row>
    <row r="293" spans="1:5" x14ac:dyDescent="0.25">
      <c r="A293" s="65"/>
      <c r="C293" t="s">
        <v>752</v>
      </c>
      <c r="D293" s="18">
        <f>100*D291</f>
        <v>2.0202020202020132</v>
      </c>
      <c r="E293" s="7" t="s">
        <v>149</v>
      </c>
    </row>
    <row r="294" spans="1:5" x14ac:dyDescent="0.25">
      <c r="A294" s="65"/>
      <c r="C294" t="s">
        <v>753</v>
      </c>
      <c r="D294" s="18">
        <f>D292*100</f>
        <v>-1.9801980198019764</v>
      </c>
      <c r="E294" s="7" t="s">
        <v>149</v>
      </c>
    </row>
    <row r="295" spans="1:5" x14ac:dyDescent="0.25">
      <c r="A295" s="65"/>
      <c r="C295" t="s">
        <v>754</v>
      </c>
      <c r="D295" s="18">
        <f>MAX(ABS(D294), ABS(D293))</f>
        <v>2.0202020202020132</v>
      </c>
      <c r="E295" s="7" t="s">
        <v>149</v>
      </c>
    </row>
    <row r="296" spans="1:5" x14ac:dyDescent="0.25">
      <c r="A296" s="65"/>
      <c r="C296" t="s">
        <v>755</v>
      </c>
      <c r="D296" s="18">
        <f>D285+D295</f>
        <v>2.393083376134213</v>
      </c>
      <c r="E296" s="7" t="s">
        <v>149</v>
      </c>
    </row>
    <row r="297" spans="1:5" x14ac:dyDescent="0.25">
      <c r="A297" s="65"/>
      <c r="E297" s="7"/>
    </row>
    <row r="298" spans="1:5" x14ac:dyDescent="0.25">
      <c r="A298" s="17"/>
      <c r="E298" s="7"/>
    </row>
    <row r="299" spans="1:5" ht="15" customHeight="1" x14ac:dyDescent="0.25">
      <c r="A299" s="65" t="s">
        <v>683</v>
      </c>
      <c r="B299" s="2"/>
      <c r="C299" s="2" t="s">
        <v>4</v>
      </c>
      <c r="D299" s="2">
        <f>D4</f>
        <v>1.2</v>
      </c>
      <c r="E299" s="58"/>
    </row>
    <row r="300" spans="1:5" x14ac:dyDescent="0.25">
      <c r="A300" s="65"/>
      <c r="B300" s="2" t="s">
        <v>40</v>
      </c>
      <c r="C300" s="2"/>
      <c r="D300" s="2">
        <f>D3</f>
        <v>16000</v>
      </c>
      <c r="E300" s="2" t="s">
        <v>58</v>
      </c>
    </row>
    <row r="301" spans="1:5" x14ac:dyDescent="0.25">
      <c r="A301" s="65"/>
      <c r="B301" s="2" t="s">
        <v>590</v>
      </c>
      <c r="C301" s="2" t="s">
        <v>591</v>
      </c>
      <c r="D301" s="2">
        <f>D7</f>
        <v>44.1</v>
      </c>
      <c r="E301" s="2"/>
    </row>
    <row r="302" spans="1:5" x14ac:dyDescent="0.25">
      <c r="A302" s="65"/>
      <c r="B302" s="2" t="s">
        <v>36</v>
      </c>
      <c r="C302" s="2"/>
      <c r="D302" s="2">
        <f>D189</f>
        <v>20</v>
      </c>
      <c r="E302" s="2" t="s">
        <v>17</v>
      </c>
    </row>
    <row r="303" spans="1:5" x14ac:dyDescent="0.25">
      <c r="A303" s="65"/>
      <c r="B303" s="2" t="s">
        <v>616</v>
      </c>
      <c r="C303" s="2" t="s">
        <v>617</v>
      </c>
      <c r="D303" s="61">
        <f>D130</f>
        <v>4.8951562500000022E-5</v>
      </c>
      <c r="E303" s="58" t="s">
        <v>141</v>
      </c>
    </row>
    <row r="304" spans="1:5" x14ac:dyDescent="0.25">
      <c r="A304" s="65"/>
      <c r="B304" t="s">
        <v>35</v>
      </c>
      <c r="D304" s="34">
        <v>0.5</v>
      </c>
    </row>
    <row r="305" spans="1:6" x14ac:dyDescent="0.25">
      <c r="A305" s="65"/>
      <c r="B305" t="s">
        <v>209</v>
      </c>
      <c r="D305" s="34">
        <v>2.3E-2</v>
      </c>
      <c r="E305" s="7" t="s">
        <v>21</v>
      </c>
    </row>
    <row r="306" spans="1:6" x14ac:dyDescent="0.25">
      <c r="A306" s="65"/>
      <c r="B306" t="s">
        <v>208</v>
      </c>
      <c r="D306" s="18">
        <f>POWER(D302,2)*D304*D305/3</f>
        <v>1.5333333333333332</v>
      </c>
      <c r="E306" t="s">
        <v>19</v>
      </c>
    </row>
    <row r="307" spans="1:6" x14ac:dyDescent="0.25">
      <c r="A307" s="65"/>
      <c r="B307" t="s">
        <v>210</v>
      </c>
      <c r="C307" t="s">
        <v>692</v>
      </c>
      <c r="D307" s="33">
        <f>D304*D302*D299</f>
        <v>12</v>
      </c>
      <c r="E307" t="s">
        <v>17</v>
      </c>
    </row>
    <row r="308" spans="1:6" x14ac:dyDescent="0.25">
      <c r="A308" s="65"/>
      <c r="B308" t="s">
        <v>681</v>
      </c>
      <c r="C308" t="s">
        <v>691</v>
      </c>
      <c r="D308" s="36">
        <v>60</v>
      </c>
      <c r="E308" t="s">
        <v>17</v>
      </c>
    </row>
    <row r="309" spans="1:6" x14ac:dyDescent="0.25">
      <c r="A309" s="65"/>
      <c r="C309" t="s">
        <v>682</v>
      </c>
      <c r="D309" s="33" t="b">
        <f>D308&gt;=D307</f>
        <v>1</v>
      </c>
    </row>
    <row r="310" spans="1:6" x14ac:dyDescent="0.25">
      <c r="A310" s="65"/>
      <c r="B310" t="s">
        <v>211</v>
      </c>
      <c r="D310" s="33">
        <f>D301*D299</f>
        <v>52.92</v>
      </c>
      <c r="E310" t="s">
        <v>18</v>
      </c>
    </row>
    <row r="311" spans="1:6" x14ac:dyDescent="0.25">
      <c r="A311" s="65"/>
      <c r="B311" t="s">
        <v>220</v>
      </c>
      <c r="D311" s="34">
        <v>250</v>
      </c>
      <c r="E311" t="s">
        <v>18</v>
      </c>
    </row>
    <row r="312" spans="1:6" x14ac:dyDescent="0.25">
      <c r="A312" s="65"/>
      <c r="C312" t="s">
        <v>234</v>
      </c>
      <c r="D312" s="18" t="b">
        <f>D311&gt;=D310</f>
        <v>1</v>
      </c>
    </row>
    <row r="313" spans="1:6" x14ac:dyDescent="0.25">
      <c r="A313" s="65"/>
      <c r="B313" t="s">
        <v>212</v>
      </c>
      <c r="D313" s="34"/>
      <c r="E313" t="s">
        <v>233</v>
      </c>
    </row>
    <row r="314" spans="1:6" x14ac:dyDescent="0.25">
      <c r="A314" s="65"/>
      <c r="B314" t="s">
        <v>213</v>
      </c>
      <c r="D314" s="34"/>
      <c r="E314" t="s">
        <v>233</v>
      </c>
    </row>
    <row r="315" spans="1:6" x14ac:dyDescent="0.25">
      <c r="A315" s="65"/>
      <c r="B315" t="s">
        <v>214</v>
      </c>
      <c r="C315" t="s">
        <v>215</v>
      </c>
      <c r="D315" s="36">
        <v>4.9999999999999998E-8</v>
      </c>
      <c r="E315" t="s">
        <v>233</v>
      </c>
    </row>
    <row r="316" spans="1:6" x14ac:dyDescent="0.25">
      <c r="A316" s="65"/>
      <c r="B316" t="s">
        <v>216</v>
      </c>
      <c r="D316" s="33">
        <f>D300*D315*2</f>
        <v>1.5999999999999999E-3</v>
      </c>
      <c r="E316" t="s">
        <v>17</v>
      </c>
    </row>
    <row r="317" spans="1:6" x14ac:dyDescent="0.25">
      <c r="A317" s="65"/>
      <c r="B317" t="s">
        <v>632</v>
      </c>
      <c r="C317" t="s">
        <v>633</v>
      </c>
      <c r="D317" s="36">
        <v>14</v>
      </c>
    </row>
    <row r="318" spans="1:6" x14ac:dyDescent="0.25">
      <c r="A318" s="65"/>
      <c r="B318" s="22" t="s">
        <v>619</v>
      </c>
      <c r="C318" t="s">
        <v>618</v>
      </c>
      <c r="D318" s="34">
        <v>0.05</v>
      </c>
      <c r="E318" t="s">
        <v>18</v>
      </c>
    </row>
    <row r="319" spans="1:6" x14ac:dyDescent="0.25">
      <c r="A319" s="65"/>
      <c r="B319" s="22" t="s">
        <v>621</v>
      </c>
      <c r="C319" t="s">
        <v>623</v>
      </c>
      <c r="D319" s="33">
        <f>D315/D318</f>
        <v>9.9999999999999995E-7</v>
      </c>
      <c r="E319" t="s">
        <v>20</v>
      </c>
    </row>
    <row r="320" spans="1:6" x14ac:dyDescent="0.25">
      <c r="A320" s="65"/>
      <c r="B320" s="22" t="s">
        <v>620</v>
      </c>
      <c r="C320" t="s">
        <v>624</v>
      </c>
      <c r="D320" s="18">
        <f>0.000001</f>
        <v>9.9999999999999995E-7</v>
      </c>
      <c r="E320" t="s">
        <v>20</v>
      </c>
      <c r="F320" s="4" t="s">
        <v>688</v>
      </c>
    </row>
    <row r="321" spans="1:8" x14ac:dyDescent="0.25">
      <c r="A321" s="65"/>
      <c r="B321" s="22" t="s">
        <v>622</v>
      </c>
      <c r="C321" t="s">
        <v>625</v>
      </c>
      <c r="D321" s="33">
        <f>D315/D320</f>
        <v>0.05</v>
      </c>
      <c r="E321" t="s">
        <v>18</v>
      </c>
    </row>
    <row r="322" spans="1:8" x14ac:dyDescent="0.25">
      <c r="A322" s="65"/>
      <c r="B322" s="22"/>
      <c r="C322" t="s">
        <v>634</v>
      </c>
      <c r="D322" s="33" t="b">
        <f>D321&lt;=D318</f>
        <v>1</v>
      </c>
    </row>
    <row r="323" spans="1:8" x14ac:dyDescent="0.25">
      <c r="A323" s="65"/>
      <c r="B323" s="22" t="s">
        <v>645</v>
      </c>
      <c r="C323" t="s">
        <v>646</v>
      </c>
      <c r="D323" s="33">
        <f>D321*D320</f>
        <v>4.9999999999999998E-8</v>
      </c>
      <c r="E323" t="s">
        <v>233</v>
      </c>
    </row>
    <row r="324" spans="1:8" x14ac:dyDescent="0.25">
      <c r="A324" s="65"/>
      <c r="B324" s="22" t="s">
        <v>647</v>
      </c>
      <c r="C324" t="s">
        <v>648</v>
      </c>
      <c r="D324" s="33">
        <f>D323*D300</f>
        <v>7.9999999999999993E-4</v>
      </c>
      <c r="E324" t="s">
        <v>17</v>
      </c>
    </row>
    <row r="325" spans="1:8" x14ac:dyDescent="0.25">
      <c r="A325" s="65"/>
      <c r="B325" s="22" t="s">
        <v>629</v>
      </c>
      <c r="C325" t="s">
        <v>630</v>
      </c>
      <c r="D325" s="34">
        <v>0.95</v>
      </c>
      <c r="E325" t="s">
        <v>18</v>
      </c>
      <c r="F325" t="s">
        <v>685</v>
      </c>
      <c r="G325" t="s">
        <v>690</v>
      </c>
    </row>
    <row r="326" spans="1:8" x14ac:dyDescent="0.25">
      <c r="A326" s="65"/>
      <c r="B326" t="s">
        <v>596</v>
      </c>
      <c r="C326" t="s">
        <v>598</v>
      </c>
      <c r="D326" s="35">
        <f>D317</f>
        <v>14</v>
      </c>
      <c r="E326" t="s">
        <v>18</v>
      </c>
    </row>
    <row r="327" spans="1:8" x14ac:dyDescent="0.25">
      <c r="A327" s="65"/>
      <c r="B327" t="s">
        <v>631</v>
      </c>
      <c r="C327" t="s">
        <v>597</v>
      </c>
      <c r="D327" s="33">
        <f>D317-D325-D321</f>
        <v>13</v>
      </c>
      <c r="E327" t="s">
        <v>18</v>
      </c>
    </row>
    <row r="328" spans="1:8" x14ac:dyDescent="0.25">
      <c r="A328" s="65"/>
      <c r="B328" t="s">
        <v>808</v>
      </c>
      <c r="C328" t="s">
        <v>809</v>
      </c>
      <c r="D328" s="36">
        <v>1.9</v>
      </c>
      <c r="E328" s="7" t="s">
        <v>21</v>
      </c>
    </row>
    <row r="329" spans="1:8" x14ac:dyDescent="0.25">
      <c r="A329" s="65"/>
      <c r="B329" t="s">
        <v>810</v>
      </c>
      <c r="C329" t="s">
        <v>811</v>
      </c>
      <c r="D329" s="36">
        <v>4.7</v>
      </c>
      <c r="E329" s="7" t="s">
        <v>21</v>
      </c>
    </row>
    <row r="330" spans="1:8" x14ac:dyDescent="0.25">
      <c r="A330" s="65"/>
      <c r="C330" t="s">
        <v>819</v>
      </c>
      <c r="D330" s="36">
        <v>0.5</v>
      </c>
      <c r="E330" s="7" t="s">
        <v>149</v>
      </c>
    </row>
    <row r="331" spans="1:8" x14ac:dyDescent="0.25">
      <c r="A331" s="65"/>
      <c r="B331" t="s">
        <v>820</v>
      </c>
      <c r="C331" t="s">
        <v>821</v>
      </c>
      <c r="D331" s="33">
        <f>D329*(100-D330)/100</f>
        <v>4.6765000000000008</v>
      </c>
      <c r="E331" s="7"/>
    </row>
    <row r="332" spans="1:8" x14ac:dyDescent="0.25">
      <c r="A332" s="65"/>
      <c r="B332" t="s">
        <v>812</v>
      </c>
      <c r="C332" t="s">
        <v>813</v>
      </c>
      <c r="D332" s="33">
        <v>0</v>
      </c>
      <c r="E332" s="7"/>
    </row>
    <row r="333" spans="1:8" x14ac:dyDescent="0.25">
      <c r="A333" s="65"/>
      <c r="B333" t="s">
        <v>217</v>
      </c>
      <c r="D333" s="33">
        <f>D328+D329+D332</f>
        <v>6.6</v>
      </c>
      <c r="E333" s="7" t="s">
        <v>21</v>
      </c>
      <c r="H333" s="34"/>
    </row>
    <row r="334" spans="1:8" x14ac:dyDescent="0.25">
      <c r="A334" s="65"/>
      <c r="B334" t="s">
        <v>816</v>
      </c>
      <c r="C334" t="s">
        <v>817</v>
      </c>
      <c r="D334" s="33">
        <f>D326/D331</f>
        <v>2.9936918635731846</v>
      </c>
      <c r="E334" s="7"/>
      <c r="H334" s="34"/>
    </row>
    <row r="335" spans="1:8" x14ac:dyDescent="0.25">
      <c r="A335" s="65"/>
      <c r="B335" t="s">
        <v>814</v>
      </c>
      <c r="C335" t="s">
        <v>815</v>
      </c>
      <c r="D335" s="18">
        <f>D326/D333</f>
        <v>2.1212121212121211</v>
      </c>
      <c r="E335" t="s">
        <v>17</v>
      </c>
      <c r="H335" s="34"/>
    </row>
    <row r="336" spans="1:8" x14ac:dyDescent="0.25">
      <c r="A336" s="65"/>
      <c r="C336" t="s">
        <v>818</v>
      </c>
      <c r="D336" s="33"/>
      <c r="H336" s="34"/>
    </row>
    <row r="337" spans="1:8" x14ac:dyDescent="0.25">
      <c r="A337" s="65"/>
      <c r="H337" s="34"/>
    </row>
    <row r="338" spans="1:8" x14ac:dyDescent="0.25">
      <c r="A338" s="65"/>
      <c r="C338" t="s">
        <v>218</v>
      </c>
      <c r="D338" s="34">
        <v>3</v>
      </c>
      <c r="E338" t="s">
        <v>17</v>
      </c>
      <c r="H338" s="34"/>
    </row>
    <row r="339" spans="1:8" x14ac:dyDescent="0.25">
      <c r="A339" s="65"/>
      <c r="C339" t="s">
        <v>219</v>
      </c>
      <c r="D339" s="18">
        <f>D338/D299</f>
        <v>2.5</v>
      </c>
      <c r="E339" t="s">
        <v>17</v>
      </c>
      <c r="H339" s="34"/>
    </row>
    <row r="340" spans="1:8" x14ac:dyDescent="0.25">
      <c r="A340" s="65"/>
      <c r="C340" t="s">
        <v>822</v>
      </c>
      <c r="D340" s="18" t="b">
        <f>AND(D334&lt;D338, D335&lt;=D339)</f>
        <v>1</v>
      </c>
      <c r="H340" s="34"/>
    </row>
    <row r="341" spans="1:8" x14ac:dyDescent="0.25">
      <c r="A341" s="65"/>
      <c r="B341" t="s">
        <v>651</v>
      </c>
      <c r="D341" s="34">
        <v>0</v>
      </c>
      <c r="E341" s="7" t="s">
        <v>21</v>
      </c>
    </row>
    <row r="342" spans="1:8" x14ac:dyDescent="0.25">
      <c r="A342" s="65"/>
      <c r="B342" t="s">
        <v>660</v>
      </c>
      <c r="D342" s="34">
        <v>0.02</v>
      </c>
      <c r="E342" s="7" t="s">
        <v>21</v>
      </c>
      <c r="F342" t="s">
        <v>687</v>
      </c>
    </row>
    <row r="343" spans="1:8" x14ac:dyDescent="0.25">
      <c r="A343" s="65"/>
      <c r="B343" t="s">
        <v>774</v>
      </c>
      <c r="C343" t="s">
        <v>775</v>
      </c>
      <c r="D343" s="34">
        <v>7</v>
      </c>
      <c r="E343" s="7" t="s">
        <v>21</v>
      </c>
      <c r="F343" t="s">
        <v>689</v>
      </c>
    </row>
    <row r="344" spans="1:8" x14ac:dyDescent="0.25">
      <c r="A344" s="65"/>
      <c r="B344" t="s">
        <v>650</v>
      </c>
      <c r="C344" t="s">
        <v>649</v>
      </c>
      <c r="D344" s="18">
        <f>D341+D342+D343</f>
        <v>7.02</v>
      </c>
      <c r="E344" s="7" t="s">
        <v>21</v>
      </c>
    </row>
    <row r="345" spans="1:8" x14ac:dyDescent="0.25">
      <c r="A345" s="65"/>
      <c r="B345" t="s">
        <v>776</v>
      </c>
      <c r="D345" s="18">
        <f>D343*D320</f>
        <v>6.9999999999999999E-6</v>
      </c>
      <c r="E345" s="7"/>
    </row>
    <row r="346" spans="1:8" x14ac:dyDescent="0.25">
      <c r="A346" s="65"/>
      <c r="B346" t="s">
        <v>777</v>
      </c>
      <c r="D346" s="18">
        <f>5*D345</f>
        <v>3.4999999999999997E-5</v>
      </c>
      <c r="E346" s="7"/>
    </row>
    <row r="347" spans="1:8" x14ac:dyDescent="0.25">
      <c r="A347" s="65"/>
      <c r="C347" t="s">
        <v>778</v>
      </c>
      <c r="D347" s="18" t="b">
        <f>D346&lt;(1/D300)</f>
        <v>1</v>
      </c>
      <c r="E347" s="7"/>
    </row>
    <row r="348" spans="1:8" x14ac:dyDescent="0.25">
      <c r="A348" s="65"/>
      <c r="B348" t="s">
        <v>653</v>
      </c>
      <c r="C348" t="s">
        <v>654</v>
      </c>
      <c r="D348" s="34">
        <v>7.5</v>
      </c>
      <c r="E348" s="7" t="s">
        <v>18</v>
      </c>
    </row>
    <row r="349" spans="1:8" x14ac:dyDescent="0.25">
      <c r="A349" s="65"/>
      <c r="B349" t="s">
        <v>656</v>
      </c>
      <c r="C349" t="s">
        <v>652</v>
      </c>
      <c r="D349" s="33">
        <f>D317/D344</f>
        <v>1.9943019943019944</v>
      </c>
      <c r="E349" s="7" t="s">
        <v>17</v>
      </c>
    </row>
    <row r="350" spans="1:8" x14ac:dyDescent="0.25">
      <c r="A350" s="65"/>
      <c r="B350" t="s">
        <v>657</v>
      </c>
      <c r="D350" s="33">
        <f>D321/D344</f>
        <v>7.1225071225071235E-3</v>
      </c>
      <c r="E350" s="7" t="s">
        <v>17</v>
      </c>
    </row>
    <row r="351" spans="1:8" x14ac:dyDescent="0.25">
      <c r="A351" s="65"/>
      <c r="B351" t="s">
        <v>659</v>
      </c>
      <c r="D351" s="38">
        <v>35</v>
      </c>
      <c r="E351" s="7" t="s">
        <v>17</v>
      </c>
    </row>
    <row r="352" spans="1:8" x14ac:dyDescent="0.25">
      <c r="A352" s="65"/>
      <c r="C352" t="s">
        <v>655</v>
      </c>
      <c r="D352" s="37" t="b">
        <f>AND(D351&gt;=D349*D299, D351&gt;=D350*D299)</f>
        <v>1</v>
      </c>
      <c r="E352" s="7"/>
    </row>
    <row r="353" spans="1:6" x14ac:dyDescent="0.25">
      <c r="A353" s="65"/>
      <c r="B353" t="s">
        <v>658</v>
      </c>
      <c r="D353" s="38">
        <v>200</v>
      </c>
      <c r="E353" s="7" t="s">
        <v>18</v>
      </c>
    </row>
    <row r="354" spans="1:6" x14ac:dyDescent="0.25">
      <c r="A354" s="65"/>
      <c r="C354" t="s">
        <v>661</v>
      </c>
      <c r="D354" s="37" t="b">
        <f>D353&gt;=2*D317</f>
        <v>1</v>
      </c>
      <c r="E354" s="7"/>
    </row>
    <row r="355" spans="1:6" x14ac:dyDescent="0.25">
      <c r="A355" s="65"/>
      <c r="B355" t="s">
        <v>599</v>
      </c>
      <c r="C355" t="s">
        <v>606</v>
      </c>
      <c r="D355" s="33">
        <f>D315*D333/D326</f>
        <v>2.357142857142857E-8</v>
      </c>
      <c r="E355" t="s">
        <v>232</v>
      </c>
    </row>
    <row r="356" spans="1:6" x14ac:dyDescent="0.25">
      <c r="A356" s="65"/>
      <c r="B356" t="s">
        <v>600</v>
      </c>
      <c r="C356" t="s">
        <v>594</v>
      </c>
      <c r="D356" s="33">
        <f>D355</f>
        <v>2.357142857142857E-8</v>
      </c>
      <c r="E356" t="s">
        <v>232</v>
      </c>
    </row>
    <row r="357" spans="1:6" x14ac:dyDescent="0.25">
      <c r="A357" s="65"/>
      <c r="B357" t="s">
        <v>601</v>
      </c>
      <c r="C357" t="s">
        <v>595</v>
      </c>
      <c r="D357" s="33">
        <f>D356</f>
        <v>2.357142857142857E-8</v>
      </c>
      <c r="E357" t="s">
        <v>232</v>
      </c>
    </row>
    <row r="358" spans="1:6" x14ac:dyDescent="0.25">
      <c r="A358" s="65"/>
      <c r="B358" t="s">
        <v>602</v>
      </c>
      <c r="C358" t="s">
        <v>605</v>
      </c>
      <c r="D358" s="33">
        <f>D315*D333/D327</f>
        <v>2.5384615384615382E-8</v>
      </c>
      <c r="E358" t="s">
        <v>232</v>
      </c>
    </row>
    <row r="359" spans="1:6" x14ac:dyDescent="0.25">
      <c r="A359" s="65"/>
      <c r="B359" t="s">
        <v>603</v>
      </c>
      <c r="C359" t="s">
        <v>607</v>
      </c>
      <c r="D359" s="33">
        <f>D358</f>
        <v>2.5384615384615382E-8</v>
      </c>
      <c r="E359" t="s">
        <v>232</v>
      </c>
    </row>
    <row r="360" spans="1:6" x14ac:dyDescent="0.25">
      <c r="A360" s="65"/>
      <c r="B360" t="s">
        <v>604</v>
      </c>
      <c r="C360" t="s">
        <v>608</v>
      </c>
      <c r="D360" s="33">
        <f>D359</f>
        <v>2.5384615384615382E-8</v>
      </c>
      <c r="E360" t="s">
        <v>232</v>
      </c>
    </row>
    <row r="361" spans="1:6" x14ac:dyDescent="0.25">
      <c r="A361" s="65"/>
    </row>
    <row r="362" spans="1:6" x14ac:dyDescent="0.25">
      <c r="A362" s="65"/>
    </row>
    <row r="363" spans="1:6" x14ac:dyDescent="0.25">
      <c r="A363" s="65"/>
    </row>
    <row r="364" spans="1:6" x14ac:dyDescent="0.25">
      <c r="A364" s="65"/>
    </row>
    <row r="365" spans="1:6" x14ac:dyDescent="0.25">
      <c r="A365" s="65"/>
      <c r="B365" t="s">
        <v>663</v>
      </c>
      <c r="C365" t="s">
        <v>662</v>
      </c>
      <c r="D365" s="33">
        <f>D321/(D341+D342+D343)</f>
        <v>7.1225071225071235E-3</v>
      </c>
    </row>
    <row r="366" spans="1:6" x14ac:dyDescent="0.25">
      <c r="A366" s="65"/>
      <c r="B366" t="s">
        <v>664</v>
      </c>
      <c r="C366" t="s">
        <v>667</v>
      </c>
      <c r="D366" s="36">
        <v>2E-8</v>
      </c>
      <c r="E366" t="s">
        <v>141</v>
      </c>
      <c r="F366" t="s">
        <v>686</v>
      </c>
    </row>
    <row r="367" spans="1:6" x14ac:dyDescent="0.25">
      <c r="A367" s="65"/>
      <c r="B367" t="s">
        <v>665</v>
      </c>
      <c r="C367" t="s">
        <v>666</v>
      </c>
      <c r="D367" s="1">
        <v>5.0000000000000001E-9</v>
      </c>
      <c r="E367" t="s">
        <v>232</v>
      </c>
    </row>
    <row r="368" spans="1:6" x14ac:dyDescent="0.25">
      <c r="A368" s="65"/>
      <c r="B368" t="s">
        <v>678</v>
      </c>
      <c r="C368" t="s">
        <v>668</v>
      </c>
      <c r="D368" s="1">
        <f xml:space="preserve"> D366*D365/D367</f>
        <v>2.8490028490028491E-2</v>
      </c>
      <c r="E368" t="s">
        <v>18</v>
      </c>
    </row>
    <row r="369" spans="1:6" x14ac:dyDescent="0.25">
      <c r="A369" s="65"/>
      <c r="B369" t="s">
        <v>610</v>
      </c>
      <c r="C369" t="s">
        <v>236</v>
      </c>
      <c r="D369" s="33">
        <f>D315*D326*D300</f>
        <v>1.12E-2</v>
      </c>
      <c r="E369" t="s">
        <v>19</v>
      </c>
    </row>
    <row r="370" spans="1:6" x14ac:dyDescent="0.25">
      <c r="A370" s="65"/>
      <c r="D370" s="36"/>
      <c r="E370" t="s">
        <v>233</v>
      </c>
    </row>
    <row r="371" spans="1:6" x14ac:dyDescent="0.25">
      <c r="A371" s="65"/>
      <c r="B371" t="s">
        <v>670</v>
      </c>
      <c r="C371" t="s">
        <v>671</v>
      </c>
      <c r="D371" s="36">
        <v>2.4999999999999999E-8</v>
      </c>
      <c r="E371" t="s">
        <v>232</v>
      </c>
      <c r="F371" t="s">
        <v>685</v>
      </c>
    </row>
    <row r="372" spans="1:6" x14ac:dyDescent="0.25">
      <c r="A372" s="65"/>
      <c r="B372" t="s">
        <v>669</v>
      </c>
      <c r="C372" t="s">
        <v>684</v>
      </c>
      <c r="D372" s="37">
        <v>0.25</v>
      </c>
      <c r="E372" t="s">
        <v>17</v>
      </c>
    </row>
    <row r="373" spans="1:6" x14ac:dyDescent="0.25">
      <c r="A373" s="65"/>
      <c r="B373" t="s">
        <v>675</v>
      </c>
      <c r="C373" t="s">
        <v>672</v>
      </c>
      <c r="D373" s="37">
        <f>D366*D372/D371</f>
        <v>0.2</v>
      </c>
      <c r="E373" t="s">
        <v>18</v>
      </c>
    </row>
    <row r="374" spans="1:6" x14ac:dyDescent="0.25">
      <c r="A374" s="65"/>
      <c r="B374" t="s">
        <v>679</v>
      </c>
      <c r="C374" t="s">
        <v>676</v>
      </c>
      <c r="D374" s="38">
        <v>0.2</v>
      </c>
      <c r="E374" t="s">
        <v>18</v>
      </c>
    </row>
    <row r="375" spans="1:6" x14ac:dyDescent="0.25">
      <c r="A375" s="65"/>
      <c r="B375" t="s">
        <v>673</v>
      </c>
      <c r="C375" t="s">
        <v>677</v>
      </c>
      <c r="D375" s="34">
        <v>0.2</v>
      </c>
      <c r="E375" t="s">
        <v>18</v>
      </c>
    </row>
    <row r="376" spans="1:6" x14ac:dyDescent="0.25">
      <c r="A376" s="65"/>
      <c r="B376" t="s">
        <v>680</v>
      </c>
      <c r="D376" s="18" t="b">
        <f>D374&gt;=D368</f>
        <v>1</v>
      </c>
    </row>
    <row r="377" spans="1:6" x14ac:dyDescent="0.25">
      <c r="A377" s="65"/>
      <c r="B377" t="s">
        <v>674</v>
      </c>
      <c r="D377" s="18" t="b">
        <f>D375&lt;=D373</f>
        <v>1</v>
      </c>
    </row>
    <row r="378" spans="1:6" x14ac:dyDescent="0.25">
      <c r="A378" s="65"/>
      <c r="B378" t="s">
        <v>593</v>
      </c>
      <c r="D378" s="18">
        <f>D301</f>
        <v>44.1</v>
      </c>
      <c r="E378" t="s">
        <v>18</v>
      </c>
    </row>
    <row r="379" spans="1:6" x14ac:dyDescent="0.25">
      <c r="A379" s="65"/>
      <c r="B379" t="s">
        <v>592</v>
      </c>
      <c r="D379" s="18">
        <f>D302</f>
        <v>20</v>
      </c>
      <c r="E379" t="s">
        <v>17</v>
      </c>
    </row>
    <row r="380" spans="1:6" x14ac:dyDescent="0.25">
      <c r="A380" s="65"/>
      <c r="B380" t="s">
        <v>609</v>
      </c>
      <c r="D380" s="33">
        <f>0.5*D378*D379*(D356+D357)*D300</f>
        <v>0.33263999999999999</v>
      </c>
      <c r="E380" t="s">
        <v>19</v>
      </c>
    </row>
    <row r="381" spans="1:6" x14ac:dyDescent="0.25">
      <c r="A381" s="65"/>
      <c r="B381" t="s">
        <v>611</v>
      </c>
      <c r="C381" t="s">
        <v>612</v>
      </c>
      <c r="D381" s="33">
        <f>D306+D380</f>
        <v>1.8659733333333333</v>
      </c>
      <c r="E381" t="s">
        <v>19</v>
      </c>
    </row>
    <row r="382" spans="1:6" x14ac:dyDescent="0.25">
      <c r="A382" s="65"/>
      <c r="B382" t="s">
        <v>613</v>
      </c>
      <c r="C382" t="s">
        <v>614</v>
      </c>
      <c r="D382" s="33">
        <f>4*D381</f>
        <v>7.463893333333333</v>
      </c>
      <c r="E382" t="s">
        <v>19</v>
      </c>
    </row>
    <row r="383" spans="1:6" x14ac:dyDescent="0.25">
      <c r="A383" s="65"/>
      <c r="B383" t="s">
        <v>221</v>
      </c>
      <c r="D383" s="34">
        <v>1000</v>
      </c>
      <c r="E383" s="7" t="s">
        <v>21</v>
      </c>
    </row>
    <row r="384" spans="1:6" x14ac:dyDescent="0.25">
      <c r="A384" s="65"/>
      <c r="B384" t="s">
        <v>224</v>
      </c>
      <c r="D384" s="34">
        <v>2.5</v>
      </c>
      <c r="E384" t="s">
        <v>18</v>
      </c>
    </row>
    <row r="385" spans="1:5" x14ac:dyDescent="0.25">
      <c r="A385" s="65"/>
      <c r="B385" t="s">
        <v>225</v>
      </c>
      <c r="C385" t="s">
        <v>615</v>
      </c>
      <c r="D385" s="34">
        <v>210</v>
      </c>
      <c r="E385" t="s">
        <v>17</v>
      </c>
    </row>
    <row r="386" spans="1:5" x14ac:dyDescent="0.25">
      <c r="A386" s="65"/>
      <c r="B386" t="s">
        <v>222</v>
      </c>
      <c r="C386" t="s">
        <v>223</v>
      </c>
      <c r="D386" s="33">
        <f>-D383*(D315/D326)*LN(D384/D326)</f>
        <v>6.1527378490753689E-6</v>
      </c>
      <c r="E386" t="s">
        <v>232</v>
      </c>
    </row>
    <row r="387" spans="1:5" x14ac:dyDescent="0.25">
      <c r="A387" s="65"/>
      <c r="C387" t="s">
        <v>235</v>
      </c>
      <c r="D387" s="33">
        <f>D302+(D301*D386/D303)</f>
        <v>25.542943376817107</v>
      </c>
      <c r="E387" t="s">
        <v>17</v>
      </c>
    </row>
    <row r="388" spans="1:5" x14ac:dyDescent="0.25">
      <c r="A388" s="65"/>
      <c r="B388" t="s">
        <v>226</v>
      </c>
      <c r="D388" s="34">
        <v>60</v>
      </c>
      <c r="E388" t="s">
        <v>17</v>
      </c>
    </row>
    <row r="389" spans="1:5" x14ac:dyDescent="0.25">
      <c r="A389" s="65"/>
      <c r="C389" t="s">
        <v>228</v>
      </c>
      <c r="D389" s="18" t="b">
        <f>D387&lt;D385</f>
        <v>1</v>
      </c>
    </row>
    <row r="390" spans="1:5" x14ac:dyDescent="0.25">
      <c r="A390" s="65"/>
      <c r="C390" t="s">
        <v>227</v>
      </c>
      <c r="D390" s="18" t="b">
        <f>D387&lt;D388</f>
        <v>1</v>
      </c>
    </row>
    <row r="391" spans="1:5" x14ac:dyDescent="0.25">
      <c r="A391" s="65"/>
      <c r="B391" t="s">
        <v>229</v>
      </c>
      <c r="C391" t="s">
        <v>230</v>
      </c>
      <c r="D391" s="18">
        <f>0.5*POWER(D326, 2)/D383</f>
        <v>9.8000000000000004E-2</v>
      </c>
      <c r="E391" t="s">
        <v>19</v>
      </c>
    </row>
    <row r="392" spans="1:5" x14ac:dyDescent="0.25">
      <c r="A392" s="65"/>
      <c r="B392" s="22" t="s">
        <v>626</v>
      </c>
      <c r="C392" t="s">
        <v>627</v>
      </c>
      <c r="D392" s="34">
        <v>9.6999999999999993</v>
      </c>
    </row>
    <row r="393" spans="1:5" x14ac:dyDescent="0.25">
      <c r="A393" s="65"/>
      <c r="B393" s="22" t="s">
        <v>640</v>
      </c>
      <c r="C393" t="s">
        <v>628</v>
      </c>
      <c r="D393" s="33">
        <f>D327-D392</f>
        <v>3.3000000000000007</v>
      </c>
    </row>
    <row r="394" spans="1:5" x14ac:dyDescent="0.25">
      <c r="A394" s="65"/>
      <c r="B394" t="s">
        <v>635</v>
      </c>
      <c r="C394" t="s">
        <v>636</v>
      </c>
      <c r="D394" s="18">
        <v>2</v>
      </c>
    </row>
    <row r="395" spans="1:5" x14ac:dyDescent="0.25">
      <c r="A395" s="65"/>
      <c r="B395" s="22"/>
      <c r="C395" t="s">
        <v>643</v>
      </c>
      <c r="D395" s="33" t="b">
        <f>D393&gt;=D394</f>
        <v>1</v>
      </c>
    </row>
    <row r="396" spans="1:5" x14ac:dyDescent="0.25">
      <c r="A396" s="65"/>
      <c r="B396" t="s">
        <v>639</v>
      </c>
      <c r="D396" s="34">
        <v>9.6999999999999993</v>
      </c>
    </row>
    <row r="397" spans="1:5" x14ac:dyDescent="0.25">
      <c r="A397" s="65"/>
      <c r="B397" t="s">
        <v>637</v>
      </c>
      <c r="C397" t="s">
        <v>638</v>
      </c>
      <c r="D397" s="33">
        <f xml:space="preserve"> D317</f>
        <v>14</v>
      </c>
    </row>
    <row r="398" spans="1:5" ht="15" customHeight="1" x14ac:dyDescent="0.25">
      <c r="A398" s="65"/>
      <c r="B398" s="22" t="s">
        <v>641</v>
      </c>
      <c r="C398" t="s">
        <v>642</v>
      </c>
      <c r="D398" s="33">
        <f>D397-D396</f>
        <v>4.3000000000000007</v>
      </c>
    </row>
    <row r="399" spans="1:5" ht="15" customHeight="1" x14ac:dyDescent="0.25">
      <c r="A399" s="65"/>
      <c r="C399" t="s">
        <v>644</v>
      </c>
      <c r="D399" s="18" t="b">
        <f>D398&gt;=D394</f>
        <v>1</v>
      </c>
    </row>
    <row r="400" spans="1:5" ht="15" customHeight="1" x14ac:dyDescent="0.25">
      <c r="A400" s="65"/>
      <c r="D400" s="33"/>
    </row>
    <row r="401" spans="1:5" ht="15" customHeight="1" x14ac:dyDescent="0.25">
      <c r="A401" s="65"/>
      <c r="B401" s="22" t="s">
        <v>795</v>
      </c>
      <c r="C401" t="s">
        <v>796</v>
      </c>
      <c r="D401" s="33">
        <f>D333</f>
        <v>6.6</v>
      </c>
    </row>
    <row r="402" spans="1:5" ht="15" customHeight="1" x14ac:dyDescent="0.25">
      <c r="A402" s="65"/>
      <c r="B402" s="22" t="s">
        <v>797</v>
      </c>
      <c r="C402" t="s">
        <v>798</v>
      </c>
      <c r="D402" s="36">
        <f>0.00000000361</f>
        <v>3.6100000000000001E-9</v>
      </c>
    </row>
    <row r="403" spans="1:5" ht="15" customHeight="1" x14ac:dyDescent="0.25">
      <c r="A403" s="65"/>
      <c r="B403" s="22" t="s">
        <v>799</v>
      </c>
      <c r="C403" t="s">
        <v>800</v>
      </c>
      <c r="D403" s="33">
        <f>E742</f>
        <v>2.2741325637156556E-10</v>
      </c>
    </row>
    <row r="404" spans="1:5" ht="15" customHeight="1" x14ac:dyDescent="0.25">
      <c r="A404" s="65"/>
      <c r="B404" s="22" t="s">
        <v>824</v>
      </c>
      <c r="C404" t="s">
        <v>823</v>
      </c>
      <c r="D404" s="33">
        <v>2.0000000000000001E-9</v>
      </c>
    </row>
    <row r="405" spans="1:5" ht="15" customHeight="1" x14ac:dyDescent="0.25">
      <c r="A405" s="65"/>
      <c r="B405" s="22" t="s">
        <v>825</v>
      </c>
      <c r="D405" s="33">
        <f>D403+D404</f>
        <v>2.2274132563715655E-9</v>
      </c>
    </row>
    <row r="406" spans="1:5" ht="15" customHeight="1" x14ac:dyDescent="0.25">
      <c r="A406" s="65"/>
      <c r="B406" s="22" t="s">
        <v>794</v>
      </c>
      <c r="D406" s="33">
        <f>D401*0.5*SQRT(D402/D405)</f>
        <v>4.2011398692792943</v>
      </c>
    </row>
    <row r="407" spans="1:5" ht="15" customHeight="1" x14ac:dyDescent="0.25">
      <c r="A407" s="65"/>
    </row>
    <row r="408" spans="1:5" ht="15" customHeight="1" x14ac:dyDescent="0.25">
      <c r="A408" s="31"/>
      <c r="D408" s="18"/>
    </row>
    <row r="409" spans="1:5" x14ac:dyDescent="0.25">
      <c r="A409" s="65" t="s">
        <v>413</v>
      </c>
      <c r="B409" t="s">
        <v>231</v>
      </c>
      <c r="C409" t="s">
        <v>935</v>
      </c>
      <c r="D409" s="1">
        <f>D381</f>
        <v>1.8659733333333333</v>
      </c>
      <c r="E409" t="s">
        <v>19</v>
      </c>
    </row>
    <row r="410" spans="1:5" x14ac:dyDescent="0.25">
      <c r="A410" s="65"/>
      <c r="C410" t="s">
        <v>414</v>
      </c>
      <c r="D410" s="34">
        <v>0.9</v>
      </c>
      <c r="E410" s="21" t="s">
        <v>415</v>
      </c>
    </row>
    <row r="411" spans="1:5" x14ac:dyDescent="0.25">
      <c r="A411" s="65"/>
      <c r="C411" t="s">
        <v>416</v>
      </c>
      <c r="D411" s="34">
        <v>0</v>
      </c>
      <c r="E411" s="22" t="s">
        <v>120</v>
      </c>
    </row>
    <row r="412" spans="1:5" x14ac:dyDescent="0.25">
      <c r="A412" s="65"/>
      <c r="C412" t="s">
        <v>417</v>
      </c>
      <c r="D412" s="36">
        <v>1.4999999999999999E-4</v>
      </c>
      <c r="E412" s="23" t="s">
        <v>193</v>
      </c>
    </row>
    <row r="413" spans="1:5" x14ac:dyDescent="0.25">
      <c r="A413" s="65"/>
      <c r="B413" t="s">
        <v>419</v>
      </c>
      <c r="C413" t="s">
        <v>420</v>
      </c>
      <c r="D413" s="18">
        <f>D411/(1000*D410*D412)</f>
        <v>0</v>
      </c>
      <c r="E413" s="22"/>
    </row>
    <row r="414" spans="1:5" x14ac:dyDescent="0.25">
      <c r="A414" s="65"/>
      <c r="B414" t="s">
        <v>421</v>
      </c>
      <c r="C414" t="s">
        <v>422</v>
      </c>
      <c r="D414" s="34">
        <f>3.5+0.5</f>
        <v>4</v>
      </c>
      <c r="E414" s="22"/>
    </row>
    <row r="415" spans="1:5" x14ac:dyDescent="0.25">
      <c r="A415" s="65"/>
      <c r="B415" t="s">
        <v>423</v>
      </c>
      <c r="C415" t="s">
        <v>424</v>
      </c>
      <c r="D415" s="34">
        <v>6.6665999999999999</v>
      </c>
      <c r="E415" s="21"/>
    </row>
    <row r="416" spans="1:5" x14ac:dyDescent="0.25">
      <c r="A416" s="65"/>
      <c r="C416" t="s">
        <v>418</v>
      </c>
      <c r="D416" s="18">
        <f>D413+D414+D415</f>
        <v>10.666599999999999</v>
      </c>
      <c r="E416" s="21"/>
    </row>
    <row r="417" spans="1:5" x14ac:dyDescent="0.25">
      <c r="A417" s="65"/>
      <c r="B417" t="s">
        <v>426</v>
      </c>
      <c r="C417" t="s">
        <v>425</v>
      </c>
      <c r="D417" s="33">
        <f>D416*D409</f>
        <v>19.903591157333331</v>
      </c>
      <c r="E417" s="21"/>
    </row>
    <row r="418" spans="1:5" x14ac:dyDescent="0.25">
      <c r="A418" s="65"/>
      <c r="C418" t="s">
        <v>427</v>
      </c>
      <c r="D418" s="34">
        <v>35</v>
      </c>
      <c r="E418" s="21"/>
    </row>
    <row r="419" spans="1:5" x14ac:dyDescent="0.25">
      <c r="A419" s="65"/>
      <c r="C419" t="s">
        <v>428</v>
      </c>
      <c r="D419" s="33">
        <f>D418+D417</f>
        <v>54.903591157333331</v>
      </c>
      <c r="E419" s="21"/>
    </row>
    <row r="420" spans="1:5" x14ac:dyDescent="0.25">
      <c r="A420" s="65"/>
      <c r="C420" t="s">
        <v>429</v>
      </c>
      <c r="D420">
        <v>150</v>
      </c>
      <c r="E420" s="21"/>
    </row>
    <row r="421" spans="1:5" x14ac:dyDescent="0.25">
      <c r="A421" s="65"/>
      <c r="C421" t="s">
        <v>430</v>
      </c>
      <c r="D421" s="18" t="b">
        <f>D419&lt;D420/D4</f>
        <v>1</v>
      </c>
    </row>
    <row r="422" spans="1:5" s="6" customFormat="1" x14ac:dyDescent="0.25">
      <c r="A422" s="62"/>
      <c r="C422" s="6" t="s">
        <v>936</v>
      </c>
    </row>
    <row r="423" spans="1:5" ht="15" customHeight="1" x14ac:dyDescent="0.25">
      <c r="A423" s="65" t="s">
        <v>708</v>
      </c>
      <c r="B423" s="2" t="s">
        <v>546</v>
      </c>
      <c r="C423" s="2" t="s">
        <v>519</v>
      </c>
      <c r="D423" s="2">
        <f>D131</f>
        <v>22.598870056497169</v>
      </c>
      <c r="E423" s="2" t="s">
        <v>17</v>
      </c>
    </row>
    <row r="424" spans="1:5" x14ac:dyDescent="0.25">
      <c r="A424" s="65"/>
      <c r="B424" t="s">
        <v>545</v>
      </c>
      <c r="D424" s="18">
        <f>D423/SQRT(3)</f>
        <v>13.047463710500015</v>
      </c>
      <c r="E424" t="s">
        <v>17</v>
      </c>
    </row>
    <row r="425" spans="1:5" ht="15.75" x14ac:dyDescent="0.3">
      <c r="A425" s="65"/>
      <c r="B425" s="29" t="s">
        <v>521</v>
      </c>
      <c r="C425" t="s">
        <v>520</v>
      </c>
      <c r="D425" s="34">
        <f xml:space="preserve"> 40</f>
        <v>40</v>
      </c>
      <c r="E425" t="s">
        <v>17</v>
      </c>
    </row>
    <row r="426" spans="1:5" ht="15.75" x14ac:dyDescent="0.3">
      <c r="A426" s="65"/>
      <c r="B426" s="29" t="s">
        <v>523</v>
      </c>
      <c r="C426" t="s">
        <v>522</v>
      </c>
      <c r="D426" s="8">
        <f>D425/SQRT(3)</f>
        <v>23.094010767585033</v>
      </c>
      <c r="E426" t="s">
        <v>17</v>
      </c>
    </row>
    <row r="427" spans="1:5" ht="15.75" x14ac:dyDescent="0.3">
      <c r="A427" s="65"/>
      <c r="B427" s="29" t="s">
        <v>508</v>
      </c>
      <c r="C427" t="s">
        <v>509</v>
      </c>
      <c r="D427" s="6">
        <f>D3</f>
        <v>16000</v>
      </c>
      <c r="E427" t="s">
        <v>58</v>
      </c>
    </row>
    <row r="428" spans="1:5" ht="15.75" x14ac:dyDescent="0.3">
      <c r="A428" s="65"/>
      <c r="B428" s="29" t="s">
        <v>510</v>
      </c>
      <c r="C428" t="s">
        <v>511</v>
      </c>
      <c r="D428" s="40">
        <v>200</v>
      </c>
    </row>
    <row r="429" spans="1:5" ht="15.75" x14ac:dyDescent="0.3">
      <c r="A429" s="65"/>
      <c r="B429" s="29" t="s">
        <v>535</v>
      </c>
      <c r="D429" s="8">
        <f>D423/D428</f>
        <v>0.11299435028248585</v>
      </c>
      <c r="E429" t="s">
        <v>17</v>
      </c>
    </row>
    <row r="430" spans="1:5" x14ac:dyDescent="0.25">
      <c r="A430" s="65"/>
      <c r="B430" t="s">
        <v>524</v>
      </c>
      <c r="D430" s="8">
        <f>D425/D428</f>
        <v>0.2</v>
      </c>
      <c r="E430" t="s">
        <v>17</v>
      </c>
    </row>
    <row r="431" spans="1:5" x14ac:dyDescent="0.25">
      <c r="A431" s="65"/>
      <c r="B431" t="s">
        <v>544</v>
      </c>
      <c r="D431" s="8">
        <f>D424/D428</f>
        <v>6.5237318552500076E-2</v>
      </c>
      <c r="E431" t="s">
        <v>17</v>
      </c>
    </row>
    <row r="432" spans="1:5" x14ac:dyDescent="0.25">
      <c r="A432" s="65"/>
      <c r="B432" t="s">
        <v>525</v>
      </c>
      <c r="D432" s="8">
        <f>D426/D428</f>
        <v>0.11547005383792516</v>
      </c>
      <c r="E432" t="s">
        <v>17</v>
      </c>
    </row>
    <row r="433" spans="1:5" x14ac:dyDescent="0.25">
      <c r="A433" s="65"/>
      <c r="B433" t="s">
        <v>512</v>
      </c>
      <c r="C433" t="s">
        <v>526</v>
      </c>
      <c r="D433" s="40">
        <v>2</v>
      </c>
      <c r="E433" t="s">
        <v>18</v>
      </c>
    </row>
    <row r="434" spans="1:5" x14ac:dyDescent="0.25">
      <c r="A434" s="65"/>
      <c r="B434" t="s">
        <v>513</v>
      </c>
      <c r="C434" t="s">
        <v>514</v>
      </c>
      <c r="D434" s="34">
        <v>1.05</v>
      </c>
      <c r="E434" t="s">
        <v>18</v>
      </c>
    </row>
    <row r="435" spans="1:5" x14ac:dyDescent="0.25">
      <c r="A435" s="65"/>
      <c r="B435" t="s">
        <v>516</v>
      </c>
      <c r="C435" t="s">
        <v>515</v>
      </c>
      <c r="D435" s="18">
        <f>(D433)/D430</f>
        <v>10</v>
      </c>
      <c r="E435" s="7" t="s">
        <v>21</v>
      </c>
    </row>
    <row r="436" spans="1:5" x14ac:dyDescent="0.25">
      <c r="A436" s="65"/>
      <c r="B436" t="s">
        <v>517</v>
      </c>
      <c r="C436" t="s">
        <v>518</v>
      </c>
      <c r="D436" s="34">
        <f>D435</f>
        <v>10</v>
      </c>
      <c r="E436" s="7" t="s">
        <v>21</v>
      </c>
    </row>
    <row r="437" spans="1:5" x14ac:dyDescent="0.25">
      <c r="A437" s="65"/>
      <c r="B437" t="s">
        <v>530</v>
      </c>
      <c r="C437" t="s">
        <v>529</v>
      </c>
      <c r="D437" s="18">
        <f xml:space="preserve"> D430*D436</f>
        <v>2</v>
      </c>
      <c r="E437" t="s">
        <v>18</v>
      </c>
    </row>
    <row r="438" spans="1:5" x14ac:dyDescent="0.25">
      <c r="A438" s="65"/>
    </row>
    <row r="439" spans="1:5" x14ac:dyDescent="0.25">
      <c r="A439" s="65"/>
      <c r="B439" t="s">
        <v>532</v>
      </c>
      <c r="C439" t="s">
        <v>527</v>
      </c>
      <c r="D439" s="18">
        <f xml:space="preserve"> POWER(D430, 2)*D436</f>
        <v>0.40000000000000008</v>
      </c>
      <c r="E439" t="s">
        <v>19</v>
      </c>
    </row>
    <row r="440" spans="1:5" x14ac:dyDescent="0.25">
      <c r="A440" s="65"/>
      <c r="B440" t="s">
        <v>540</v>
      </c>
      <c r="C440" t="s">
        <v>543</v>
      </c>
      <c r="D440" s="18">
        <f>POWER(D432, 2)*D436</f>
        <v>0.13333333333333336</v>
      </c>
      <c r="E440" t="s">
        <v>19</v>
      </c>
    </row>
    <row r="441" spans="1:5" x14ac:dyDescent="0.25">
      <c r="A441" s="65"/>
      <c r="B441" t="s">
        <v>534</v>
      </c>
      <c r="C441" t="s">
        <v>533</v>
      </c>
      <c r="D441" s="18">
        <f>POWER(D429, 2)*D436</f>
        <v>0.1276772319576111</v>
      </c>
      <c r="E441" t="s">
        <v>19</v>
      </c>
    </row>
    <row r="442" spans="1:5" x14ac:dyDescent="0.25">
      <c r="A442" s="65"/>
      <c r="B442" t="s">
        <v>541</v>
      </c>
      <c r="C442" t="s">
        <v>542</v>
      </c>
      <c r="D442" s="18">
        <f>POWER(D431, 2)*D436</f>
        <v>4.2559077319203706E-2</v>
      </c>
      <c r="E442" t="s">
        <v>19</v>
      </c>
    </row>
    <row r="443" spans="1:5" x14ac:dyDescent="0.25">
      <c r="A443" s="65"/>
      <c r="B443" t="s">
        <v>531</v>
      </c>
      <c r="C443" t="s">
        <v>528</v>
      </c>
      <c r="D443" s="18">
        <f>D434*D430</f>
        <v>0.21000000000000002</v>
      </c>
      <c r="E443" t="s">
        <v>19</v>
      </c>
    </row>
    <row r="444" spans="1:5" x14ac:dyDescent="0.25">
      <c r="A444" s="65"/>
      <c r="B444" t="s">
        <v>536</v>
      </c>
      <c r="C444" t="s">
        <v>537</v>
      </c>
      <c r="D444" s="18">
        <f>D434*D429</f>
        <v>0.11864406779661014</v>
      </c>
    </row>
    <row r="445" spans="1:5" x14ac:dyDescent="0.25">
      <c r="A445" s="65"/>
      <c r="D445" s="18"/>
    </row>
    <row r="446" spans="1:5" x14ac:dyDescent="0.25">
      <c r="A446" s="65"/>
      <c r="B446" t="s">
        <v>547</v>
      </c>
      <c r="C446" t="s">
        <v>548</v>
      </c>
      <c r="D446" s="18">
        <f>D436+(2*(D434/D430))</f>
        <v>20.5</v>
      </c>
      <c r="E446" s="7" t="s">
        <v>21</v>
      </c>
    </row>
    <row r="447" spans="1:5" x14ac:dyDescent="0.25">
      <c r="A447" s="65"/>
      <c r="B447" t="s">
        <v>538</v>
      </c>
      <c r="C447" t="s">
        <v>539</v>
      </c>
      <c r="D447" s="18">
        <f>D429*D436</f>
        <v>1.1299435028248586</v>
      </c>
      <c r="E447" t="s">
        <v>18</v>
      </c>
    </row>
    <row r="448" spans="1:5" x14ac:dyDescent="0.25">
      <c r="A448" s="65"/>
      <c r="B448" t="s">
        <v>549</v>
      </c>
      <c r="C448" t="s">
        <v>550</v>
      </c>
      <c r="D448" s="18">
        <f>D430</f>
        <v>0.2</v>
      </c>
    </row>
    <row r="449" spans="1:102" x14ac:dyDescent="0.25">
      <c r="A449" s="65"/>
      <c r="B449" t="s">
        <v>551</v>
      </c>
      <c r="C449" t="s">
        <v>552</v>
      </c>
      <c r="D449" t="s">
        <v>315</v>
      </c>
    </row>
    <row r="450" spans="1:102" x14ac:dyDescent="0.25">
      <c r="A450" s="65"/>
      <c r="B450" t="s">
        <v>553</v>
      </c>
      <c r="C450" t="s">
        <v>554</v>
      </c>
    </row>
    <row r="451" spans="1:102" x14ac:dyDescent="0.25">
      <c r="A451" s="65"/>
      <c r="B451" t="s">
        <v>555</v>
      </c>
      <c r="C451" t="s">
        <v>556</v>
      </c>
      <c r="D451" s="34">
        <v>100</v>
      </c>
      <c r="E451" s="7" t="s">
        <v>21</v>
      </c>
    </row>
    <row r="452" spans="1:102" x14ac:dyDescent="0.25">
      <c r="A452" s="65"/>
      <c r="B452" t="s">
        <v>557</v>
      </c>
      <c r="D452">
        <f xml:space="preserve"> (1/D427)/2</f>
        <v>3.1250000000000001E-5</v>
      </c>
      <c r="E452" s="7"/>
    </row>
    <row r="453" spans="1:102" x14ac:dyDescent="0.25">
      <c r="A453" s="65"/>
      <c r="B453" t="s">
        <v>558</v>
      </c>
      <c r="C453" t="s">
        <v>559</v>
      </c>
      <c r="D453">
        <v>100</v>
      </c>
      <c r="E453" s="7"/>
    </row>
    <row r="454" spans="1:102" x14ac:dyDescent="0.25">
      <c r="A454" s="65"/>
      <c r="B454" t="s">
        <v>426</v>
      </c>
      <c r="C454" t="s">
        <v>560</v>
      </c>
      <c r="D454">
        <f>D452/D453</f>
        <v>3.1250000000000003E-7</v>
      </c>
      <c r="E454" s="7"/>
    </row>
    <row r="455" spans="1:102" x14ac:dyDescent="0.25">
      <c r="A455" s="65"/>
      <c r="B455" t="s">
        <v>563</v>
      </c>
      <c r="C455">
        <f>D425</f>
        <v>40</v>
      </c>
      <c r="D455">
        <f>D425</f>
        <v>40</v>
      </c>
      <c r="E455" s="7">
        <f>D455</f>
        <v>40</v>
      </c>
      <c r="F455">
        <f>E455</f>
        <v>40</v>
      </c>
      <c r="G455">
        <f t="shared" ref="G455:BR455" si="76">F455</f>
        <v>40</v>
      </c>
      <c r="H455">
        <f t="shared" si="76"/>
        <v>40</v>
      </c>
      <c r="I455">
        <f t="shared" si="76"/>
        <v>40</v>
      </c>
      <c r="J455">
        <f t="shared" si="76"/>
        <v>40</v>
      </c>
      <c r="K455">
        <f t="shared" si="76"/>
        <v>40</v>
      </c>
      <c r="L455">
        <f t="shared" si="76"/>
        <v>40</v>
      </c>
      <c r="M455">
        <f t="shared" si="76"/>
        <v>40</v>
      </c>
      <c r="N455">
        <f t="shared" si="76"/>
        <v>40</v>
      </c>
      <c r="O455">
        <f t="shared" si="76"/>
        <v>40</v>
      </c>
      <c r="P455">
        <f t="shared" si="76"/>
        <v>40</v>
      </c>
      <c r="Q455">
        <f t="shared" si="76"/>
        <v>40</v>
      </c>
      <c r="R455">
        <f t="shared" si="76"/>
        <v>40</v>
      </c>
      <c r="S455">
        <f t="shared" si="76"/>
        <v>40</v>
      </c>
      <c r="T455">
        <f t="shared" si="76"/>
        <v>40</v>
      </c>
      <c r="U455">
        <f t="shared" si="76"/>
        <v>40</v>
      </c>
      <c r="V455">
        <f t="shared" si="76"/>
        <v>40</v>
      </c>
      <c r="W455">
        <f t="shared" si="76"/>
        <v>40</v>
      </c>
      <c r="X455">
        <f t="shared" si="76"/>
        <v>40</v>
      </c>
      <c r="Y455">
        <f t="shared" si="76"/>
        <v>40</v>
      </c>
      <c r="Z455">
        <f t="shared" si="76"/>
        <v>40</v>
      </c>
      <c r="AA455">
        <f t="shared" si="76"/>
        <v>40</v>
      </c>
      <c r="AB455">
        <f t="shared" si="76"/>
        <v>40</v>
      </c>
      <c r="AC455">
        <f t="shared" si="76"/>
        <v>40</v>
      </c>
      <c r="AD455">
        <f t="shared" si="76"/>
        <v>40</v>
      </c>
      <c r="AE455">
        <f t="shared" si="76"/>
        <v>40</v>
      </c>
      <c r="AF455">
        <f t="shared" si="76"/>
        <v>40</v>
      </c>
      <c r="AG455">
        <f t="shared" si="76"/>
        <v>40</v>
      </c>
      <c r="AH455">
        <f t="shared" si="76"/>
        <v>40</v>
      </c>
      <c r="AI455">
        <f t="shared" si="76"/>
        <v>40</v>
      </c>
      <c r="AJ455">
        <f t="shared" si="76"/>
        <v>40</v>
      </c>
      <c r="AK455">
        <f t="shared" si="76"/>
        <v>40</v>
      </c>
      <c r="AL455">
        <f t="shared" si="76"/>
        <v>40</v>
      </c>
      <c r="AM455">
        <f t="shared" si="76"/>
        <v>40</v>
      </c>
      <c r="AN455">
        <f t="shared" si="76"/>
        <v>40</v>
      </c>
      <c r="AO455">
        <f t="shared" si="76"/>
        <v>40</v>
      </c>
      <c r="AP455">
        <f t="shared" si="76"/>
        <v>40</v>
      </c>
      <c r="AQ455">
        <f t="shared" si="76"/>
        <v>40</v>
      </c>
      <c r="AR455">
        <f t="shared" si="76"/>
        <v>40</v>
      </c>
      <c r="AS455">
        <f t="shared" si="76"/>
        <v>40</v>
      </c>
      <c r="AT455">
        <f t="shared" si="76"/>
        <v>40</v>
      </c>
      <c r="AU455">
        <f t="shared" si="76"/>
        <v>40</v>
      </c>
      <c r="AV455">
        <f t="shared" si="76"/>
        <v>40</v>
      </c>
      <c r="AW455">
        <f t="shared" si="76"/>
        <v>40</v>
      </c>
      <c r="AX455">
        <f t="shared" si="76"/>
        <v>40</v>
      </c>
      <c r="AY455">
        <f t="shared" si="76"/>
        <v>40</v>
      </c>
      <c r="AZ455">
        <f t="shared" si="76"/>
        <v>40</v>
      </c>
      <c r="BA455">
        <f t="shared" si="76"/>
        <v>40</v>
      </c>
      <c r="BB455">
        <f t="shared" si="76"/>
        <v>40</v>
      </c>
      <c r="BC455">
        <f t="shared" si="76"/>
        <v>40</v>
      </c>
      <c r="BD455">
        <f t="shared" si="76"/>
        <v>40</v>
      </c>
      <c r="BE455">
        <f t="shared" si="76"/>
        <v>40</v>
      </c>
      <c r="BF455">
        <f t="shared" si="76"/>
        <v>40</v>
      </c>
      <c r="BG455">
        <f t="shared" si="76"/>
        <v>40</v>
      </c>
      <c r="BH455">
        <f t="shared" si="76"/>
        <v>40</v>
      </c>
      <c r="BI455">
        <f t="shared" si="76"/>
        <v>40</v>
      </c>
      <c r="BJ455">
        <f t="shared" si="76"/>
        <v>40</v>
      </c>
      <c r="BK455">
        <f t="shared" si="76"/>
        <v>40</v>
      </c>
      <c r="BL455">
        <f t="shared" si="76"/>
        <v>40</v>
      </c>
      <c r="BM455">
        <f t="shared" si="76"/>
        <v>40</v>
      </c>
      <c r="BN455">
        <f t="shared" si="76"/>
        <v>40</v>
      </c>
      <c r="BO455">
        <f t="shared" si="76"/>
        <v>40</v>
      </c>
      <c r="BP455">
        <f t="shared" si="76"/>
        <v>40</v>
      </c>
      <c r="BQ455">
        <f t="shared" si="76"/>
        <v>40</v>
      </c>
      <c r="BR455">
        <f t="shared" si="76"/>
        <v>40</v>
      </c>
      <c r="BS455">
        <f t="shared" ref="BS455:CX455" si="77">BR455</f>
        <v>40</v>
      </c>
      <c r="BT455">
        <f t="shared" si="77"/>
        <v>40</v>
      </c>
      <c r="BU455">
        <f t="shared" si="77"/>
        <v>40</v>
      </c>
      <c r="BV455">
        <f t="shared" si="77"/>
        <v>40</v>
      </c>
      <c r="BW455">
        <f t="shared" si="77"/>
        <v>40</v>
      </c>
      <c r="BX455">
        <f t="shared" si="77"/>
        <v>40</v>
      </c>
      <c r="BY455">
        <f t="shared" si="77"/>
        <v>40</v>
      </c>
      <c r="BZ455">
        <f t="shared" si="77"/>
        <v>40</v>
      </c>
      <c r="CA455">
        <f t="shared" si="77"/>
        <v>40</v>
      </c>
      <c r="CB455">
        <f t="shared" si="77"/>
        <v>40</v>
      </c>
      <c r="CC455">
        <f t="shared" si="77"/>
        <v>40</v>
      </c>
      <c r="CD455">
        <f t="shared" si="77"/>
        <v>40</v>
      </c>
      <c r="CE455">
        <f t="shared" si="77"/>
        <v>40</v>
      </c>
      <c r="CF455">
        <f t="shared" si="77"/>
        <v>40</v>
      </c>
      <c r="CG455">
        <f t="shared" si="77"/>
        <v>40</v>
      </c>
      <c r="CH455">
        <f t="shared" si="77"/>
        <v>40</v>
      </c>
      <c r="CI455">
        <f t="shared" si="77"/>
        <v>40</v>
      </c>
      <c r="CJ455">
        <f t="shared" si="77"/>
        <v>40</v>
      </c>
      <c r="CK455">
        <f t="shared" si="77"/>
        <v>40</v>
      </c>
      <c r="CL455">
        <f t="shared" si="77"/>
        <v>40</v>
      </c>
      <c r="CM455">
        <f t="shared" si="77"/>
        <v>40</v>
      </c>
      <c r="CN455">
        <f t="shared" si="77"/>
        <v>40</v>
      </c>
      <c r="CO455">
        <f t="shared" si="77"/>
        <v>40</v>
      </c>
      <c r="CP455">
        <f t="shared" si="77"/>
        <v>40</v>
      </c>
      <c r="CQ455">
        <f t="shared" si="77"/>
        <v>40</v>
      </c>
      <c r="CR455">
        <f t="shared" si="77"/>
        <v>40</v>
      </c>
      <c r="CS455">
        <f t="shared" si="77"/>
        <v>40</v>
      </c>
      <c r="CT455">
        <f t="shared" si="77"/>
        <v>40</v>
      </c>
      <c r="CU455">
        <f t="shared" si="77"/>
        <v>40</v>
      </c>
      <c r="CV455">
        <f t="shared" si="77"/>
        <v>40</v>
      </c>
      <c r="CW455">
        <f t="shared" si="77"/>
        <v>40</v>
      </c>
      <c r="CX455">
        <f t="shared" si="77"/>
        <v>40</v>
      </c>
    </row>
    <row r="456" spans="1:102" x14ac:dyDescent="0.25">
      <c r="A456" s="65"/>
      <c r="B456" t="s">
        <v>561</v>
      </c>
      <c r="C456">
        <v>1</v>
      </c>
      <c r="D456">
        <v>2</v>
      </c>
      <c r="E456" s="7">
        <v>3</v>
      </c>
      <c r="F456">
        <v>4</v>
      </c>
      <c r="G456" s="7">
        <v>5</v>
      </c>
      <c r="H456">
        <v>6</v>
      </c>
      <c r="I456" s="7">
        <v>7</v>
      </c>
      <c r="J456">
        <v>8</v>
      </c>
      <c r="K456" s="7">
        <v>9</v>
      </c>
      <c r="L456">
        <v>10</v>
      </c>
      <c r="M456" s="7">
        <v>11</v>
      </c>
      <c r="N456">
        <v>12</v>
      </c>
      <c r="O456" s="7">
        <v>13</v>
      </c>
      <c r="P456">
        <v>14</v>
      </c>
      <c r="Q456" s="7">
        <v>15</v>
      </c>
      <c r="R456">
        <v>16</v>
      </c>
      <c r="S456" s="7">
        <v>17</v>
      </c>
      <c r="T456">
        <v>18</v>
      </c>
      <c r="U456" s="7">
        <v>19</v>
      </c>
      <c r="V456">
        <v>20</v>
      </c>
      <c r="W456" s="7">
        <v>21</v>
      </c>
      <c r="X456">
        <v>22</v>
      </c>
      <c r="Y456" s="7">
        <v>23</v>
      </c>
      <c r="Z456">
        <v>24</v>
      </c>
      <c r="AA456" s="7">
        <v>25</v>
      </c>
      <c r="AB456">
        <v>26</v>
      </c>
      <c r="AC456" s="7">
        <v>27</v>
      </c>
      <c r="AD456">
        <v>28</v>
      </c>
      <c r="AE456" s="7">
        <v>29</v>
      </c>
      <c r="AF456">
        <v>30</v>
      </c>
      <c r="AG456" s="7">
        <v>31</v>
      </c>
      <c r="AH456">
        <v>32</v>
      </c>
      <c r="AI456" s="7">
        <v>33</v>
      </c>
      <c r="AJ456">
        <v>34</v>
      </c>
      <c r="AK456" s="7">
        <v>35</v>
      </c>
      <c r="AL456">
        <v>36</v>
      </c>
      <c r="AM456" s="7">
        <v>37</v>
      </c>
      <c r="AN456">
        <v>38</v>
      </c>
      <c r="AO456" s="7">
        <v>39</v>
      </c>
      <c r="AP456">
        <v>40</v>
      </c>
      <c r="AQ456" s="7">
        <v>41</v>
      </c>
      <c r="AR456">
        <v>42</v>
      </c>
      <c r="AS456" s="7">
        <v>43</v>
      </c>
      <c r="AT456">
        <v>44</v>
      </c>
      <c r="AU456" s="7">
        <v>45</v>
      </c>
      <c r="AV456">
        <v>46</v>
      </c>
      <c r="AW456" s="7">
        <v>47</v>
      </c>
      <c r="AX456">
        <v>48</v>
      </c>
      <c r="AY456" s="7">
        <v>49</v>
      </c>
      <c r="AZ456">
        <v>50</v>
      </c>
      <c r="BA456" s="7">
        <v>51</v>
      </c>
      <c r="BB456">
        <v>52</v>
      </c>
      <c r="BC456" s="7">
        <v>53</v>
      </c>
      <c r="BD456">
        <v>54</v>
      </c>
      <c r="BE456" s="7">
        <v>55</v>
      </c>
      <c r="BF456">
        <v>56</v>
      </c>
      <c r="BG456" s="7">
        <v>57</v>
      </c>
      <c r="BH456">
        <v>58</v>
      </c>
      <c r="BI456" s="7">
        <v>59</v>
      </c>
      <c r="BJ456">
        <v>60</v>
      </c>
      <c r="BK456" s="7">
        <v>61</v>
      </c>
      <c r="BL456">
        <v>62</v>
      </c>
      <c r="BM456" s="7">
        <v>63</v>
      </c>
      <c r="BN456">
        <v>64</v>
      </c>
      <c r="BO456" s="7">
        <v>65</v>
      </c>
      <c r="BP456">
        <v>66</v>
      </c>
      <c r="BQ456" s="7">
        <v>67</v>
      </c>
      <c r="BR456">
        <v>68</v>
      </c>
      <c r="BS456" s="7">
        <v>69</v>
      </c>
      <c r="BT456">
        <v>70</v>
      </c>
      <c r="BU456" s="7">
        <v>71</v>
      </c>
      <c r="BV456">
        <v>72</v>
      </c>
      <c r="BW456" s="7">
        <v>73</v>
      </c>
      <c r="BX456">
        <v>74</v>
      </c>
      <c r="BY456" s="7">
        <v>75</v>
      </c>
      <c r="BZ456">
        <v>76</v>
      </c>
      <c r="CA456" s="7">
        <v>77</v>
      </c>
      <c r="CB456">
        <v>78</v>
      </c>
      <c r="CC456" s="7">
        <v>79</v>
      </c>
      <c r="CD456">
        <v>80</v>
      </c>
      <c r="CE456" s="7">
        <v>81</v>
      </c>
      <c r="CF456">
        <v>82</v>
      </c>
      <c r="CG456" s="7">
        <v>83</v>
      </c>
      <c r="CH456">
        <v>84</v>
      </c>
      <c r="CI456" s="7">
        <v>85</v>
      </c>
      <c r="CJ456">
        <v>86</v>
      </c>
      <c r="CK456" s="7">
        <v>87</v>
      </c>
      <c r="CL456">
        <v>88</v>
      </c>
      <c r="CM456" s="7">
        <v>89</v>
      </c>
      <c r="CN456">
        <v>90</v>
      </c>
      <c r="CO456" s="7">
        <v>91</v>
      </c>
      <c r="CP456">
        <v>92</v>
      </c>
      <c r="CQ456" s="7">
        <v>93</v>
      </c>
      <c r="CR456">
        <v>94</v>
      </c>
      <c r="CS456" s="7">
        <v>95</v>
      </c>
      <c r="CT456">
        <v>96</v>
      </c>
      <c r="CU456" s="7">
        <v>97</v>
      </c>
      <c r="CV456">
        <v>98</v>
      </c>
      <c r="CW456" s="7">
        <v>99</v>
      </c>
      <c r="CX456">
        <v>100</v>
      </c>
    </row>
    <row r="457" spans="1:102" x14ac:dyDescent="0.25">
      <c r="A457" s="65"/>
      <c r="B457" t="s">
        <v>562</v>
      </c>
      <c r="C457">
        <f>(C456/50)*C455</f>
        <v>0.8</v>
      </c>
      <c r="D457">
        <f>(D456/50)*D455</f>
        <v>1.6</v>
      </c>
      <c r="E457">
        <f t="shared" ref="E457:AZ457" si="78">(E456/50)*E455</f>
        <v>2.4</v>
      </c>
      <c r="F457">
        <f t="shared" si="78"/>
        <v>3.2</v>
      </c>
      <c r="G457">
        <f t="shared" si="78"/>
        <v>4</v>
      </c>
      <c r="H457">
        <f t="shared" si="78"/>
        <v>4.8</v>
      </c>
      <c r="I457">
        <f t="shared" si="78"/>
        <v>5.6000000000000005</v>
      </c>
      <c r="J457">
        <f t="shared" si="78"/>
        <v>6.4</v>
      </c>
      <c r="K457">
        <f t="shared" si="78"/>
        <v>7.1999999999999993</v>
      </c>
      <c r="L457">
        <f t="shared" si="78"/>
        <v>8</v>
      </c>
      <c r="M457">
        <f t="shared" si="78"/>
        <v>8.8000000000000007</v>
      </c>
      <c r="N457">
        <f t="shared" si="78"/>
        <v>9.6</v>
      </c>
      <c r="O457">
        <f t="shared" si="78"/>
        <v>10.4</v>
      </c>
      <c r="P457">
        <f t="shared" si="78"/>
        <v>11.200000000000001</v>
      </c>
      <c r="Q457">
        <f t="shared" si="78"/>
        <v>12</v>
      </c>
      <c r="R457">
        <f t="shared" si="78"/>
        <v>12.8</v>
      </c>
      <c r="S457">
        <f t="shared" si="78"/>
        <v>13.600000000000001</v>
      </c>
      <c r="T457">
        <f t="shared" si="78"/>
        <v>14.399999999999999</v>
      </c>
      <c r="U457">
        <f t="shared" si="78"/>
        <v>15.2</v>
      </c>
      <c r="V457">
        <f t="shared" si="78"/>
        <v>16</v>
      </c>
      <c r="W457">
        <f t="shared" si="78"/>
        <v>16.8</v>
      </c>
      <c r="X457">
        <f t="shared" si="78"/>
        <v>17.600000000000001</v>
      </c>
      <c r="Y457">
        <f t="shared" si="78"/>
        <v>18.400000000000002</v>
      </c>
      <c r="Z457">
        <f t="shared" si="78"/>
        <v>19.2</v>
      </c>
      <c r="AA457">
        <f t="shared" si="78"/>
        <v>20</v>
      </c>
      <c r="AB457">
        <f t="shared" si="78"/>
        <v>20.8</v>
      </c>
      <c r="AC457">
        <f t="shared" si="78"/>
        <v>21.6</v>
      </c>
      <c r="AD457">
        <f t="shared" si="78"/>
        <v>22.400000000000002</v>
      </c>
      <c r="AE457">
        <f t="shared" si="78"/>
        <v>23.2</v>
      </c>
      <c r="AF457">
        <f t="shared" si="78"/>
        <v>24</v>
      </c>
      <c r="AG457">
        <f t="shared" si="78"/>
        <v>24.8</v>
      </c>
      <c r="AH457">
        <f t="shared" si="78"/>
        <v>25.6</v>
      </c>
      <c r="AI457">
        <f t="shared" si="78"/>
        <v>26.400000000000002</v>
      </c>
      <c r="AJ457">
        <f t="shared" si="78"/>
        <v>27.200000000000003</v>
      </c>
      <c r="AK457">
        <f t="shared" si="78"/>
        <v>28</v>
      </c>
      <c r="AL457">
        <f t="shared" si="78"/>
        <v>28.799999999999997</v>
      </c>
      <c r="AM457">
        <f t="shared" si="78"/>
        <v>29.6</v>
      </c>
      <c r="AN457">
        <f t="shared" si="78"/>
        <v>30.4</v>
      </c>
      <c r="AO457">
        <f t="shared" si="78"/>
        <v>31.200000000000003</v>
      </c>
      <c r="AP457">
        <f t="shared" si="78"/>
        <v>32</v>
      </c>
      <c r="AQ457">
        <f t="shared" si="78"/>
        <v>32.799999999999997</v>
      </c>
      <c r="AR457">
        <f t="shared" si="78"/>
        <v>33.6</v>
      </c>
      <c r="AS457">
        <f t="shared" si="78"/>
        <v>34.4</v>
      </c>
      <c r="AT457">
        <f t="shared" si="78"/>
        <v>35.200000000000003</v>
      </c>
      <c r="AU457">
        <f t="shared" si="78"/>
        <v>36</v>
      </c>
      <c r="AV457">
        <f t="shared" si="78"/>
        <v>36.800000000000004</v>
      </c>
      <c r="AW457">
        <f t="shared" si="78"/>
        <v>37.599999999999994</v>
      </c>
      <c r="AX457">
        <f t="shared" si="78"/>
        <v>38.4</v>
      </c>
      <c r="AY457">
        <f t="shared" si="78"/>
        <v>39.200000000000003</v>
      </c>
      <c r="AZ457">
        <f t="shared" si="78"/>
        <v>40</v>
      </c>
      <c r="BA457">
        <f>(((100-BA456)/50)*BA455)</f>
        <v>39.200000000000003</v>
      </c>
      <c r="BB457">
        <f t="shared" ref="BB457:BD457" si="79">(((100-BB456)/50)*BB455)</f>
        <v>38.4</v>
      </c>
      <c r="BC457">
        <f t="shared" si="79"/>
        <v>37.599999999999994</v>
      </c>
      <c r="BD457">
        <f t="shared" si="79"/>
        <v>36.800000000000004</v>
      </c>
      <c r="BE457">
        <f t="shared" ref="BE457" si="80">(((100-BE456)/50)*BE455)</f>
        <v>36</v>
      </c>
      <c r="BF457">
        <f t="shared" ref="BF457:BG457" si="81">(((100-BF456)/50)*BF455)</f>
        <v>35.200000000000003</v>
      </c>
      <c r="BG457">
        <f t="shared" si="81"/>
        <v>34.4</v>
      </c>
      <c r="BH457">
        <f t="shared" ref="BH457" si="82">(((100-BH456)/50)*BH455)</f>
        <v>33.6</v>
      </c>
      <c r="BI457">
        <f t="shared" ref="BI457:BJ457" si="83">(((100-BI456)/50)*BI455)</f>
        <v>32.799999999999997</v>
      </c>
      <c r="BJ457">
        <f t="shared" si="83"/>
        <v>32</v>
      </c>
      <c r="BK457">
        <f t="shared" ref="BK457" si="84">(((100-BK456)/50)*BK455)</f>
        <v>31.200000000000003</v>
      </c>
      <c r="BL457">
        <f t="shared" ref="BL457:BM457" si="85">(((100-BL456)/50)*BL455)</f>
        <v>30.4</v>
      </c>
      <c r="BM457">
        <f t="shared" si="85"/>
        <v>29.6</v>
      </c>
      <c r="BN457">
        <f t="shared" ref="BN457" si="86">(((100-BN456)/50)*BN455)</f>
        <v>28.799999999999997</v>
      </c>
      <c r="BO457">
        <f t="shared" ref="BO457:BP457" si="87">(((100-BO456)/50)*BO455)</f>
        <v>28</v>
      </c>
      <c r="BP457">
        <f t="shared" si="87"/>
        <v>27.200000000000003</v>
      </c>
      <c r="BQ457">
        <f t="shared" ref="BQ457" si="88">(((100-BQ456)/50)*BQ455)</f>
        <v>26.400000000000002</v>
      </c>
      <c r="BR457">
        <f t="shared" ref="BR457:BS457" si="89">(((100-BR456)/50)*BR455)</f>
        <v>25.6</v>
      </c>
      <c r="BS457">
        <f t="shared" si="89"/>
        <v>24.8</v>
      </c>
      <c r="BT457">
        <f t="shared" ref="BT457" si="90">(((100-BT456)/50)*BT455)</f>
        <v>24</v>
      </c>
      <c r="BU457">
        <f t="shared" ref="BU457:BV457" si="91">(((100-BU456)/50)*BU455)</f>
        <v>23.2</v>
      </c>
      <c r="BV457">
        <f t="shared" si="91"/>
        <v>22.400000000000002</v>
      </c>
      <c r="BW457">
        <f t="shared" ref="BW457" si="92">(((100-BW456)/50)*BW455)</f>
        <v>21.6</v>
      </c>
      <c r="BX457">
        <f t="shared" ref="BX457:BY457" si="93">(((100-BX456)/50)*BX455)</f>
        <v>20.8</v>
      </c>
      <c r="BY457">
        <f t="shared" si="93"/>
        <v>20</v>
      </c>
      <c r="BZ457">
        <f t="shared" ref="BZ457" si="94">(((100-BZ456)/50)*BZ455)</f>
        <v>19.2</v>
      </c>
      <c r="CA457">
        <f t="shared" ref="CA457:CB457" si="95">(((100-CA456)/50)*CA455)</f>
        <v>18.400000000000002</v>
      </c>
      <c r="CB457">
        <f t="shared" si="95"/>
        <v>17.600000000000001</v>
      </c>
      <c r="CC457">
        <f t="shared" ref="CC457" si="96">(((100-CC456)/50)*CC455)</f>
        <v>16.8</v>
      </c>
      <c r="CD457">
        <f t="shared" ref="CD457:CE457" si="97">(((100-CD456)/50)*CD455)</f>
        <v>16</v>
      </c>
      <c r="CE457">
        <f t="shared" si="97"/>
        <v>15.2</v>
      </c>
      <c r="CF457">
        <f t="shared" ref="CF457" si="98">(((100-CF456)/50)*CF455)</f>
        <v>14.399999999999999</v>
      </c>
      <c r="CG457">
        <f t="shared" ref="CG457:CH457" si="99">(((100-CG456)/50)*CG455)</f>
        <v>13.600000000000001</v>
      </c>
      <c r="CH457">
        <f t="shared" si="99"/>
        <v>12.8</v>
      </c>
      <c r="CI457">
        <f t="shared" ref="CI457" si="100">(((100-CI456)/50)*CI455)</f>
        <v>12</v>
      </c>
      <c r="CJ457">
        <f t="shared" ref="CJ457:CK457" si="101">(((100-CJ456)/50)*CJ455)</f>
        <v>11.200000000000001</v>
      </c>
      <c r="CK457">
        <f t="shared" si="101"/>
        <v>10.4</v>
      </c>
      <c r="CL457">
        <f t="shared" ref="CL457" si="102">(((100-CL456)/50)*CL455)</f>
        <v>9.6</v>
      </c>
      <c r="CM457">
        <f t="shared" ref="CM457:CN457" si="103">(((100-CM456)/50)*CM455)</f>
        <v>8.8000000000000007</v>
      </c>
      <c r="CN457">
        <f t="shared" si="103"/>
        <v>8</v>
      </c>
      <c r="CO457">
        <f t="shared" ref="CO457" si="104">(((100-CO456)/50)*CO455)</f>
        <v>7.1999999999999993</v>
      </c>
      <c r="CP457">
        <f t="shared" ref="CP457:CQ457" si="105">(((100-CP456)/50)*CP455)</f>
        <v>6.4</v>
      </c>
      <c r="CQ457">
        <f t="shared" si="105"/>
        <v>5.6000000000000005</v>
      </c>
      <c r="CR457">
        <f t="shared" ref="CR457" si="106">(((100-CR456)/50)*CR455)</f>
        <v>4.8</v>
      </c>
      <c r="CS457">
        <f t="shared" ref="CS457:CT457" si="107">(((100-CS456)/50)*CS455)</f>
        <v>4</v>
      </c>
      <c r="CT457">
        <f t="shared" si="107"/>
        <v>3.2</v>
      </c>
      <c r="CU457">
        <f t="shared" ref="CU457" si="108">(((100-CU456)/50)*CU455)</f>
        <v>2.4</v>
      </c>
      <c r="CV457">
        <f t="shared" ref="CV457:CW457" si="109">(((100-CV456)/50)*CV455)</f>
        <v>1.6</v>
      </c>
      <c r="CW457">
        <f t="shared" si="109"/>
        <v>0.8</v>
      </c>
      <c r="CX457">
        <f t="shared" ref="CX457" si="110">(((100-CX456)/50)*CX455)</f>
        <v>0</v>
      </c>
    </row>
    <row r="458" spans="1:102" x14ac:dyDescent="0.25">
      <c r="A458" s="65"/>
      <c r="B458" t="s">
        <v>564</v>
      </c>
      <c r="C458">
        <f t="shared" ref="C458:AH458" si="111">C457/$D$428</f>
        <v>4.0000000000000001E-3</v>
      </c>
      <c r="D458">
        <f t="shared" si="111"/>
        <v>8.0000000000000002E-3</v>
      </c>
      <c r="E458">
        <f t="shared" si="111"/>
        <v>1.2E-2</v>
      </c>
      <c r="F458">
        <f t="shared" si="111"/>
        <v>1.6E-2</v>
      </c>
      <c r="G458">
        <f t="shared" si="111"/>
        <v>0.02</v>
      </c>
      <c r="H458">
        <f t="shared" si="111"/>
        <v>2.4E-2</v>
      </c>
      <c r="I458">
        <f t="shared" si="111"/>
        <v>2.8000000000000004E-2</v>
      </c>
      <c r="J458">
        <f t="shared" si="111"/>
        <v>3.2000000000000001E-2</v>
      </c>
      <c r="K458">
        <f t="shared" si="111"/>
        <v>3.5999999999999997E-2</v>
      </c>
      <c r="L458">
        <f t="shared" si="111"/>
        <v>0.04</v>
      </c>
      <c r="M458">
        <f t="shared" si="111"/>
        <v>4.4000000000000004E-2</v>
      </c>
      <c r="N458">
        <f t="shared" si="111"/>
        <v>4.8000000000000001E-2</v>
      </c>
      <c r="O458">
        <f t="shared" si="111"/>
        <v>5.2000000000000005E-2</v>
      </c>
      <c r="P458">
        <f t="shared" si="111"/>
        <v>5.6000000000000008E-2</v>
      </c>
      <c r="Q458">
        <f t="shared" si="111"/>
        <v>0.06</v>
      </c>
      <c r="R458">
        <f t="shared" si="111"/>
        <v>6.4000000000000001E-2</v>
      </c>
      <c r="S458">
        <f t="shared" si="111"/>
        <v>6.8000000000000005E-2</v>
      </c>
      <c r="T458">
        <f t="shared" si="111"/>
        <v>7.1999999999999995E-2</v>
      </c>
      <c r="U458">
        <f t="shared" si="111"/>
        <v>7.5999999999999998E-2</v>
      </c>
      <c r="V458">
        <f t="shared" si="111"/>
        <v>0.08</v>
      </c>
      <c r="W458">
        <f t="shared" si="111"/>
        <v>8.4000000000000005E-2</v>
      </c>
      <c r="X458">
        <f t="shared" si="111"/>
        <v>8.8000000000000009E-2</v>
      </c>
      <c r="Y458">
        <f t="shared" si="111"/>
        <v>9.2000000000000012E-2</v>
      </c>
      <c r="Z458">
        <f t="shared" si="111"/>
        <v>9.6000000000000002E-2</v>
      </c>
      <c r="AA458">
        <f t="shared" si="111"/>
        <v>0.1</v>
      </c>
      <c r="AB458">
        <f t="shared" si="111"/>
        <v>0.10400000000000001</v>
      </c>
      <c r="AC458">
        <f t="shared" si="111"/>
        <v>0.10800000000000001</v>
      </c>
      <c r="AD458">
        <f t="shared" si="111"/>
        <v>0.11200000000000002</v>
      </c>
      <c r="AE458">
        <f t="shared" si="111"/>
        <v>0.11599999999999999</v>
      </c>
      <c r="AF458">
        <f t="shared" si="111"/>
        <v>0.12</v>
      </c>
      <c r="AG458">
        <f t="shared" si="111"/>
        <v>0.124</v>
      </c>
      <c r="AH458">
        <f t="shared" si="111"/>
        <v>0.128</v>
      </c>
      <c r="AI458">
        <f t="shared" ref="AI458:BN458" si="112">AI457/$D$428</f>
        <v>0.13200000000000001</v>
      </c>
      <c r="AJ458">
        <f t="shared" si="112"/>
        <v>0.13600000000000001</v>
      </c>
      <c r="AK458">
        <f t="shared" si="112"/>
        <v>0.14000000000000001</v>
      </c>
      <c r="AL458">
        <f t="shared" si="112"/>
        <v>0.14399999999999999</v>
      </c>
      <c r="AM458">
        <f t="shared" si="112"/>
        <v>0.14800000000000002</v>
      </c>
      <c r="AN458">
        <f t="shared" si="112"/>
        <v>0.152</v>
      </c>
      <c r="AO458">
        <f t="shared" si="112"/>
        <v>0.15600000000000003</v>
      </c>
      <c r="AP458">
        <f t="shared" si="112"/>
        <v>0.16</v>
      </c>
      <c r="AQ458">
        <f t="shared" si="112"/>
        <v>0.16399999999999998</v>
      </c>
      <c r="AR458">
        <f t="shared" si="112"/>
        <v>0.16800000000000001</v>
      </c>
      <c r="AS458">
        <f t="shared" si="112"/>
        <v>0.17199999999999999</v>
      </c>
      <c r="AT458">
        <f t="shared" si="112"/>
        <v>0.17600000000000002</v>
      </c>
      <c r="AU458">
        <f t="shared" si="112"/>
        <v>0.18</v>
      </c>
      <c r="AV458">
        <f t="shared" si="112"/>
        <v>0.18400000000000002</v>
      </c>
      <c r="AW458">
        <f t="shared" si="112"/>
        <v>0.18799999999999997</v>
      </c>
      <c r="AX458">
        <f t="shared" si="112"/>
        <v>0.192</v>
      </c>
      <c r="AY458">
        <f t="shared" si="112"/>
        <v>0.19600000000000001</v>
      </c>
      <c r="AZ458">
        <f t="shared" si="112"/>
        <v>0.2</v>
      </c>
      <c r="BA458">
        <f t="shared" si="112"/>
        <v>0.19600000000000001</v>
      </c>
      <c r="BB458">
        <f t="shared" si="112"/>
        <v>0.192</v>
      </c>
      <c r="BC458">
        <f t="shared" si="112"/>
        <v>0.18799999999999997</v>
      </c>
      <c r="BD458">
        <f t="shared" si="112"/>
        <v>0.18400000000000002</v>
      </c>
      <c r="BE458">
        <f t="shared" si="112"/>
        <v>0.18</v>
      </c>
      <c r="BF458">
        <f t="shared" si="112"/>
        <v>0.17600000000000002</v>
      </c>
      <c r="BG458">
        <f t="shared" si="112"/>
        <v>0.17199999999999999</v>
      </c>
      <c r="BH458">
        <f t="shared" si="112"/>
        <v>0.16800000000000001</v>
      </c>
      <c r="BI458">
        <f t="shared" si="112"/>
        <v>0.16399999999999998</v>
      </c>
      <c r="BJ458">
        <f t="shared" si="112"/>
        <v>0.16</v>
      </c>
      <c r="BK458">
        <f t="shared" si="112"/>
        <v>0.15600000000000003</v>
      </c>
      <c r="BL458">
        <f t="shared" si="112"/>
        <v>0.152</v>
      </c>
      <c r="BM458">
        <f t="shared" si="112"/>
        <v>0.14800000000000002</v>
      </c>
      <c r="BN458">
        <f t="shared" si="112"/>
        <v>0.14399999999999999</v>
      </c>
      <c r="BO458">
        <f t="shared" ref="BO458" si="113">BO457/$D$428</f>
        <v>0.14000000000000001</v>
      </c>
      <c r="BP458">
        <f t="shared" ref="BP458:CX458" si="114">BP457/$D$428</f>
        <v>0.13600000000000001</v>
      </c>
      <c r="BQ458">
        <f t="shared" si="114"/>
        <v>0.13200000000000001</v>
      </c>
      <c r="BR458">
        <f t="shared" si="114"/>
        <v>0.128</v>
      </c>
      <c r="BS458">
        <f t="shared" si="114"/>
        <v>0.124</v>
      </c>
      <c r="BT458">
        <f t="shared" si="114"/>
        <v>0.12</v>
      </c>
      <c r="BU458">
        <f t="shared" si="114"/>
        <v>0.11599999999999999</v>
      </c>
      <c r="BV458">
        <f t="shared" si="114"/>
        <v>0.11200000000000002</v>
      </c>
      <c r="BW458">
        <f t="shared" si="114"/>
        <v>0.10800000000000001</v>
      </c>
      <c r="BX458">
        <f t="shared" si="114"/>
        <v>0.10400000000000001</v>
      </c>
      <c r="BY458">
        <f t="shared" si="114"/>
        <v>0.1</v>
      </c>
      <c r="BZ458">
        <f t="shared" si="114"/>
        <v>9.6000000000000002E-2</v>
      </c>
      <c r="CA458">
        <f t="shared" si="114"/>
        <v>9.2000000000000012E-2</v>
      </c>
      <c r="CB458">
        <f t="shared" si="114"/>
        <v>8.8000000000000009E-2</v>
      </c>
      <c r="CC458">
        <f t="shared" si="114"/>
        <v>8.4000000000000005E-2</v>
      </c>
      <c r="CD458">
        <f t="shared" si="114"/>
        <v>0.08</v>
      </c>
      <c r="CE458">
        <f t="shared" si="114"/>
        <v>7.5999999999999998E-2</v>
      </c>
      <c r="CF458">
        <f t="shared" si="114"/>
        <v>7.1999999999999995E-2</v>
      </c>
      <c r="CG458">
        <f t="shared" si="114"/>
        <v>6.8000000000000005E-2</v>
      </c>
      <c r="CH458">
        <f t="shared" si="114"/>
        <v>6.4000000000000001E-2</v>
      </c>
      <c r="CI458">
        <f t="shared" si="114"/>
        <v>0.06</v>
      </c>
      <c r="CJ458">
        <f t="shared" si="114"/>
        <v>5.6000000000000008E-2</v>
      </c>
      <c r="CK458">
        <f t="shared" si="114"/>
        <v>5.2000000000000005E-2</v>
      </c>
      <c r="CL458">
        <f t="shared" si="114"/>
        <v>4.8000000000000001E-2</v>
      </c>
      <c r="CM458">
        <f t="shared" si="114"/>
        <v>4.4000000000000004E-2</v>
      </c>
      <c r="CN458">
        <f t="shared" si="114"/>
        <v>0.04</v>
      </c>
      <c r="CO458">
        <f t="shared" si="114"/>
        <v>3.5999999999999997E-2</v>
      </c>
      <c r="CP458">
        <f t="shared" si="114"/>
        <v>3.2000000000000001E-2</v>
      </c>
      <c r="CQ458">
        <f t="shared" si="114"/>
        <v>2.8000000000000004E-2</v>
      </c>
      <c r="CR458">
        <f t="shared" si="114"/>
        <v>2.4E-2</v>
      </c>
      <c r="CS458">
        <f t="shared" si="114"/>
        <v>0.02</v>
      </c>
      <c r="CT458">
        <f t="shared" si="114"/>
        <v>1.6E-2</v>
      </c>
      <c r="CU458">
        <f t="shared" si="114"/>
        <v>1.2E-2</v>
      </c>
      <c r="CV458">
        <f t="shared" si="114"/>
        <v>8.0000000000000002E-3</v>
      </c>
      <c r="CW458">
        <f t="shared" si="114"/>
        <v>4.0000000000000001E-3</v>
      </c>
      <c r="CX458">
        <f t="shared" si="114"/>
        <v>0</v>
      </c>
    </row>
    <row r="459" spans="1:102" x14ac:dyDescent="0.25">
      <c r="A459" s="65"/>
      <c r="B459" t="s">
        <v>565</v>
      </c>
      <c r="C459">
        <f>(($D$434*2)+(C458*($D$436+$D$438)))*$D$454</f>
        <v>6.6875000000000006E-7</v>
      </c>
      <c r="D459">
        <f>(($D$434*2)+(D458*($D$436+$D$438)))*$D$454</f>
        <v>6.8125000000000015E-7</v>
      </c>
      <c r="E459">
        <f t="shared" ref="E459:BP459" si="115">(($D$434*2)+(E458*($D$436+$D$438)))*$D$454</f>
        <v>6.9375000000000013E-7</v>
      </c>
      <c r="F459">
        <f t="shared" si="115"/>
        <v>7.0625000000000012E-7</v>
      </c>
      <c r="G459">
        <f t="shared" si="115"/>
        <v>7.1875000000000011E-7</v>
      </c>
      <c r="H459">
        <f t="shared" si="115"/>
        <v>7.3124999999999999E-7</v>
      </c>
      <c r="I459">
        <f t="shared" si="115"/>
        <v>7.4375000000000008E-7</v>
      </c>
      <c r="J459">
        <f t="shared" si="115"/>
        <v>7.5625000000000007E-7</v>
      </c>
      <c r="K459">
        <f t="shared" si="115"/>
        <v>7.6875000000000005E-7</v>
      </c>
      <c r="L459">
        <f t="shared" si="115"/>
        <v>7.8125000000000004E-7</v>
      </c>
      <c r="M459">
        <f t="shared" si="115"/>
        <v>7.9375000000000002E-7</v>
      </c>
      <c r="N459">
        <f t="shared" si="115"/>
        <v>8.0625000000000012E-7</v>
      </c>
      <c r="O459">
        <f t="shared" si="115"/>
        <v>8.187500000000001E-7</v>
      </c>
      <c r="P459">
        <f t="shared" si="115"/>
        <v>8.3125000000000009E-7</v>
      </c>
      <c r="Q459">
        <f t="shared" si="115"/>
        <v>8.4375000000000007E-7</v>
      </c>
      <c r="R459">
        <f t="shared" si="115"/>
        <v>8.5625000000000017E-7</v>
      </c>
      <c r="S459">
        <f t="shared" si="115"/>
        <v>8.6875000000000015E-7</v>
      </c>
      <c r="T459">
        <f t="shared" si="115"/>
        <v>8.8125000000000014E-7</v>
      </c>
      <c r="U459">
        <f t="shared" si="115"/>
        <v>8.9375000000000012E-7</v>
      </c>
      <c r="V459">
        <f t="shared" si="115"/>
        <v>9.0625000000000022E-7</v>
      </c>
      <c r="W459">
        <f t="shared" si="115"/>
        <v>9.187500000000002E-7</v>
      </c>
      <c r="X459">
        <f t="shared" si="115"/>
        <v>9.3125000000000019E-7</v>
      </c>
      <c r="Y459">
        <f t="shared" si="115"/>
        <v>9.4375000000000018E-7</v>
      </c>
      <c r="Z459">
        <f t="shared" si="115"/>
        <v>9.5625000000000016E-7</v>
      </c>
      <c r="AA459">
        <f t="shared" si="115"/>
        <v>9.6875000000000004E-7</v>
      </c>
      <c r="AB459">
        <f t="shared" si="115"/>
        <v>9.8125000000000013E-7</v>
      </c>
      <c r="AC459">
        <f t="shared" si="115"/>
        <v>9.9375000000000023E-7</v>
      </c>
      <c r="AD459">
        <f t="shared" si="115"/>
        <v>1.0062500000000001E-6</v>
      </c>
      <c r="AE459">
        <f t="shared" si="115"/>
        <v>1.01875E-6</v>
      </c>
      <c r="AF459">
        <f t="shared" si="115"/>
        <v>1.0312500000000001E-6</v>
      </c>
      <c r="AG459">
        <f t="shared" si="115"/>
        <v>1.04375E-6</v>
      </c>
      <c r="AH459">
        <f t="shared" si="115"/>
        <v>1.0562500000000001E-6</v>
      </c>
      <c r="AI459">
        <f t="shared" si="115"/>
        <v>1.0687500000000001E-6</v>
      </c>
      <c r="AJ459">
        <f t="shared" si="115"/>
        <v>1.08125E-6</v>
      </c>
      <c r="AK459">
        <f t="shared" si="115"/>
        <v>1.0937500000000001E-6</v>
      </c>
      <c r="AL459">
        <f t="shared" si="115"/>
        <v>1.10625E-6</v>
      </c>
      <c r="AM459">
        <f t="shared" si="115"/>
        <v>1.1187500000000001E-6</v>
      </c>
      <c r="AN459">
        <f t="shared" si="115"/>
        <v>1.1312500000000002E-6</v>
      </c>
      <c r="AO459">
        <f t="shared" si="115"/>
        <v>1.1437500000000001E-6</v>
      </c>
      <c r="AP459">
        <f t="shared" si="115"/>
        <v>1.1562500000000002E-6</v>
      </c>
      <c r="AQ459">
        <f t="shared" si="115"/>
        <v>1.16875E-6</v>
      </c>
      <c r="AR459">
        <f t="shared" si="115"/>
        <v>1.1812500000000001E-6</v>
      </c>
      <c r="AS459">
        <f t="shared" si="115"/>
        <v>1.19375E-6</v>
      </c>
      <c r="AT459">
        <f t="shared" si="115"/>
        <v>1.2062500000000001E-6</v>
      </c>
      <c r="AU459">
        <f t="shared" si="115"/>
        <v>1.21875E-6</v>
      </c>
      <c r="AV459">
        <f t="shared" si="115"/>
        <v>1.2312500000000003E-6</v>
      </c>
      <c r="AW459">
        <f t="shared" si="115"/>
        <v>1.24375E-6</v>
      </c>
      <c r="AX459">
        <f t="shared" si="115"/>
        <v>1.25625E-6</v>
      </c>
      <c r="AY459">
        <f t="shared" si="115"/>
        <v>1.2687500000000003E-6</v>
      </c>
      <c r="AZ459">
        <f t="shared" si="115"/>
        <v>1.28125E-6</v>
      </c>
      <c r="BA459">
        <f t="shared" si="115"/>
        <v>1.2687500000000003E-6</v>
      </c>
      <c r="BB459">
        <f t="shared" si="115"/>
        <v>1.25625E-6</v>
      </c>
      <c r="BC459">
        <f t="shared" si="115"/>
        <v>1.24375E-6</v>
      </c>
      <c r="BD459">
        <f t="shared" si="115"/>
        <v>1.2312500000000003E-6</v>
      </c>
      <c r="BE459">
        <f t="shared" si="115"/>
        <v>1.21875E-6</v>
      </c>
      <c r="BF459">
        <f t="shared" si="115"/>
        <v>1.2062500000000001E-6</v>
      </c>
      <c r="BG459">
        <f t="shared" si="115"/>
        <v>1.19375E-6</v>
      </c>
      <c r="BH459">
        <f t="shared" si="115"/>
        <v>1.1812500000000001E-6</v>
      </c>
      <c r="BI459">
        <f t="shared" si="115"/>
        <v>1.16875E-6</v>
      </c>
      <c r="BJ459">
        <f t="shared" si="115"/>
        <v>1.1562500000000002E-6</v>
      </c>
      <c r="BK459">
        <f t="shared" si="115"/>
        <v>1.1437500000000001E-6</v>
      </c>
      <c r="BL459">
        <f t="shared" si="115"/>
        <v>1.1312500000000002E-6</v>
      </c>
      <c r="BM459">
        <f t="shared" si="115"/>
        <v>1.1187500000000001E-6</v>
      </c>
      <c r="BN459">
        <f t="shared" si="115"/>
        <v>1.10625E-6</v>
      </c>
      <c r="BO459">
        <f t="shared" si="115"/>
        <v>1.0937500000000001E-6</v>
      </c>
      <c r="BP459">
        <f t="shared" si="115"/>
        <v>1.08125E-6</v>
      </c>
      <c r="BQ459">
        <f t="shared" ref="BQ459:CX459" si="116">(($D$434*2)+(BQ458*($D$436+$D$438)))*$D$454</f>
        <v>1.0687500000000001E-6</v>
      </c>
      <c r="BR459">
        <f t="shared" si="116"/>
        <v>1.0562500000000001E-6</v>
      </c>
      <c r="BS459">
        <f t="shared" si="116"/>
        <v>1.04375E-6</v>
      </c>
      <c r="BT459">
        <f t="shared" si="116"/>
        <v>1.0312500000000001E-6</v>
      </c>
      <c r="BU459">
        <f t="shared" si="116"/>
        <v>1.01875E-6</v>
      </c>
      <c r="BV459">
        <f t="shared" si="116"/>
        <v>1.0062500000000001E-6</v>
      </c>
      <c r="BW459">
        <f t="shared" si="116"/>
        <v>9.9375000000000023E-7</v>
      </c>
      <c r="BX459">
        <f t="shared" si="116"/>
        <v>9.8125000000000013E-7</v>
      </c>
      <c r="BY459">
        <f t="shared" si="116"/>
        <v>9.6875000000000004E-7</v>
      </c>
      <c r="BZ459">
        <f t="shared" si="116"/>
        <v>9.5625000000000016E-7</v>
      </c>
      <c r="CA459">
        <f t="shared" si="116"/>
        <v>9.4375000000000018E-7</v>
      </c>
      <c r="CB459">
        <f t="shared" si="116"/>
        <v>9.3125000000000019E-7</v>
      </c>
      <c r="CC459">
        <f t="shared" si="116"/>
        <v>9.187500000000002E-7</v>
      </c>
      <c r="CD459">
        <f t="shared" si="116"/>
        <v>9.0625000000000022E-7</v>
      </c>
      <c r="CE459">
        <f t="shared" si="116"/>
        <v>8.9375000000000012E-7</v>
      </c>
      <c r="CF459">
        <f t="shared" si="116"/>
        <v>8.8125000000000014E-7</v>
      </c>
      <c r="CG459">
        <f t="shared" si="116"/>
        <v>8.6875000000000015E-7</v>
      </c>
      <c r="CH459">
        <f t="shared" si="116"/>
        <v>8.5625000000000017E-7</v>
      </c>
      <c r="CI459">
        <f t="shared" si="116"/>
        <v>8.4375000000000007E-7</v>
      </c>
      <c r="CJ459">
        <f t="shared" si="116"/>
        <v>8.3125000000000009E-7</v>
      </c>
      <c r="CK459">
        <f t="shared" si="116"/>
        <v>8.187500000000001E-7</v>
      </c>
      <c r="CL459">
        <f t="shared" si="116"/>
        <v>8.0625000000000012E-7</v>
      </c>
      <c r="CM459">
        <f t="shared" si="116"/>
        <v>7.9375000000000002E-7</v>
      </c>
      <c r="CN459">
        <f t="shared" si="116"/>
        <v>7.8125000000000004E-7</v>
      </c>
      <c r="CO459">
        <f t="shared" si="116"/>
        <v>7.6875000000000005E-7</v>
      </c>
      <c r="CP459">
        <f t="shared" si="116"/>
        <v>7.5625000000000007E-7</v>
      </c>
      <c r="CQ459">
        <f t="shared" si="116"/>
        <v>7.4375000000000008E-7</v>
      </c>
      <c r="CR459">
        <f t="shared" si="116"/>
        <v>7.3124999999999999E-7</v>
      </c>
      <c r="CS459">
        <f t="shared" si="116"/>
        <v>7.1875000000000011E-7</v>
      </c>
      <c r="CT459">
        <f t="shared" si="116"/>
        <v>7.0625000000000012E-7</v>
      </c>
      <c r="CU459">
        <f t="shared" si="116"/>
        <v>6.9375000000000013E-7</v>
      </c>
      <c r="CV459">
        <f t="shared" si="116"/>
        <v>6.8125000000000015E-7</v>
      </c>
      <c r="CW459">
        <f t="shared" si="116"/>
        <v>6.6875000000000006E-7</v>
      </c>
      <c r="CX459">
        <f t="shared" si="116"/>
        <v>6.5625000000000007E-7</v>
      </c>
    </row>
    <row r="460" spans="1:102" x14ac:dyDescent="0.25">
      <c r="A460" s="65"/>
      <c r="B460" t="s">
        <v>566</v>
      </c>
      <c r="C460" s="18">
        <f>SUM(C459:CX459)</f>
        <v>9.6874999999999969E-5</v>
      </c>
    </row>
    <row r="461" spans="1:102" x14ac:dyDescent="0.25">
      <c r="A461" s="65"/>
      <c r="B461" t="s">
        <v>567</v>
      </c>
      <c r="C461" s="18">
        <f>791/1000000</f>
        <v>7.9100000000000004E-4</v>
      </c>
    </row>
    <row r="462" spans="1:102" x14ac:dyDescent="0.25">
      <c r="A462" s="65"/>
      <c r="B462" t="s">
        <v>568</v>
      </c>
      <c r="D462" s="18" t="b">
        <f>C460&lt;=C461</f>
        <v>1</v>
      </c>
    </row>
    <row r="463" spans="1:102" x14ac:dyDescent="0.25">
      <c r="A463" s="65"/>
      <c r="B463" s="74"/>
      <c r="C463" t="s">
        <v>916</v>
      </c>
      <c r="D463">
        <f>((2/255)/D436)*D428</f>
        <v>0.15686274509803921</v>
      </c>
      <c r="F463" t="s">
        <v>934</v>
      </c>
    </row>
    <row r="464" spans="1:102" x14ac:dyDescent="0.25">
      <c r="A464" s="28"/>
      <c r="E464" s="7"/>
    </row>
    <row r="465" spans="1:4" x14ac:dyDescent="0.25">
      <c r="A465" s="67" t="s">
        <v>256</v>
      </c>
      <c r="B465" t="s">
        <v>40</v>
      </c>
      <c r="C465" t="s">
        <v>39</v>
      </c>
      <c r="D465">
        <f>D3</f>
        <v>16000</v>
      </c>
    </row>
    <row r="466" spans="1:4" x14ac:dyDescent="0.25">
      <c r="A466" s="67"/>
      <c r="B466" t="s">
        <v>36</v>
      </c>
      <c r="C466" t="s">
        <v>239</v>
      </c>
      <c r="D466">
        <f>D131</f>
        <v>22.598870056497169</v>
      </c>
    </row>
    <row r="467" spans="1:4" x14ac:dyDescent="0.25">
      <c r="A467" s="67"/>
      <c r="B467" t="s">
        <v>35</v>
      </c>
      <c r="C467" t="s">
        <v>240</v>
      </c>
      <c r="D467">
        <f>D125</f>
        <v>0</v>
      </c>
    </row>
    <row r="468" spans="1:4" x14ac:dyDescent="0.25">
      <c r="A468" s="67"/>
      <c r="B468" t="s">
        <v>237</v>
      </c>
      <c r="C468" t="s">
        <v>238</v>
      </c>
      <c r="D468">
        <f>0.5*D466/D465</f>
        <v>7.062146892655365E-4</v>
      </c>
    </row>
    <row r="469" spans="1:4" x14ac:dyDescent="0.25">
      <c r="A469" s="67"/>
      <c r="B469" t="s">
        <v>241</v>
      </c>
      <c r="D469">
        <v>0.5</v>
      </c>
    </row>
    <row r="470" spans="1:4" x14ac:dyDescent="0.25">
      <c r="A470" s="67"/>
      <c r="B470" t="s">
        <v>247</v>
      </c>
      <c r="D470">
        <f>D468/D469</f>
        <v>1.412429378531073E-3</v>
      </c>
    </row>
    <row r="471" spans="1:4" x14ac:dyDescent="0.25">
      <c r="A471" s="67"/>
      <c r="C471" t="s">
        <v>242</v>
      </c>
      <c r="D471">
        <v>10</v>
      </c>
    </row>
    <row r="472" spans="1:4" x14ac:dyDescent="0.25">
      <c r="A472" s="67"/>
      <c r="B472" t="s">
        <v>246</v>
      </c>
      <c r="D472">
        <f>D471*D470</f>
        <v>1.4124293785310729E-2</v>
      </c>
    </row>
    <row r="473" spans="1:4" x14ac:dyDescent="0.25">
      <c r="A473" s="67"/>
      <c r="B473" t="s">
        <v>271</v>
      </c>
      <c r="C473" t="s">
        <v>272</v>
      </c>
      <c r="D473">
        <f>3*D495</f>
        <v>132.30000000000001</v>
      </c>
    </row>
    <row r="474" spans="1:4" x14ac:dyDescent="0.25">
      <c r="A474" s="67"/>
      <c r="B474" t="s">
        <v>273</v>
      </c>
      <c r="D474" s="1">
        <v>1E-3</v>
      </c>
    </row>
    <row r="475" spans="1:4" x14ac:dyDescent="0.25">
      <c r="A475" s="67"/>
      <c r="B475" t="s">
        <v>274</v>
      </c>
      <c r="D475">
        <v>20</v>
      </c>
    </row>
    <row r="476" spans="1:4" x14ac:dyDescent="0.25">
      <c r="A476" s="67"/>
      <c r="B476" t="s">
        <v>277</v>
      </c>
      <c r="C476" t="s">
        <v>278</v>
      </c>
      <c r="D476" s="19">
        <v>1.7000000000000001E-2</v>
      </c>
    </row>
    <row r="477" spans="1:4" x14ac:dyDescent="0.25">
      <c r="A477" s="67"/>
      <c r="B477" t="s">
        <v>279</v>
      </c>
      <c r="D477">
        <f>D476/D475</f>
        <v>8.5000000000000006E-4</v>
      </c>
    </row>
    <row r="478" spans="1:4" x14ac:dyDescent="0.25">
      <c r="A478" s="67"/>
      <c r="B478" t="s">
        <v>252</v>
      </c>
      <c r="C478" t="s">
        <v>253</v>
      </c>
      <c r="D478" s="1">
        <f>D474*D475</f>
        <v>0.02</v>
      </c>
    </row>
    <row r="479" spans="1:4" x14ac:dyDescent="0.25">
      <c r="A479" s="67"/>
      <c r="C479" t="s">
        <v>275</v>
      </c>
      <c r="D479" s="1">
        <f>0.2</f>
        <v>0.2</v>
      </c>
    </row>
    <row r="480" spans="1:4" x14ac:dyDescent="0.25">
      <c r="A480" s="67"/>
      <c r="B480" t="s">
        <v>276</v>
      </c>
      <c r="D480" s="1">
        <f>D478*(1-D479)</f>
        <v>1.6E-2</v>
      </c>
    </row>
    <row r="481" spans="1:4" x14ac:dyDescent="0.25">
      <c r="A481" s="67"/>
      <c r="B481" t="s">
        <v>312</v>
      </c>
      <c r="D481" s="1">
        <f>D477*D466</f>
        <v>1.9209039548022597E-2</v>
      </c>
    </row>
    <row r="482" spans="1:4" x14ac:dyDescent="0.25">
      <c r="A482" s="67"/>
      <c r="B482" t="s">
        <v>313</v>
      </c>
      <c r="D482" s="1">
        <f>D468/D478</f>
        <v>3.5310734463276823E-2</v>
      </c>
    </row>
    <row r="483" spans="1:4" x14ac:dyDescent="0.25">
      <c r="A483" s="67"/>
      <c r="B483" t="s">
        <v>314</v>
      </c>
      <c r="D483" s="1">
        <f>D481+D482</f>
        <v>5.451977401129942E-2</v>
      </c>
    </row>
    <row r="484" spans="1:4" x14ac:dyDescent="0.25">
      <c r="A484" s="67"/>
      <c r="B484" t="s">
        <v>280</v>
      </c>
      <c r="D484" s="1">
        <f>POWER(D481, 2)/D477</f>
        <v>0.43410258865587781</v>
      </c>
    </row>
    <row r="485" spans="1:4" x14ac:dyDescent="0.25">
      <c r="A485" s="67"/>
      <c r="B485" t="s">
        <v>281</v>
      </c>
      <c r="D485" s="1">
        <f>D484/D475</f>
        <v>2.1705129432793891E-2</v>
      </c>
    </row>
    <row r="486" spans="1:4" x14ac:dyDescent="0.25">
      <c r="A486" s="67"/>
      <c r="B486" t="s">
        <v>250</v>
      </c>
      <c r="C486" t="s">
        <v>244</v>
      </c>
      <c r="D486">
        <v>500</v>
      </c>
    </row>
    <row r="487" spans="1:4" x14ac:dyDescent="0.25">
      <c r="A487" s="67"/>
      <c r="B487" t="s">
        <v>248</v>
      </c>
      <c r="C487" t="s">
        <v>249</v>
      </c>
      <c r="D487">
        <f>1/(POWER(2*PI()*D486, 2)*D472)</f>
        <v>7.1735398018775175E-6</v>
      </c>
    </row>
    <row r="488" spans="1:4" x14ac:dyDescent="0.25">
      <c r="A488" s="67"/>
      <c r="B488" t="s">
        <v>245</v>
      </c>
      <c r="C488" t="s">
        <v>282</v>
      </c>
      <c r="D488" s="1">
        <v>2.1999999999999999E-5</v>
      </c>
    </row>
    <row r="489" spans="1:4" x14ac:dyDescent="0.25">
      <c r="A489" s="67"/>
      <c r="B489" t="s">
        <v>283</v>
      </c>
      <c r="D489" s="1">
        <f>D2*2/D5</f>
        <v>11.299435028248586</v>
      </c>
    </row>
    <row r="490" spans="1:4" x14ac:dyDescent="0.25">
      <c r="A490" s="67"/>
      <c r="B490" t="s">
        <v>284</v>
      </c>
      <c r="D490" s="1">
        <f>2*D489</f>
        <v>22.598870056497173</v>
      </c>
    </row>
    <row r="491" spans="1:4" x14ac:dyDescent="0.25">
      <c r="A491" s="67"/>
      <c r="B491" t="s">
        <v>243</v>
      </c>
      <c r="C491" t="s">
        <v>251</v>
      </c>
      <c r="D491" s="1">
        <f>1/(2*PI()*POWER(D478*D488, 0.5))</f>
        <v>239.93510443917407</v>
      </c>
    </row>
    <row r="492" spans="1:4" x14ac:dyDescent="0.25">
      <c r="A492" s="67"/>
      <c r="B492" t="s">
        <v>254</v>
      </c>
      <c r="D492" s="1">
        <f>40*LOG10(D465/D491)</f>
        <v>72.961047570285331</v>
      </c>
    </row>
    <row r="493" spans="1:4" x14ac:dyDescent="0.25">
      <c r="A493" s="67"/>
      <c r="C493" t="s">
        <v>255</v>
      </c>
      <c r="D493">
        <f>POWER(D7, 2)*0.5*D478</f>
        <v>19.448100000000004</v>
      </c>
    </row>
    <row r="494" spans="1:4" x14ac:dyDescent="0.25">
      <c r="A494" s="67"/>
      <c r="B494" t="s">
        <v>257</v>
      </c>
      <c r="C494" t="s">
        <v>258</v>
      </c>
      <c r="D494">
        <v>33</v>
      </c>
    </row>
    <row r="495" spans="1:4" x14ac:dyDescent="0.25">
      <c r="A495" s="67"/>
      <c r="B495" t="s">
        <v>34</v>
      </c>
      <c r="D495">
        <f>D7</f>
        <v>44.1</v>
      </c>
    </row>
    <row r="496" spans="1:4" x14ac:dyDescent="0.25">
      <c r="A496" s="67"/>
    </row>
    <row r="497" spans="1:4" x14ac:dyDescent="0.25">
      <c r="A497" s="67"/>
      <c r="B497" t="s">
        <v>260</v>
      </c>
      <c r="D497" s="1">
        <f>((-D494)+POWER(POWER(D494, 2)-(4*D488/D478), 0.5))/(2*D488)</f>
        <v>-1.5151530456139737</v>
      </c>
    </row>
    <row r="498" spans="1:4" x14ac:dyDescent="0.25">
      <c r="A498" s="67"/>
      <c r="B498" t="s">
        <v>261</v>
      </c>
      <c r="D498" s="1">
        <f>((-D494)-POWER(POWER(D494, 2)-(4*D488/D478), 0.5))/(2*D488)</f>
        <v>-1499998.4848469547</v>
      </c>
    </row>
    <row r="499" spans="1:4" x14ac:dyDescent="0.25">
      <c r="A499" s="67"/>
      <c r="B499" t="s">
        <v>262</v>
      </c>
      <c r="D499" s="1">
        <f>LN(D498/D497)/(D497-D498)</f>
        <v>9.2036573945350537E-6</v>
      </c>
    </row>
    <row r="500" spans="1:4" x14ac:dyDescent="0.25">
      <c r="A500" s="67"/>
      <c r="B500" t="s">
        <v>205</v>
      </c>
      <c r="D500" s="1">
        <f>(D495/(D488*(D497-D498)))*(EXP(D497*D499)-EXP(D498*D499))</f>
        <v>1.3363463508162678</v>
      </c>
    </row>
    <row r="501" spans="1:4" x14ac:dyDescent="0.25">
      <c r="A501" s="67"/>
      <c r="B501" t="s">
        <v>263</v>
      </c>
      <c r="D501" s="1">
        <f>D494*POWER(D500, 2)</f>
        <v>58.932111788218542</v>
      </c>
    </row>
    <row r="502" spans="1:4" x14ac:dyDescent="0.25">
      <c r="A502" s="67"/>
      <c r="C502" t="s">
        <v>259</v>
      </c>
      <c r="D502" s="1">
        <f>D501*D4</f>
        <v>70.71853414586225</v>
      </c>
    </row>
    <row r="503" spans="1:4" x14ac:dyDescent="0.25">
      <c r="A503" s="67"/>
      <c r="B503" t="s">
        <v>265</v>
      </c>
      <c r="C503" t="s">
        <v>264</v>
      </c>
      <c r="D503" t="b">
        <f>(POWER(D494, 2)/(4*POWER(D488, 2)))&lt;(1/(D488*D478))</f>
        <v>0</v>
      </c>
    </row>
    <row r="504" spans="1:4" x14ac:dyDescent="0.25">
      <c r="A504" s="67"/>
      <c r="B504" t="s">
        <v>266</v>
      </c>
      <c r="D504" s="1">
        <f>D494/(2*D488)</f>
        <v>750000</v>
      </c>
    </row>
    <row r="505" spans="1:4" x14ac:dyDescent="0.25">
      <c r="A505" s="67"/>
      <c r="B505" t="s">
        <v>267</v>
      </c>
      <c r="D505" s="1">
        <f>1/POWER(D488*D478, 0.5)</f>
        <v>1507.5567228888181</v>
      </c>
    </row>
    <row r="506" spans="1:4" x14ac:dyDescent="0.25">
      <c r="A506" s="67"/>
      <c r="B506" t="s">
        <v>268</v>
      </c>
      <c r="D506" t="str">
        <f>IF(D503, POWER(POWER(D505, 2)-POWER(D504, 2), 0.5),"NA")</f>
        <v>NA</v>
      </c>
    </row>
    <row r="507" spans="1:4" x14ac:dyDescent="0.25">
      <c r="A507" s="67"/>
      <c r="C507" t="s">
        <v>269</v>
      </c>
      <c r="D507" s="1" t="str">
        <f>IF(D503, 100*EXP(-PI()*D504/D506), "Not Under-damped")</f>
        <v>Not Under-damped</v>
      </c>
    </row>
    <row r="508" spans="1:4" x14ac:dyDescent="0.25">
      <c r="A508" s="67"/>
      <c r="B508" t="s">
        <v>270</v>
      </c>
      <c r="D508" s="1">
        <f>5/MIN(ABS(D497), ABS(D498))</f>
        <v>3.2999966666561322</v>
      </c>
    </row>
    <row r="509" spans="1:4" x14ac:dyDescent="0.25">
      <c r="A509" s="67"/>
      <c r="B509" t="s">
        <v>288</v>
      </c>
      <c r="C509" t="s">
        <v>285</v>
      </c>
      <c r="D509">
        <v>1600</v>
      </c>
    </row>
    <row r="510" spans="1:4" x14ac:dyDescent="0.25">
      <c r="A510" s="67"/>
      <c r="C510" t="s">
        <v>286</v>
      </c>
      <c r="D510">
        <v>0.1</v>
      </c>
    </row>
    <row r="511" spans="1:4" x14ac:dyDescent="0.25">
      <c r="A511" s="67"/>
      <c r="B511" t="s">
        <v>287</v>
      </c>
      <c r="D511">
        <f>D509*(1-D510)</f>
        <v>1440</v>
      </c>
    </row>
    <row r="512" spans="1:4" x14ac:dyDescent="0.25">
      <c r="A512" s="67"/>
      <c r="B512" t="s">
        <v>289</v>
      </c>
      <c r="D512">
        <f>D509*(1+D510)</f>
        <v>1760.0000000000002</v>
      </c>
    </row>
    <row r="513" spans="1:4" x14ac:dyDescent="0.25">
      <c r="A513" s="67"/>
      <c r="B513" t="s">
        <v>290</v>
      </c>
      <c r="D513">
        <v>24</v>
      </c>
    </row>
    <row r="514" spans="1:4" x14ac:dyDescent="0.25">
      <c r="A514" s="67"/>
      <c r="B514" t="s">
        <v>291</v>
      </c>
      <c r="D514">
        <v>1.4999999999999999E-2</v>
      </c>
    </row>
    <row r="515" spans="1:4" x14ac:dyDescent="0.25">
      <c r="A515" s="67"/>
      <c r="C515" t="s">
        <v>292</v>
      </c>
      <c r="D515" t="b">
        <f>(D513/D509)=D514</f>
        <v>1</v>
      </c>
    </row>
    <row r="516" spans="1:4" x14ac:dyDescent="0.25">
      <c r="A516" s="67"/>
      <c r="B516" t="s">
        <v>293</v>
      </c>
      <c r="C516" t="s">
        <v>294</v>
      </c>
      <c r="D516">
        <f>1.3*D513</f>
        <v>31.200000000000003</v>
      </c>
    </row>
    <row r="517" spans="1:4" x14ac:dyDescent="0.25">
      <c r="A517" s="67"/>
      <c r="B517" t="s">
        <v>295</v>
      </c>
      <c r="C517" t="s">
        <v>296</v>
      </c>
      <c r="D517">
        <f>0.75*D513</f>
        <v>18</v>
      </c>
    </row>
    <row r="518" spans="1:4" x14ac:dyDescent="0.25">
      <c r="A518" s="67"/>
      <c r="B518" t="s">
        <v>297</v>
      </c>
      <c r="D518">
        <f>D517/D512</f>
        <v>1.0227272727272725E-2</v>
      </c>
    </row>
    <row r="519" spans="1:4" x14ac:dyDescent="0.25">
      <c r="A519" s="67"/>
      <c r="B519" t="s">
        <v>298</v>
      </c>
      <c r="D519">
        <f>D516/D512</f>
        <v>1.7727272727272727E-2</v>
      </c>
    </row>
    <row r="520" spans="1:4" x14ac:dyDescent="0.25">
      <c r="A520" s="67"/>
      <c r="B520" t="s">
        <v>304</v>
      </c>
      <c r="D520">
        <v>1330</v>
      </c>
    </row>
    <row r="521" spans="1:4" x14ac:dyDescent="0.25">
      <c r="A521" s="67"/>
      <c r="C521" t="s">
        <v>308</v>
      </c>
      <c r="D521">
        <v>0.05</v>
      </c>
    </row>
    <row r="522" spans="1:4" x14ac:dyDescent="0.25">
      <c r="A522" s="67"/>
      <c r="B522" t="s">
        <v>309</v>
      </c>
      <c r="D522">
        <f>D520*(1-D521)</f>
        <v>1263.5</v>
      </c>
    </row>
    <row r="523" spans="1:4" x14ac:dyDescent="0.25">
      <c r="A523" s="67"/>
      <c r="B523" t="s">
        <v>310</v>
      </c>
      <c r="D523">
        <f>D520*(1+D521)</f>
        <v>1396.5</v>
      </c>
    </row>
    <row r="524" spans="1:4" x14ac:dyDescent="0.25">
      <c r="A524" s="67"/>
      <c r="C524" t="s">
        <v>301</v>
      </c>
      <c r="D524">
        <f>D6/(D509+D520)</f>
        <v>1.3003412969283274E-2</v>
      </c>
    </row>
    <row r="525" spans="1:4" x14ac:dyDescent="0.25">
      <c r="A525" s="67"/>
      <c r="C525" t="s">
        <v>302</v>
      </c>
      <c r="D525">
        <f>D5/(D511+D523)</f>
        <v>1.2480169222633529E-2</v>
      </c>
    </row>
    <row r="526" spans="1:4" x14ac:dyDescent="0.25">
      <c r="A526" s="67"/>
      <c r="C526" t="s">
        <v>303</v>
      </c>
      <c r="D526">
        <f>D7/(D511+D522)</f>
        <v>1.6312187904568152E-2</v>
      </c>
    </row>
    <row r="527" spans="1:4" x14ac:dyDescent="0.25">
      <c r="A527" s="67"/>
      <c r="C527" t="s">
        <v>305</v>
      </c>
      <c r="D527" t="b">
        <f>AND((D524&gt;D518), (D526&lt;D519))</f>
        <v>1</v>
      </c>
    </row>
    <row r="528" spans="1:4" x14ac:dyDescent="0.25">
      <c r="A528" s="67"/>
    </row>
    <row r="529" spans="1:4" x14ac:dyDescent="0.25">
      <c r="A529" s="67"/>
      <c r="B529" t="s">
        <v>306</v>
      </c>
      <c r="D529">
        <f xml:space="preserve"> POWER(D526, 2)*D520</f>
        <v>0.35389634073113957</v>
      </c>
    </row>
    <row r="530" spans="1:4" x14ac:dyDescent="0.25">
      <c r="A530" s="67"/>
      <c r="B530" t="s">
        <v>311</v>
      </c>
      <c r="D530">
        <f>POWER(D524, 2)*D509</f>
        <v>0.27054199815955915</v>
      </c>
    </row>
    <row r="531" spans="1:4" x14ac:dyDescent="0.25">
      <c r="A531" s="67"/>
      <c r="B531" t="s">
        <v>307</v>
      </c>
      <c r="D531">
        <f>POWER(D525, 2)*D512</f>
        <v>0.27412813793300184</v>
      </c>
    </row>
    <row r="532" spans="1:4" x14ac:dyDescent="0.25">
      <c r="A532" s="67"/>
      <c r="C532" t="s">
        <v>339</v>
      </c>
      <c r="D532" s="1">
        <f>0.5*D488*POWER(D533, 2)</f>
        <v>3.0311171733454588E-4</v>
      </c>
    </row>
    <row r="533" spans="1:4" x14ac:dyDescent="0.25">
      <c r="A533" s="67"/>
      <c r="C533" t="s">
        <v>340</v>
      </c>
      <c r="D533">
        <f>D2/D6</f>
        <v>5.2493438320209984</v>
      </c>
    </row>
    <row r="534" spans="1:4" x14ac:dyDescent="0.25">
      <c r="A534" s="67"/>
      <c r="C534" t="s">
        <v>341</v>
      </c>
      <c r="D534">
        <f>D6</f>
        <v>38.099999999999994</v>
      </c>
    </row>
    <row r="535" spans="1:4" x14ac:dyDescent="0.25">
      <c r="A535" s="67"/>
      <c r="C535" t="s">
        <v>342</v>
      </c>
      <c r="D535">
        <f>POWER(((0.5*D478*POWER(D534, 2))+D532)*2/D478, 0.5)</f>
        <v>38.100397782329424</v>
      </c>
    </row>
    <row r="536" spans="1:4" x14ac:dyDescent="0.25">
      <c r="A536" s="67"/>
      <c r="B536" t="s">
        <v>447</v>
      </c>
      <c r="C536" t="s">
        <v>446</v>
      </c>
      <c r="D536" s="1">
        <f>0.5*D478*POWER(D7, 2)</f>
        <v>19.448100000000004</v>
      </c>
    </row>
    <row r="537" spans="1:4" x14ac:dyDescent="0.25">
      <c r="A537" t="s">
        <v>445</v>
      </c>
      <c r="B537" t="s">
        <v>448</v>
      </c>
      <c r="C537" t="s">
        <v>449</v>
      </c>
      <c r="D537">
        <f>(0.06*0.022*0.0018)+(2*(0.06*0.0129*0.001))+(0.06*0.0091*0.0018)</f>
        <v>4.9067999999999993E-6</v>
      </c>
    </row>
    <row r="538" spans="1:4" x14ac:dyDescent="0.25">
      <c r="B538" t="s">
        <v>450</v>
      </c>
      <c r="C538" t="s">
        <v>451</v>
      </c>
      <c r="D538">
        <v>850</v>
      </c>
    </row>
    <row r="539" spans="1:4" x14ac:dyDescent="0.25">
      <c r="B539" t="s">
        <v>452</v>
      </c>
      <c r="C539" t="s">
        <v>453</v>
      </c>
      <c r="D539">
        <v>2700</v>
      </c>
    </row>
    <row r="540" spans="1:4" x14ac:dyDescent="0.25">
      <c r="B540" t="s">
        <v>426</v>
      </c>
      <c r="D540">
        <f>D536/(D539*D537*D538)</f>
        <v>1.7270150907024588</v>
      </c>
    </row>
    <row r="541" spans="1:4" x14ac:dyDescent="0.25">
      <c r="B541" t="s">
        <v>454</v>
      </c>
      <c r="C541" t="s">
        <v>461</v>
      </c>
      <c r="D541">
        <v>0.2</v>
      </c>
    </row>
    <row r="542" spans="1:4" x14ac:dyDescent="0.25">
      <c r="B542" t="s">
        <v>459</v>
      </c>
      <c r="C542" t="s">
        <v>458</v>
      </c>
      <c r="D542">
        <f>D538*D537*D539</f>
        <v>11.261106</v>
      </c>
    </row>
    <row r="543" spans="1:4" x14ac:dyDescent="0.25">
      <c r="B543" t="s">
        <v>465</v>
      </c>
      <c r="C543" t="s">
        <v>464</v>
      </c>
      <c r="D543">
        <f>0.022*0.06</f>
        <v>1.3199999999999998E-3</v>
      </c>
    </row>
    <row r="544" spans="1:4" x14ac:dyDescent="0.25">
      <c r="B544" t="s">
        <v>466</v>
      </c>
      <c r="C544" t="s">
        <v>467</v>
      </c>
      <c r="D544">
        <f>0.002</f>
        <v>2E-3</v>
      </c>
    </row>
    <row r="545" spans="1:10" x14ac:dyDescent="0.25">
      <c r="B545" t="s">
        <v>455</v>
      </c>
      <c r="C545" t="s">
        <v>456</v>
      </c>
      <c r="D545">
        <v>0.5</v>
      </c>
    </row>
    <row r="546" spans="1:10" x14ac:dyDescent="0.25">
      <c r="B546" t="s">
        <v>460</v>
      </c>
      <c r="C546" t="s">
        <v>457</v>
      </c>
      <c r="D546">
        <f>4.605*D542/D545</f>
        <v>103.71478626000001</v>
      </c>
    </row>
    <row r="547" spans="1:10" x14ac:dyDescent="0.25">
      <c r="B547" t="s">
        <v>462</v>
      </c>
      <c r="C547" t="s">
        <v>463</v>
      </c>
      <c r="D547">
        <f>D544/(D541*D543)</f>
        <v>7.575757575757577</v>
      </c>
    </row>
    <row r="548" spans="1:10" x14ac:dyDescent="0.25">
      <c r="B548" t="s">
        <v>468</v>
      </c>
      <c r="D548">
        <f>D542*D540/D546</f>
        <v>0.18751521071687935</v>
      </c>
    </row>
    <row r="549" spans="1:10" x14ac:dyDescent="0.25">
      <c r="B549" t="s">
        <v>469</v>
      </c>
      <c r="D549">
        <f>D548*D547</f>
        <v>1.4205697781581772</v>
      </c>
    </row>
    <row r="550" spans="1:10" x14ac:dyDescent="0.25">
      <c r="A550" s="24"/>
      <c r="C550" t="s">
        <v>347</v>
      </c>
      <c r="D550" t="s">
        <v>348</v>
      </c>
      <c r="E550" t="s">
        <v>350</v>
      </c>
      <c r="F550" t="s">
        <v>349</v>
      </c>
      <c r="G550" t="s">
        <v>351</v>
      </c>
    </row>
    <row r="551" spans="1:10" x14ac:dyDescent="0.25">
      <c r="A551" s="67" t="s">
        <v>343</v>
      </c>
      <c r="C551" t="s">
        <v>344</v>
      </c>
      <c r="D551">
        <f>D2/D5</f>
        <v>5.6497175141242932</v>
      </c>
      <c r="E551">
        <f>11*0.01</f>
        <v>0.11</v>
      </c>
      <c r="F551">
        <v>1</v>
      </c>
      <c r="G551">
        <v>22</v>
      </c>
      <c r="H551">
        <v>10</v>
      </c>
      <c r="I551">
        <v>10</v>
      </c>
      <c r="J551">
        <v>10</v>
      </c>
    </row>
    <row r="552" spans="1:10" x14ac:dyDescent="0.25">
      <c r="A552" s="67"/>
      <c r="C552" t="s">
        <v>345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>
        <v>2</v>
      </c>
    </row>
    <row r="553" spans="1:10" x14ac:dyDescent="0.25">
      <c r="A553" s="67"/>
      <c r="C553" t="s">
        <v>346</v>
      </c>
      <c r="D553">
        <v>5</v>
      </c>
      <c r="E553">
        <v>5</v>
      </c>
      <c r="F553">
        <v>5</v>
      </c>
      <c r="G553">
        <v>5</v>
      </c>
      <c r="H553">
        <v>5</v>
      </c>
      <c r="I553">
        <v>5</v>
      </c>
      <c r="J553">
        <v>5</v>
      </c>
    </row>
    <row r="554" spans="1:10" x14ac:dyDescent="0.25">
      <c r="A554" s="67"/>
      <c r="C554" t="s">
        <v>354</v>
      </c>
      <c r="D554">
        <f>0.0254*POWER(D551/(0.048*POWER(D553, 0.44)), 1/0.725)/(D552*1.378)</f>
        <v>2.4923433704232472</v>
      </c>
      <c r="E554">
        <f t="shared" ref="E554:G554" si="117">0.0254*POWER(E551/(0.048*POWER(E553, 0.44)), 1/0.725)/(E552*1.378)</f>
        <v>1.0892125473680554E-2</v>
      </c>
      <c r="F554">
        <f t="shared" si="117"/>
        <v>0.22873341897835012</v>
      </c>
      <c r="G554">
        <f t="shared" si="117"/>
        <v>16.253508114154439</v>
      </c>
      <c r="H554">
        <f t="shared" ref="H554" si="118">0.0254*POWER(H551/(0.048*POWER(H553, 0.44)), 1/0.725)/(H552*1.378)</f>
        <v>5.4782262733389961</v>
      </c>
      <c r="I554">
        <f t="shared" ref="I554:J554" si="119">0.0254*POWER(I551/(0.048*POWER(I553, 0.44)), 1/0.725)/(I552*1.378)</f>
        <v>5.4782262733389961</v>
      </c>
      <c r="J554">
        <f t="shared" si="119"/>
        <v>5.4782262733389961</v>
      </c>
    </row>
    <row r="555" spans="1:10" x14ac:dyDescent="0.25">
      <c r="A555" s="67"/>
      <c r="C555" t="s">
        <v>355</v>
      </c>
      <c r="D555">
        <f>0.0254*POWER(D551/(0.024*POWER(D553, 0.44)), 1/0.725)/(D552*1.378)</f>
        <v>6.4836813405534928</v>
      </c>
      <c r="E555">
        <f t="shared" ref="E555:I555" si="120">0.0254*POWER(E551/(0.024*POWER(E553, 0.44)), 1/0.725)/(E552*1.378)</f>
        <v>2.8335209157266786E-2</v>
      </c>
      <c r="F555">
        <f t="shared" si="120"/>
        <v>0.59503622903255293</v>
      </c>
      <c r="G555">
        <f t="shared" si="120"/>
        <v>42.282523559497292</v>
      </c>
      <c r="H555">
        <f t="shared" si="120"/>
        <v>14.251276083899347</v>
      </c>
      <c r="I555">
        <f t="shared" si="120"/>
        <v>14.251276083899347</v>
      </c>
    </row>
    <row r="556" spans="1:10" x14ac:dyDescent="0.25">
      <c r="A556" s="67"/>
      <c r="C556" t="s">
        <v>353</v>
      </c>
      <c r="D556">
        <v>8</v>
      </c>
      <c r="E556">
        <v>1</v>
      </c>
      <c r="F556">
        <v>1</v>
      </c>
      <c r="G556">
        <v>8</v>
      </c>
      <c r="H556">
        <v>8</v>
      </c>
    </row>
    <row r="557" spans="1:10" x14ac:dyDescent="0.25">
      <c r="A557" s="67"/>
      <c r="C557" t="s">
        <v>358</v>
      </c>
      <c r="D557">
        <f>POWER(D551/POWER(D556*(D552*1.378)/0.0254, 0.725)/0.048, 1/0.44)</f>
        <v>0.7318559619713908</v>
      </c>
      <c r="E557">
        <f t="shared" ref="E557:H557" si="121">POWER(E551/POWER(E556*(E552*1.378)/0.0254, 0.725)/0.048, 1/0.44)</f>
        <v>2.9151906392472556E-3</v>
      </c>
      <c r="F557">
        <f t="shared" si="121"/>
        <v>0.43986554940209394</v>
      </c>
      <c r="G557">
        <f t="shared" si="121"/>
        <v>16.078094835159579</v>
      </c>
      <c r="H557">
        <f t="shared" si="121"/>
        <v>2.6791758539545092</v>
      </c>
    </row>
    <row r="558" spans="1:10" x14ac:dyDescent="0.25">
      <c r="A558" s="67"/>
      <c r="C558" t="s">
        <v>357</v>
      </c>
      <c r="D558">
        <f>POWER(D551/POWER(D556*(D552*1.378)/0.0254, 0.725)/0.024, 1/0.44)</f>
        <v>3.5365898499283999</v>
      </c>
      <c r="E558">
        <f t="shared" ref="E558:H558" si="122">POWER(E551/POWER(E556*(E552*1.378)/0.0254, 0.725)/0.024, 1/0.44)</f>
        <v>1.4087244158805046E-2</v>
      </c>
      <c r="F558">
        <f t="shared" si="122"/>
        <v>2.1255877087593311</v>
      </c>
      <c r="G558">
        <f t="shared" si="122"/>
        <v>77.695106625959824</v>
      </c>
      <c r="H558">
        <f t="shared" si="122"/>
        <v>12.946736275462857</v>
      </c>
    </row>
    <row r="559" spans="1:10" x14ac:dyDescent="0.25">
      <c r="A559" s="67"/>
      <c r="C559" t="s">
        <v>352</v>
      </c>
      <c r="D559">
        <v>100</v>
      </c>
      <c r="E559">
        <v>200</v>
      </c>
      <c r="F559">
        <v>120</v>
      </c>
      <c r="G559">
        <v>100</v>
      </c>
      <c r="H559">
        <v>100</v>
      </c>
    </row>
    <row r="560" spans="1:10" x14ac:dyDescent="0.25">
      <c r="A560" s="67"/>
      <c r="C560" t="s">
        <v>180</v>
      </c>
      <c r="D560">
        <f>(0.0000000168)*(D559/1000)/((D556/1000)*0.0000348*D552)</f>
        <v>3.0172413793103452E-3</v>
      </c>
      <c r="E560">
        <f>(0.0000000168)*(E559/1000)/((E556/1000)*0.0000348*E552)</f>
        <v>4.8275862068965524E-2</v>
      </c>
      <c r="F560">
        <f>(0.0000000168)*(F559/1000)/((F556/1000)*0.0000348*F552)</f>
        <v>2.8965517241379312E-2</v>
      </c>
      <c r="G560">
        <f>(0.0000000168)*(G559/1000)/((G556/1000)*0.0000348*G552)</f>
        <v>3.0172413793103452E-3</v>
      </c>
      <c r="H560">
        <f>(0.0000000168)*(H559/1000)/((H556/1000)*0.0000348*H552)</f>
        <v>3.0172413793103452E-3</v>
      </c>
    </row>
    <row r="561" spans="1:8" x14ac:dyDescent="0.25">
      <c r="A561" s="67"/>
      <c r="C561" t="s">
        <v>356</v>
      </c>
      <c r="D561">
        <f>POWER(D551, 2)*D560</f>
        <v>9.6308256864577377E-2</v>
      </c>
      <c r="E561">
        <f>POWER(E551, 2)*E560</f>
        <v>5.8413793103448278E-4</v>
      </c>
      <c r="F561">
        <f>POWER(F551, 2)*F560</f>
        <v>2.8965517241379312E-2</v>
      </c>
      <c r="G561">
        <f>POWER(G551, 2)*G560</f>
        <v>1.460344827586207</v>
      </c>
      <c r="H561">
        <f>POWER(H551, 2)*H560</f>
        <v>0.30172413793103453</v>
      </c>
    </row>
    <row r="562" spans="1:8" x14ac:dyDescent="0.25">
      <c r="A562" s="67"/>
      <c r="C562" t="s">
        <v>359</v>
      </c>
      <c r="D562">
        <f>D551*D560</f>
        <v>1.7046561465030197E-2</v>
      </c>
      <c r="E562">
        <f t="shared" ref="E562:H562" si="123">E551*E560</f>
        <v>5.3103448275862077E-3</v>
      </c>
      <c r="F562">
        <f t="shared" si="123"/>
        <v>2.8965517241379312E-2</v>
      </c>
      <c r="G562">
        <f t="shared" si="123"/>
        <v>6.6379310344827594E-2</v>
      </c>
      <c r="H562">
        <f t="shared" si="123"/>
        <v>3.0172413793103453E-2</v>
      </c>
    </row>
    <row r="563" spans="1:8" x14ac:dyDescent="0.25">
      <c r="A563" s="67"/>
    </row>
    <row r="564" spans="1:8" x14ac:dyDescent="0.25">
      <c r="A564" s="24"/>
    </row>
    <row r="565" spans="1:8" x14ac:dyDescent="0.25">
      <c r="A565" s="24"/>
    </row>
    <row r="569" spans="1:8" x14ac:dyDescent="0.25">
      <c r="A569" s="65" t="s">
        <v>917</v>
      </c>
      <c r="C569" t="s">
        <v>4</v>
      </c>
      <c r="D569">
        <v>1.2</v>
      </c>
    </row>
    <row r="570" spans="1:8" x14ac:dyDescent="0.25">
      <c r="A570" s="65"/>
      <c r="B570" s="6" t="s">
        <v>40</v>
      </c>
      <c r="C570" s="6" t="s">
        <v>39</v>
      </c>
      <c r="D570">
        <f>D3</f>
        <v>16000</v>
      </c>
    </row>
    <row r="571" spans="1:8" x14ac:dyDescent="0.25">
      <c r="A571" s="65"/>
      <c r="C571" t="s">
        <v>763</v>
      </c>
      <c r="D571" s="34">
        <v>2</v>
      </c>
    </row>
    <row r="572" spans="1:8" x14ac:dyDescent="0.25">
      <c r="A572" s="65"/>
      <c r="C572" t="s">
        <v>764</v>
      </c>
      <c r="D572" s="34">
        <f>1.2*D8</f>
        <v>4800</v>
      </c>
    </row>
    <row r="573" spans="1:8" x14ac:dyDescent="0.25">
      <c r="A573" s="65"/>
      <c r="C573" t="s">
        <v>766</v>
      </c>
      <c r="D573" s="34">
        <v>25000</v>
      </c>
    </row>
    <row r="574" spans="1:8" x14ac:dyDescent="0.25">
      <c r="A574" s="65"/>
      <c r="C574" t="s">
        <v>765</v>
      </c>
      <c r="D574" s="36">
        <v>300000000</v>
      </c>
    </row>
    <row r="575" spans="1:8" x14ac:dyDescent="0.25">
      <c r="A575" s="65"/>
      <c r="C575" t="s">
        <v>768</v>
      </c>
      <c r="D575" s="34">
        <v>3.5</v>
      </c>
    </row>
    <row r="576" spans="1:8" x14ac:dyDescent="0.25">
      <c r="A576" s="65"/>
      <c r="C576" t="s">
        <v>770</v>
      </c>
      <c r="D576" s="34">
        <f>D573/D569</f>
        <v>20833.333333333336</v>
      </c>
    </row>
    <row r="577" spans="1:5" x14ac:dyDescent="0.25">
      <c r="A577" s="65"/>
      <c r="C577" t="s">
        <v>769</v>
      </c>
      <c r="D577">
        <f>D575/D569</f>
        <v>2.916666666666667</v>
      </c>
    </row>
    <row r="578" spans="1:5" x14ac:dyDescent="0.25">
      <c r="A578" s="65"/>
      <c r="C578" t="s">
        <v>767</v>
      </c>
      <c r="D578" s="34">
        <f>CEILING(D572/D576, 1)</f>
        <v>1</v>
      </c>
    </row>
    <row r="579" spans="1:5" x14ac:dyDescent="0.25">
      <c r="A579" s="65"/>
      <c r="C579" t="s">
        <v>431</v>
      </c>
      <c r="D579" s="34">
        <v>1</v>
      </c>
    </row>
    <row r="580" spans="1:5" x14ac:dyDescent="0.25">
      <c r="A580" s="65"/>
      <c r="C580" t="s">
        <v>773</v>
      </c>
      <c r="D580" s="42">
        <f>D572/D579</f>
        <v>4800</v>
      </c>
    </row>
    <row r="581" spans="1:5" x14ac:dyDescent="0.25">
      <c r="A581" s="65"/>
      <c r="C581" t="s">
        <v>198</v>
      </c>
      <c r="D581" s="33">
        <f>D574*D579</f>
        <v>300000000</v>
      </c>
    </row>
    <row r="582" spans="1:5" x14ac:dyDescent="0.25">
      <c r="A582" s="65"/>
      <c r="C582" t="s">
        <v>432</v>
      </c>
      <c r="D582" s="18">
        <f>D572/D571</f>
        <v>2400</v>
      </c>
    </row>
    <row r="583" spans="1:5" x14ac:dyDescent="0.25">
      <c r="A583" s="65"/>
      <c r="C583" t="s">
        <v>433</v>
      </c>
      <c r="D583" s="18">
        <f>D581/D582</f>
        <v>125000</v>
      </c>
    </row>
    <row r="584" spans="1:5" x14ac:dyDescent="0.25">
      <c r="A584" s="65"/>
      <c r="C584" t="s">
        <v>470</v>
      </c>
      <c r="D584" s="36">
        <v>125000</v>
      </c>
    </row>
    <row r="585" spans="1:5" x14ac:dyDescent="0.25">
      <c r="A585" s="65"/>
      <c r="C585" t="s">
        <v>841</v>
      </c>
      <c r="D585" s="36">
        <f>D581/D584</f>
        <v>2400</v>
      </c>
    </row>
    <row r="586" spans="1:5" x14ac:dyDescent="0.25">
      <c r="A586" s="65"/>
      <c r="C586" t="s">
        <v>434</v>
      </c>
      <c r="D586" s="33">
        <f>D572/D581</f>
        <v>1.5999999999999999E-5</v>
      </c>
      <c r="E586" t="s">
        <v>17</v>
      </c>
    </row>
    <row r="587" spans="1:5" x14ac:dyDescent="0.25">
      <c r="A587" s="65"/>
      <c r="C587" t="s">
        <v>435</v>
      </c>
      <c r="D587" s="33">
        <f>POWER(D586, 2)*D574</f>
        <v>7.6799999999999993E-2</v>
      </c>
    </row>
    <row r="588" spans="1:5" x14ac:dyDescent="0.25">
      <c r="A588" s="65"/>
      <c r="C588" t="s">
        <v>772</v>
      </c>
      <c r="D588" s="33" t="b">
        <f>D580&lt;=D576</f>
        <v>1</v>
      </c>
    </row>
    <row r="589" spans="1:5" x14ac:dyDescent="0.25">
      <c r="A589" s="65"/>
      <c r="C589" t="s">
        <v>771</v>
      </c>
      <c r="D589" s="33" t="b">
        <f>D587&lt;=D577</f>
        <v>1</v>
      </c>
    </row>
    <row r="590" spans="1:5" x14ac:dyDescent="0.25">
      <c r="A590" s="65"/>
      <c r="C590" t="s">
        <v>436</v>
      </c>
      <c r="D590" s="33">
        <f>D587*D579</f>
        <v>7.6799999999999993E-2</v>
      </c>
    </row>
    <row r="591" spans="1:5" x14ac:dyDescent="0.25">
      <c r="A591" s="65"/>
      <c r="C591" t="s">
        <v>437</v>
      </c>
      <c r="D591" s="33">
        <f>POWER(D586, 2)*D584</f>
        <v>3.1999999999999999E-5</v>
      </c>
    </row>
    <row r="592" spans="1:5" x14ac:dyDescent="0.25">
      <c r="A592" s="65"/>
      <c r="B592" t="s">
        <v>910</v>
      </c>
      <c r="C592" t="s">
        <v>911</v>
      </c>
      <c r="D592" s="33">
        <f>1/D570</f>
        <v>6.2500000000000001E-5</v>
      </c>
    </row>
    <row r="593" spans="1:6" x14ac:dyDescent="0.25">
      <c r="A593" s="65"/>
      <c r="B593" t="s">
        <v>912</v>
      </c>
      <c r="C593" t="s">
        <v>913</v>
      </c>
      <c r="D593" s="33">
        <f>D592/(4.6*D584)</f>
        <v>1.0869565217391305E-10</v>
      </c>
    </row>
    <row r="594" spans="1:6" x14ac:dyDescent="0.25">
      <c r="A594" s="65"/>
      <c r="B594" s="74"/>
      <c r="C594" s="74" t="s">
        <v>918</v>
      </c>
      <c r="D594" s="33">
        <f xml:space="preserve"> (2/255)*D585</f>
        <v>18.823529411764707</v>
      </c>
      <c r="F594" t="s">
        <v>930</v>
      </c>
    </row>
    <row r="595" spans="1:6" x14ac:dyDescent="0.25">
      <c r="A595" s="65"/>
      <c r="D595" s="33"/>
    </row>
    <row r="596" spans="1:6" x14ac:dyDescent="0.25">
      <c r="A596" s="65"/>
      <c r="D596" s="33"/>
    </row>
    <row r="597" spans="1:6" x14ac:dyDescent="0.25">
      <c r="A597" s="65"/>
      <c r="D597" s="33"/>
    </row>
    <row r="599" spans="1:6" x14ac:dyDescent="0.25">
      <c r="A599" s="65" t="s">
        <v>914</v>
      </c>
      <c r="C599" t="s">
        <v>4</v>
      </c>
      <c r="D599">
        <v>1.2</v>
      </c>
    </row>
    <row r="600" spans="1:6" x14ac:dyDescent="0.25">
      <c r="A600" s="65"/>
      <c r="C600" t="s">
        <v>763</v>
      </c>
      <c r="D600" s="34">
        <v>2</v>
      </c>
    </row>
    <row r="601" spans="1:6" x14ac:dyDescent="0.25">
      <c r="A601" s="65"/>
      <c r="C601" t="s">
        <v>764</v>
      </c>
      <c r="D601" s="34">
        <f>1.2*D12</f>
        <v>480</v>
      </c>
    </row>
    <row r="602" spans="1:6" x14ac:dyDescent="0.25">
      <c r="A602" s="65"/>
      <c r="C602" t="s">
        <v>766</v>
      </c>
      <c r="D602" s="34">
        <v>25000</v>
      </c>
    </row>
    <row r="603" spans="1:6" x14ac:dyDescent="0.25">
      <c r="A603" s="65"/>
      <c r="C603" t="s">
        <v>765</v>
      </c>
      <c r="D603" s="36">
        <f>10000000/2</f>
        <v>5000000</v>
      </c>
    </row>
    <row r="604" spans="1:6" x14ac:dyDescent="0.25">
      <c r="A604" s="65"/>
      <c r="C604" t="s">
        <v>768</v>
      </c>
      <c r="D604" s="34">
        <v>3.5</v>
      </c>
    </row>
    <row r="605" spans="1:6" x14ac:dyDescent="0.25">
      <c r="A605" s="65"/>
      <c r="C605" t="s">
        <v>770</v>
      </c>
      <c r="D605" s="34">
        <f>D602/D599</f>
        <v>20833.333333333336</v>
      </c>
    </row>
    <row r="606" spans="1:6" x14ac:dyDescent="0.25">
      <c r="A606" s="65"/>
      <c r="C606" t="s">
        <v>769</v>
      </c>
      <c r="D606">
        <f>D604/D599</f>
        <v>2.916666666666667</v>
      </c>
    </row>
    <row r="607" spans="1:6" x14ac:dyDescent="0.25">
      <c r="A607" s="65"/>
      <c r="C607" t="s">
        <v>767</v>
      </c>
      <c r="D607" s="34">
        <f>CEILING(D601/D605, 1)</f>
        <v>1</v>
      </c>
    </row>
    <row r="608" spans="1:6" x14ac:dyDescent="0.25">
      <c r="A608" s="65"/>
      <c r="C608" t="s">
        <v>431</v>
      </c>
      <c r="D608" s="34">
        <v>1</v>
      </c>
    </row>
    <row r="609" spans="1:6" x14ac:dyDescent="0.25">
      <c r="A609" s="65"/>
      <c r="C609" t="s">
        <v>773</v>
      </c>
      <c r="D609" s="42">
        <f>D601/D608</f>
        <v>480</v>
      </c>
    </row>
    <row r="610" spans="1:6" x14ac:dyDescent="0.25">
      <c r="A610" s="65"/>
      <c r="C610" t="s">
        <v>198</v>
      </c>
      <c r="D610" s="33">
        <f>D603*D608</f>
        <v>5000000</v>
      </c>
    </row>
    <row r="611" spans="1:6" x14ac:dyDescent="0.25">
      <c r="A611" s="65"/>
      <c r="C611" t="s">
        <v>432</v>
      </c>
      <c r="D611" s="18">
        <f>D601/D600</f>
        <v>240</v>
      </c>
    </row>
    <row r="612" spans="1:6" x14ac:dyDescent="0.25">
      <c r="A612" s="65"/>
      <c r="C612" t="s">
        <v>433</v>
      </c>
      <c r="D612" s="18">
        <f>D610/D611</f>
        <v>20833.333333333332</v>
      </c>
    </row>
    <row r="613" spans="1:6" x14ac:dyDescent="0.25">
      <c r="A613" s="65"/>
      <c r="C613" t="s">
        <v>470</v>
      </c>
      <c r="D613" s="36">
        <f>23.8*1000</f>
        <v>23800</v>
      </c>
    </row>
    <row r="614" spans="1:6" x14ac:dyDescent="0.25">
      <c r="A614" s="65"/>
      <c r="C614" t="s">
        <v>841</v>
      </c>
      <c r="D614" s="36">
        <f>(D608*D603)/D613</f>
        <v>210.08403361344537</v>
      </c>
    </row>
    <row r="615" spans="1:6" x14ac:dyDescent="0.25">
      <c r="A615" s="65"/>
      <c r="C615" t="s">
        <v>434</v>
      </c>
      <c r="D615" s="33">
        <f>D601/D610</f>
        <v>9.6000000000000002E-5</v>
      </c>
    </row>
    <row r="616" spans="1:6" x14ac:dyDescent="0.25">
      <c r="A616" s="65"/>
      <c r="C616" t="s">
        <v>435</v>
      </c>
      <c r="D616" s="33">
        <f>POWER(D615,2)*D603</f>
        <v>4.6080000000000003E-2</v>
      </c>
    </row>
    <row r="617" spans="1:6" x14ac:dyDescent="0.25">
      <c r="A617" s="65"/>
      <c r="C617" t="s">
        <v>772</v>
      </c>
      <c r="D617" s="33" t="b">
        <f>D609&lt;=D605</f>
        <v>1</v>
      </c>
    </row>
    <row r="618" spans="1:6" x14ac:dyDescent="0.25">
      <c r="A618" s="65"/>
      <c r="C618" t="s">
        <v>771</v>
      </c>
      <c r="D618" s="33" t="b">
        <f>D616&lt;=D606</f>
        <v>1</v>
      </c>
    </row>
    <row r="619" spans="1:6" x14ac:dyDescent="0.25">
      <c r="A619" s="65"/>
      <c r="C619" t="s">
        <v>436</v>
      </c>
      <c r="D619" s="33">
        <f>D616*D608</f>
        <v>4.6080000000000003E-2</v>
      </c>
    </row>
    <row r="620" spans="1:6" x14ac:dyDescent="0.25">
      <c r="A620" s="65"/>
      <c r="C620" t="s">
        <v>437</v>
      </c>
      <c r="D620" s="33">
        <f>POWER(D615, 2)*D613</f>
        <v>2.1934080000000003E-4</v>
      </c>
    </row>
    <row r="621" spans="1:6" x14ac:dyDescent="0.25">
      <c r="A621" s="65"/>
      <c r="C621" t="s">
        <v>919</v>
      </c>
      <c r="D621" s="33">
        <f>(2/255)*D614</f>
        <v>1.6477179106936892</v>
      </c>
      <c r="F621" t="s">
        <v>929</v>
      </c>
    </row>
    <row r="622" spans="1:6" x14ac:dyDescent="0.25">
      <c r="C622" t="s">
        <v>439</v>
      </c>
      <c r="D622">
        <v>3</v>
      </c>
    </row>
    <row r="623" spans="1:6" x14ac:dyDescent="0.25">
      <c r="A623" s="67" t="s">
        <v>438</v>
      </c>
      <c r="C623" t="s">
        <v>440</v>
      </c>
      <c r="D623">
        <v>550</v>
      </c>
      <c r="E623" t="s">
        <v>442</v>
      </c>
    </row>
    <row r="624" spans="1:6" x14ac:dyDescent="0.25">
      <c r="A624" s="67"/>
      <c r="C624" t="s">
        <v>441</v>
      </c>
      <c r="D624">
        <f>25.4*41.9*0.000001</f>
        <v>1.06426E-3</v>
      </c>
    </row>
    <row r="625" spans="1:5" x14ac:dyDescent="0.25">
      <c r="A625" s="67"/>
      <c r="C625" t="s">
        <v>443</v>
      </c>
      <c r="D625">
        <f>D624*D623*0.3048</f>
        <v>0.17841254640000004</v>
      </c>
      <c r="E625" t="s">
        <v>361</v>
      </c>
    </row>
    <row r="626" spans="1:5" x14ac:dyDescent="0.25">
      <c r="A626" s="67"/>
      <c r="C626" t="s">
        <v>444</v>
      </c>
      <c r="D626">
        <f>D625*50</f>
        <v>8.9206273200000012</v>
      </c>
    </row>
    <row r="627" spans="1:5" x14ac:dyDescent="0.25">
      <c r="A627" s="67"/>
    </row>
    <row r="628" spans="1:5" x14ac:dyDescent="0.25">
      <c r="A628" s="67"/>
    </row>
    <row r="629" spans="1:5" x14ac:dyDescent="0.25">
      <c r="A629" s="67"/>
    </row>
    <row r="630" spans="1:5" x14ac:dyDescent="0.25">
      <c r="A630" s="67"/>
    </row>
    <row r="631" spans="1:5" x14ac:dyDescent="0.25">
      <c r="A631" s="67"/>
    </row>
    <row r="632" spans="1:5" x14ac:dyDescent="0.25">
      <c r="A632" s="67"/>
    </row>
    <row r="633" spans="1:5" x14ac:dyDescent="0.25">
      <c r="A633" s="67"/>
    </row>
    <row r="634" spans="1:5" x14ac:dyDescent="0.25">
      <c r="A634" s="67"/>
    </row>
    <row r="635" spans="1:5" x14ac:dyDescent="0.25">
      <c r="A635" s="67"/>
    </row>
    <row r="636" spans="1:5" x14ac:dyDescent="0.25">
      <c r="C636" t="s">
        <v>472</v>
      </c>
      <c r="E636" s="1">
        <f>D76</f>
        <v>0.64</v>
      </c>
    </row>
    <row r="637" spans="1:5" x14ac:dyDescent="0.25">
      <c r="A637" s="67" t="s">
        <v>471</v>
      </c>
      <c r="C637" t="s">
        <v>473</v>
      </c>
      <c r="E637">
        <f>D28</f>
        <v>1.2</v>
      </c>
    </row>
    <row r="638" spans="1:5" x14ac:dyDescent="0.25">
      <c r="A638" s="67"/>
      <c r="C638" t="s">
        <v>474</v>
      </c>
      <c r="E638" s="1">
        <f>D209+D210</f>
        <v>3.8303132573281409</v>
      </c>
    </row>
    <row r="639" spans="1:5" x14ac:dyDescent="0.25">
      <c r="A639" s="67"/>
      <c r="C639" t="s">
        <v>475</v>
      </c>
      <c r="E639" s="1">
        <f>E636+E637+E638</f>
        <v>5.6703132573281412</v>
      </c>
    </row>
    <row r="640" spans="1:5" x14ac:dyDescent="0.25">
      <c r="A640" s="67"/>
    </row>
    <row r="641" spans="1:5" x14ac:dyDescent="0.25">
      <c r="A641" s="67"/>
    </row>
    <row r="642" spans="1:5" x14ac:dyDescent="0.25">
      <c r="A642" s="67"/>
      <c r="C642" t="s">
        <v>4</v>
      </c>
      <c r="E642">
        <v>2</v>
      </c>
    </row>
    <row r="643" spans="1:5" x14ac:dyDescent="0.25">
      <c r="A643" s="67"/>
      <c r="C643" t="s">
        <v>362</v>
      </c>
      <c r="D643" t="s">
        <v>192</v>
      </c>
      <c r="E643">
        <v>0.17399999999999999</v>
      </c>
    </row>
    <row r="644" spans="1:5" x14ac:dyDescent="0.25">
      <c r="A644" s="67"/>
      <c r="C644" t="s">
        <v>363</v>
      </c>
      <c r="D644" t="s">
        <v>192</v>
      </c>
      <c r="E644">
        <v>0.5</v>
      </c>
    </row>
    <row r="645" spans="1:5" x14ac:dyDescent="0.25">
      <c r="A645" s="67"/>
      <c r="C645" t="s">
        <v>360</v>
      </c>
      <c r="D645" t="s">
        <v>371</v>
      </c>
      <c r="E645">
        <f>POWER(E643/2, 2)*PI()*E644</f>
        <v>1.1889357397510571E-2</v>
      </c>
    </row>
    <row r="646" spans="1:5" x14ac:dyDescent="0.25">
      <c r="A646" s="67"/>
      <c r="C646" t="s">
        <v>364</v>
      </c>
      <c r="E646" s="1">
        <f>E639</f>
        <v>5.6703132573281412</v>
      </c>
    </row>
    <row r="647" spans="1:5" x14ac:dyDescent="0.25">
      <c r="A647" s="67"/>
      <c r="C647" t="s">
        <v>369</v>
      </c>
      <c r="D647" t="s">
        <v>365</v>
      </c>
      <c r="E647">
        <v>2300</v>
      </c>
    </row>
    <row r="648" spans="1:5" x14ac:dyDescent="0.25">
      <c r="A648" s="67"/>
      <c r="C648" t="s">
        <v>366</v>
      </c>
      <c r="D648" t="s">
        <v>367</v>
      </c>
      <c r="E648">
        <v>20</v>
      </c>
    </row>
    <row r="649" spans="1:5" x14ac:dyDescent="0.25">
      <c r="A649" s="67"/>
      <c r="C649" t="s">
        <v>368</v>
      </c>
      <c r="D649" t="s">
        <v>370</v>
      </c>
      <c r="E649">
        <v>800</v>
      </c>
    </row>
    <row r="650" spans="1:5" x14ac:dyDescent="0.25">
      <c r="A650" s="67"/>
      <c r="C650" t="s">
        <v>372</v>
      </c>
      <c r="D650" t="s">
        <v>373</v>
      </c>
      <c r="E650">
        <f>E649*E645</f>
        <v>9.5114859180084572</v>
      </c>
    </row>
    <row r="651" spans="1:5" x14ac:dyDescent="0.25">
      <c r="A651" s="67"/>
      <c r="C651" t="s">
        <v>374</v>
      </c>
      <c r="D651" t="s">
        <v>375</v>
      </c>
      <c r="E651">
        <f>E647*E650*E648</f>
        <v>437528.35222838906</v>
      </c>
    </row>
    <row r="652" spans="1:5" x14ac:dyDescent="0.25">
      <c r="A652" s="67"/>
      <c r="C652" t="s">
        <v>376</v>
      </c>
      <c r="D652" t="s">
        <v>232</v>
      </c>
      <c r="E652">
        <f>E651/E646</f>
        <v>77161.231200576207</v>
      </c>
    </row>
    <row r="653" spans="1:5" x14ac:dyDescent="0.25">
      <c r="A653" s="67"/>
      <c r="C653" t="s">
        <v>377</v>
      </c>
      <c r="D653" t="s">
        <v>232</v>
      </c>
      <c r="E653">
        <f>E652/E642</f>
        <v>38580.615600288103</v>
      </c>
    </row>
    <row r="654" spans="1:5" x14ac:dyDescent="0.25">
      <c r="A654" s="67"/>
      <c r="C654" t="s">
        <v>378</v>
      </c>
      <c r="D654" t="s">
        <v>379</v>
      </c>
      <c r="E654">
        <f>E645/E653</f>
        <v>3.0816919876783371E-7</v>
      </c>
    </row>
    <row r="655" spans="1:5" x14ac:dyDescent="0.25">
      <c r="A655" s="67"/>
      <c r="C655" t="s">
        <v>378</v>
      </c>
      <c r="D655" t="s">
        <v>380</v>
      </c>
      <c r="E655">
        <f>(1000000)*E654</f>
        <v>0.30816919876783372</v>
      </c>
    </row>
    <row r="656" spans="1:5" x14ac:dyDescent="0.25">
      <c r="A656" s="67"/>
      <c r="C656" t="s">
        <v>381</v>
      </c>
      <c r="D656" t="s">
        <v>382</v>
      </c>
      <c r="E656">
        <v>0.1</v>
      </c>
    </row>
    <row r="657" spans="1:5" x14ac:dyDescent="0.25">
      <c r="A657" s="67"/>
      <c r="C657" t="s">
        <v>383</v>
      </c>
      <c r="D657" t="s">
        <v>193</v>
      </c>
      <c r="E657">
        <f>E654/E656</f>
        <v>3.0816919876783369E-6</v>
      </c>
    </row>
    <row r="658" spans="1:5" x14ac:dyDescent="0.25">
      <c r="A658" s="67"/>
      <c r="C658" t="s">
        <v>384</v>
      </c>
      <c r="D658" t="s">
        <v>192</v>
      </c>
      <c r="E658">
        <f>2*POWER(E657/PI(), 0.5)</f>
        <v>1.980841261536513E-3</v>
      </c>
    </row>
    <row r="659" spans="1:5" x14ac:dyDescent="0.25">
      <c r="A659" s="67"/>
      <c r="C659" t="s">
        <v>386</v>
      </c>
      <c r="D659" t="s">
        <v>192</v>
      </c>
      <c r="E659">
        <f>CEILING(E658, 0.001)</f>
        <v>2E-3</v>
      </c>
    </row>
    <row r="660" spans="1:5" x14ac:dyDescent="0.25">
      <c r="A660" s="67"/>
      <c r="C660" t="s">
        <v>385</v>
      </c>
      <c r="D660" t="s">
        <v>120</v>
      </c>
      <c r="E660">
        <f>E659*1000</f>
        <v>2</v>
      </c>
    </row>
    <row r="661" spans="1:5" x14ac:dyDescent="0.25">
      <c r="A661" s="67"/>
      <c r="C661" t="s">
        <v>391</v>
      </c>
      <c r="D661" t="s">
        <v>120</v>
      </c>
      <c r="E661">
        <v>9</v>
      </c>
    </row>
    <row r="662" spans="1:5" x14ac:dyDescent="0.25">
      <c r="A662" s="67"/>
      <c r="C662" t="s">
        <v>392</v>
      </c>
      <c r="E662">
        <f>E661/1000</f>
        <v>8.9999999999999993E-3</v>
      </c>
    </row>
    <row r="663" spans="1:5" x14ac:dyDescent="0.25">
      <c r="C663" t="s">
        <v>389</v>
      </c>
      <c r="E663">
        <f>0.00604</f>
        <v>6.0400000000000002E-3</v>
      </c>
    </row>
    <row r="664" spans="1:5" x14ac:dyDescent="0.25">
      <c r="C664" t="s">
        <v>388</v>
      </c>
      <c r="E664">
        <f>E663/E649</f>
        <v>7.5500000000000006E-6</v>
      </c>
    </row>
    <row r="665" spans="1:5" x14ac:dyDescent="0.25">
      <c r="C665" t="s">
        <v>387</v>
      </c>
      <c r="E665">
        <v>2300</v>
      </c>
    </row>
    <row r="666" spans="1:5" x14ac:dyDescent="0.25">
      <c r="C666" t="s">
        <v>390</v>
      </c>
      <c r="E666">
        <f>E649*E656*E662/E663</f>
        <v>119.20529801324503</v>
      </c>
    </row>
    <row r="667" spans="1:5" x14ac:dyDescent="0.25">
      <c r="C667" t="s">
        <v>393</v>
      </c>
      <c r="E667" t="b">
        <f>E666&lt;E665</f>
        <v>1</v>
      </c>
    </row>
    <row r="670" spans="1:5" x14ac:dyDescent="0.25">
      <c r="B670" t="s">
        <v>33</v>
      </c>
      <c r="C670" t="s">
        <v>38</v>
      </c>
      <c r="D670" t="s">
        <v>18</v>
      </c>
      <c r="E670">
        <f>D5</f>
        <v>35.400000000000006</v>
      </c>
    </row>
    <row r="671" spans="1:5" x14ac:dyDescent="0.25">
      <c r="A671" s="67" t="s">
        <v>479</v>
      </c>
      <c r="B671" t="s">
        <v>299</v>
      </c>
      <c r="C671" t="s">
        <v>300</v>
      </c>
      <c r="D671" t="s">
        <v>18</v>
      </c>
      <c r="E671">
        <f>D6</f>
        <v>38.099999999999994</v>
      </c>
    </row>
    <row r="672" spans="1:5" x14ac:dyDescent="0.25">
      <c r="A672" s="67"/>
      <c r="B672" t="s">
        <v>34</v>
      </c>
      <c r="C672" t="s">
        <v>37</v>
      </c>
      <c r="D672" t="s">
        <v>18</v>
      </c>
      <c r="E672">
        <f>D7</f>
        <v>44.1</v>
      </c>
    </row>
    <row r="673" spans="1:15" x14ac:dyDescent="0.25">
      <c r="A673" s="67"/>
      <c r="C673" t="s">
        <v>480</v>
      </c>
      <c r="D673" t="s">
        <v>17</v>
      </c>
      <c r="E673">
        <v>3</v>
      </c>
    </row>
    <row r="674" spans="1:15" x14ac:dyDescent="0.25">
      <c r="A674" s="67"/>
      <c r="C674" t="s">
        <v>481</v>
      </c>
      <c r="E674">
        <f>(E672/E673)</f>
        <v>14.700000000000001</v>
      </c>
    </row>
    <row r="675" spans="1:15" x14ac:dyDescent="0.25">
      <c r="A675" s="67"/>
      <c r="C675" t="s">
        <v>482</v>
      </c>
      <c r="E675">
        <f>E670/E673</f>
        <v>11.800000000000002</v>
      </c>
    </row>
    <row r="676" spans="1:15" ht="18.75" customHeight="1" x14ac:dyDescent="0.25">
      <c r="A676" s="67"/>
      <c r="C676" t="s">
        <v>483</v>
      </c>
      <c r="E676">
        <f>E671/E673</f>
        <v>12.699999999999998</v>
      </c>
    </row>
    <row r="677" spans="1:15" hidden="1" x14ac:dyDescent="0.25">
      <c r="A677" s="67"/>
      <c r="C677" t="s">
        <v>484</v>
      </c>
      <c r="E677">
        <f>12</f>
        <v>12</v>
      </c>
    </row>
    <row r="678" spans="1:15" ht="115.5" customHeight="1" x14ac:dyDescent="0.25">
      <c r="A678" s="67"/>
      <c r="C678" t="s">
        <v>485</v>
      </c>
      <c r="E678">
        <f>E672*E672/E677</f>
        <v>162.06750000000002</v>
      </c>
      <c r="G678" s="12" t="s">
        <v>180</v>
      </c>
      <c r="H678" s="27" t="s">
        <v>491</v>
      </c>
      <c r="I678" s="27" t="s">
        <v>494</v>
      </c>
      <c r="J678" s="27" t="s">
        <v>493</v>
      </c>
      <c r="K678" s="27" t="s">
        <v>492</v>
      </c>
      <c r="L678" s="27" t="s">
        <v>495</v>
      </c>
      <c r="M678" s="27" t="s">
        <v>496</v>
      </c>
      <c r="N678" s="27" t="s">
        <v>498</v>
      </c>
      <c r="O678" s="26"/>
    </row>
    <row r="679" spans="1:15" x14ac:dyDescent="0.25">
      <c r="A679" s="67"/>
      <c r="C679" t="s">
        <v>486</v>
      </c>
      <c r="E679">
        <f>6</f>
        <v>6</v>
      </c>
      <c r="G679" s="12">
        <v>1</v>
      </c>
      <c r="H679" s="12">
        <f>E672/G679</f>
        <v>44.1</v>
      </c>
      <c r="I679" s="12">
        <f>H679*H679*G679</f>
        <v>1944.8100000000002</v>
      </c>
      <c r="J679" s="12">
        <f>I679/2</f>
        <v>972.40500000000009</v>
      </c>
      <c r="K679" s="12">
        <f>E670/G679</f>
        <v>35.400000000000006</v>
      </c>
      <c r="L679" s="12">
        <f>E670*E670/G679</f>
        <v>1253.1600000000003</v>
      </c>
      <c r="M679" s="12">
        <f>L679/2</f>
        <v>626.58000000000015</v>
      </c>
      <c r="N679" s="26"/>
    </row>
    <row r="680" spans="1:15" x14ac:dyDescent="0.25">
      <c r="A680" s="67"/>
      <c r="C680" t="s">
        <v>487</v>
      </c>
      <c r="E680">
        <v>2</v>
      </c>
      <c r="G680" s="12">
        <v>2</v>
      </c>
      <c r="H680" s="12">
        <f>E672/G680</f>
        <v>22.05</v>
      </c>
      <c r="I680" s="12">
        <f t="shared" ref="I680:I693" si="124">H680*H680*G680</f>
        <v>972.40500000000009</v>
      </c>
      <c r="J680" s="12">
        <f>I680/2</f>
        <v>486.20250000000004</v>
      </c>
      <c r="K680" s="12">
        <f>E670/G680</f>
        <v>17.700000000000003</v>
      </c>
      <c r="L680" s="12">
        <f>E670*E670/G680</f>
        <v>626.58000000000015</v>
      </c>
      <c r="M680" s="12">
        <f>L680/2</f>
        <v>313.29000000000008</v>
      </c>
      <c r="N680" s="26"/>
    </row>
    <row r="681" spans="1:15" x14ac:dyDescent="0.25">
      <c r="A681" s="67"/>
      <c r="C681" t="s">
        <v>488</v>
      </c>
      <c r="E681">
        <f xml:space="preserve"> E679*E680</f>
        <v>12</v>
      </c>
      <c r="G681" s="12">
        <v>3</v>
      </c>
      <c r="H681" s="12">
        <f>E672/G681</f>
        <v>14.700000000000001</v>
      </c>
      <c r="I681" s="12">
        <f t="shared" si="124"/>
        <v>648.2700000000001</v>
      </c>
      <c r="J681" s="12">
        <f>I681/2</f>
        <v>324.13500000000005</v>
      </c>
      <c r="K681" s="12">
        <f>E670/G681</f>
        <v>11.800000000000002</v>
      </c>
      <c r="L681" s="12">
        <f>E670*E670/G681</f>
        <v>417.72000000000008</v>
      </c>
      <c r="M681" s="12">
        <f>L681/2</f>
        <v>208.86000000000004</v>
      </c>
    </row>
    <row r="682" spans="1:15" x14ac:dyDescent="0.25">
      <c r="A682" s="67"/>
      <c r="G682" s="12">
        <v>4</v>
      </c>
      <c r="H682" s="12">
        <f>E672/G682</f>
        <v>11.025</v>
      </c>
      <c r="I682" s="12">
        <f t="shared" si="124"/>
        <v>486.20250000000004</v>
      </c>
      <c r="J682" s="12">
        <f t="shared" ref="J682:J693" si="125">I682/2</f>
        <v>243.10125000000002</v>
      </c>
      <c r="K682" s="12">
        <f>E670/G682</f>
        <v>8.8500000000000014</v>
      </c>
      <c r="L682" s="12">
        <f>E670*E670/G682</f>
        <v>313.29000000000008</v>
      </c>
      <c r="M682" s="12">
        <f t="shared" ref="M682:M693" si="126">L682/2</f>
        <v>156.64500000000004</v>
      </c>
    </row>
    <row r="683" spans="1:15" x14ac:dyDescent="0.25">
      <c r="A683" s="67"/>
      <c r="C683" t="s">
        <v>489</v>
      </c>
      <c r="E683">
        <f>(POWER(E672,2))/(200*2)</f>
        <v>4.862025</v>
      </c>
      <c r="G683" s="12">
        <v>5</v>
      </c>
      <c r="H683" s="12">
        <f>E672/G683</f>
        <v>8.82</v>
      </c>
      <c r="I683" s="12">
        <f t="shared" si="124"/>
        <v>388.96199999999999</v>
      </c>
      <c r="J683" s="12">
        <f t="shared" si="125"/>
        <v>194.48099999999999</v>
      </c>
      <c r="K683" s="12">
        <f>E670/G683</f>
        <v>7.080000000000001</v>
      </c>
      <c r="L683" s="12">
        <f>E670*E670/G683</f>
        <v>250.63200000000006</v>
      </c>
      <c r="M683" s="12">
        <f t="shared" si="126"/>
        <v>125.31600000000003</v>
      </c>
      <c r="N683" t="s">
        <v>497</v>
      </c>
    </row>
    <row r="684" spans="1:15" x14ac:dyDescent="0.25">
      <c r="A684" s="67"/>
      <c r="C684" t="s">
        <v>490</v>
      </c>
      <c r="E684">
        <f>E672/E683</f>
        <v>9.0702947845804989</v>
      </c>
      <c r="G684" s="12">
        <v>6</v>
      </c>
      <c r="H684" s="12">
        <f>E672/G684</f>
        <v>7.3500000000000005</v>
      </c>
      <c r="I684" s="12">
        <f t="shared" si="124"/>
        <v>324.13500000000005</v>
      </c>
      <c r="J684" s="12">
        <f t="shared" si="125"/>
        <v>162.06750000000002</v>
      </c>
      <c r="K684" s="12">
        <f>E670/G684</f>
        <v>5.9000000000000012</v>
      </c>
      <c r="L684" s="12">
        <f>E670*E670/G684</f>
        <v>208.86000000000004</v>
      </c>
      <c r="M684" s="12">
        <f t="shared" si="126"/>
        <v>104.43000000000002</v>
      </c>
      <c r="N684" t="s">
        <v>499</v>
      </c>
    </row>
    <row r="685" spans="1:15" x14ac:dyDescent="0.25">
      <c r="A685" s="67"/>
      <c r="G685" s="12">
        <v>7</v>
      </c>
      <c r="H685" s="12">
        <f>E672/G685</f>
        <v>6.3</v>
      </c>
      <c r="I685" s="12">
        <f t="shared" si="124"/>
        <v>277.83</v>
      </c>
      <c r="J685" s="12">
        <f t="shared" si="125"/>
        <v>138.91499999999999</v>
      </c>
      <c r="K685" s="12">
        <f>E670/G685</f>
        <v>5.0571428571428578</v>
      </c>
      <c r="L685" s="12">
        <f>E670*E670/G685</f>
        <v>179.02285714285719</v>
      </c>
      <c r="M685" s="12">
        <f t="shared" si="126"/>
        <v>89.511428571428596</v>
      </c>
      <c r="N685" t="s">
        <v>500</v>
      </c>
    </row>
    <row r="686" spans="1:15" x14ac:dyDescent="0.25">
      <c r="G686" s="12">
        <v>8</v>
      </c>
      <c r="H686" s="12">
        <f>E672/G686</f>
        <v>5.5125000000000002</v>
      </c>
      <c r="I686" s="12">
        <f t="shared" si="124"/>
        <v>243.10125000000002</v>
      </c>
      <c r="J686" s="12">
        <f t="shared" si="125"/>
        <v>121.55062500000001</v>
      </c>
      <c r="K686" s="12">
        <f>E670/G686</f>
        <v>4.4250000000000007</v>
      </c>
      <c r="L686" s="12">
        <f>E670*E670/G686</f>
        <v>156.64500000000004</v>
      </c>
      <c r="M686" s="12">
        <f t="shared" si="126"/>
        <v>78.322500000000019</v>
      </c>
      <c r="N686" t="s">
        <v>501</v>
      </c>
    </row>
    <row r="687" spans="1:15" x14ac:dyDescent="0.25">
      <c r="G687" s="12">
        <v>9</v>
      </c>
      <c r="H687" s="12">
        <f>E672/G687</f>
        <v>4.9000000000000004</v>
      </c>
      <c r="I687" s="12">
        <f t="shared" si="124"/>
        <v>216.09000000000003</v>
      </c>
      <c r="J687" s="12">
        <f t="shared" si="125"/>
        <v>108.04500000000002</v>
      </c>
      <c r="K687" s="12">
        <f>E670/G687</f>
        <v>3.933333333333334</v>
      </c>
      <c r="L687" s="12">
        <f>E670*E670/G687</f>
        <v>139.24000000000004</v>
      </c>
      <c r="M687" s="12">
        <f t="shared" si="126"/>
        <v>69.620000000000019</v>
      </c>
      <c r="N687" t="s">
        <v>502</v>
      </c>
    </row>
    <row r="688" spans="1:15" x14ac:dyDescent="0.25">
      <c r="G688" s="12">
        <v>10</v>
      </c>
      <c r="H688" s="12">
        <f>E672/G688</f>
        <v>4.41</v>
      </c>
      <c r="I688" s="12">
        <f t="shared" si="124"/>
        <v>194.48099999999999</v>
      </c>
      <c r="J688" s="12">
        <f t="shared" si="125"/>
        <v>97.240499999999997</v>
      </c>
      <c r="K688" s="12">
        <f>E670/G688</f>
        <v>3.5400000000000005</v>
      </c>
      <c r="L688" s="12">
        <f>E670*E670/G688</f>
        <v>125.31600000000003</v>
      </c>
      <c r="M688" s="12">
        <f t="shared" si="126"/>
        <v>62.658000000000015</v>
      </c>
      <c r="N688" t="s">
        <v>503</v>
      </c>
    </row>
    <row r="689" spans="1:14" x14ac:dyDescent="0.25">
      <c r="A689" s="67" t="s">
        <v>584</v>
      </c>
      <c r="B689" t="s">
        <v>570</v>
      </c>
      <c r="C689" t="s">
        <v>569</v>
      </c>
      <c r="E689">
        <v>5</v>
      </c>
      <c r="F689" s="7" t="s">
        <v>18</v>
      </c>
      <c r="G689" s="12">
        <v>11</v>
      </c>
      <c r="H689" s="12">
        <f>E672/G689</f>
        <v>4.0090909090909088</v>
      </c>
      <c r="I689" s="12">
        <f t="shared" si="124"/>
        <v>176.80090909090904</v>
      </c>
      <c r="J689" s="12">
        <f t="shared" si="125"/>
        <v>88.400454545454522</v>
      </c>
      <c r="K689" s="12">
        <f>E670/G689</f>
        <v>3.2181818181818187</v>
      </c>
      <c r="L689" s="12">
        <f>E670*E670/G689</f>
        <v>113.92363636363639</v>
      </c>
      <c r="M689" s="12">
        <f t="shared" si="126"/>
        <v>56.961818181818195</v>
      </c>
      <c r="N689" t="s">
        <v>504</v>
      </c>
    </row>
    <row r="690" spans="1:14" x14ac:dyDescent="0.25">
      <c r="A690" s="67"/>
      <c r="B690" t="s">
        <v>572</v>
      </c>
      <c r="C690" t="s">
        <v>573</v>
      </c>
      <c r="E690">
        <f>2000</f>
        <v>2000</v>
      </c>
      <c r="F690" s="7" t="s">
        <v>21</v>
      </c>
      <c r="G690" s="12">
        <v>12</v>
      </c>
      <c r="H690" s="12">
        <f>E672/G690</f>
        <v>3.6750000000000003</v>
      </c>
      <c r="I690" s="12">
        <f t="shared" si="124"/>
        <v>162.06750000000002</v>
      </c>
      <c r="J690" s="12">
        <f t="shared" si="125"/>
        <v>81.033750000000012</v>
      </c>
      <c r="K690" s="12">
        <f>E670/G690</f>
        <v>2.9500000000000006</v>
      </c>
      <c r="L690" s="12">
        <f>E670*E670/G690</f>
        <v>104.43000000000002</v>
      </c>
      <c r="M690" s="12">
        <f t="shared" si="126"/>
        <v>52.215000000000011</v>
      </c>
      <c r="N690" t="s">
        <v>506</v>
      </c>
    </row>
    <row r="691" spans="1:14" x14ac:dyDescent="0.25">
      <c r="A691" s="67"/>
      <c r="B691" t="s">
        <v>571</v>
      </c>
      <c r="C691" t="s">
        <v>574</v>
      </c>
      <c r="E691">
        <f>((E689/1.23)-1)*E690</f>
        <v>6130.081300813009</v>
      </c>
      <c r="F691" s="7" t="s">
        <v>21</v>
      </c>
      <c r="G691" s="12">
        <v>13</v>
      </c>
      <c r="H691" s="12">
        <f>E672/G691</f>
        <v>3.3923076923076922</v>
      </c>
      <c r="I691" s="12">
        <f t="shared" si="124"/>
        <v>149.60076923076923</v>
      </c>
      <c r="J691" s="12">
        <f t="shared" si="125"/>
        <v>74.800384615384615</v>
      </c>
      <c r="K691" s="12">
        <f>E670/G691</f>
        <v>2.7230769230769236</v>
      </c>
      <c r="L691" s="12">
        <f>E670*E670/G691</f>
        <v>96.396923076923102</v>
      </c>
      <c r="M691" s="12">
        <f t="shared" si="126"/>
        <v>48.198461538461551</v>
      </c>
      <c r="N691" t="s">
        <v>505</v>
      </c>
    </row>
    <row r="692" spans="1:14" x14ac:dyDescent="0.25">
      <c r="A692" s="30"/>
      <c r="B692" t="s">
        <v>583</v>
      </c>
      <c r="C692" t="s">
        <v>589</v>
      </c>
      <c r="E692">
        <f>1/(31000*E691)</f>
        <v>5.26225720886455E-9</v>
      </c>
      <c r="F692" s="7" t="s">
        <v>20</v>
      </c>
      <c r="G692" s="12"/>
      <c r="H692" s="12"/>
      <c r="I692" s="12"/>
      <c r="J692" s="12"/>
      <c r="K692" s="12"/>
      <c r="L692" s="12"/>
      <c r="M692" s="12"/>
    </row>
    <row r="693" spans="1:14" x14ac:dyDescent="0.25">
      <c r="G693" s="12">
        <v>14</v>
      </c>
      <c r="H693" s="12">
        <f>E672/G693</f>
        <v>3.15</v>
      </c>
      <c r="I693" s="12">
        <f t="shared" si="124"/>
        <v>138.91499999999999</v>
      </c>
      <c r="J693" s="12">
        <f t="shared" si="125"/>
        <v>69.457499999999996</v>
      </c>
      <c r="K693" s="12">
        <f>E670/G693</f>
        <v>2.5285714285714289</v>
      </c>
      <c r="L693" s="12">
        <f>E670*E670/G693</f>
        <v>89.511428571428596</v>
      </c>
      <c r="M693" s="12">
        <f t="shared" si="126"/>
        <v>44.755714285714298</v>
      </c>
      <c r="N693" t="s">
        <v>507</v>
      </c>
    </row>
    <row r="694" spans="1:14" x14ac:dyDescent="0.25">
      <c r="A694" s="67" t="s">
        <v>585</v>
      </c>
      <c r="B694" t="s">
        <v>570</v>
      </c>
      <c r="C694" t="s">
        <v>569</v>
      </c>
      <c r="E694">
        <v>3.3</v>
      </c>
      <c r="F694" s="7" t="s">
        <v>18</v>
      </c>
    </row>
    <row r="695" spans="1:14" x14ac:dyDescent="0.25">
      <c r="A695" s="67"/>
      <c r="B695" t="s">
        <v>572</v>
      </c>
      <c r="C695" t="s">
        <v>573</v>
      </c>
      <c r="E695">
        <f>2000</f>
        <v>2000</v>
      </c>
      <c r="F695" s="7" t="s">
        <v>21</v>
      </c>
    </row>
    <row r="696" spans="1:14" x14ac:dyDescent="0.25">
      <c r="A696" s="67"/>
      <c r="B696" t="s">
        <v>571</v>
      </c>
      <c r="C696" t="s">
        <v>574</v>
      </c>
      <c r="E696">
        <f>((E694/1.23)-1)*E695</f>
        <v>3365.8536585365846</v>
      </c>
      <c r="F696" s="7" t="s">
        <v>21</v>
      </c>
    </row>
    <row r="697" spans="1:14" x14ac:dyDescent="0.25">
      <c r="B697" t="s">
        <v>583</v>
      </c>
      <c r="C697" t="s">
        <v>589</v>
      </c>
      <c r="E697">
        <f>1/(31000*E696)</f>
        <v>9.583917718560077E-9</v>
      </c>
      <c r="F697" s="7" t="s">
        <v>20</v>
      </c>
    </row>
    <row r="699" spans="1:14" x14ac:dyDescent="0.25">
      <c r="A699" s="67" t="s">
        <v>588</v>
      </c>
      <c r="B699" t="s">
        <v>570</v>
      </c>
      <c r="C699" t="s">
        <v>569</v>
      </c>
      <c r="E699">
        <v>10</v>
      </c>
      <c r="F699" s="7" t="s">
        <v>18</v>
      </c>
    </row>
    <row r="700" spans="1:14" x14ac:dyDescent="0.25">
      <c r="A700" s="67"/>
      <c r="B700" t="s">
        <v>572</v>
      </c>
      <c r="C700" t="s">
        <v>573</v>
      </c>
      <c r="E700">
        <f>2000</f>
        <v>2000</v>
      </c>
      <c r="F700" s="7" t="s">
        <v>21</v>
      </c>
    </row>
    <row r="701" spans="1:14" x14ac:dyDescent="0.25">
      <c r="A701" s="67"/>
      <c r="B701" t="s">
        <v>571</v>
      </c>
      <c r="C701" t="s">
        <v>574</v>
      </c>
      <c r="E701">
        <f>((E699/1.23)-1)*E700</f>
        <v>14260.162601626018</v>
      </c>
      <c r="F701" s="7" t="s">
        <v>21</v>
      </c>
    </row>
    <row r="702" spans="1:14" x14ac:dyDescent="0.25">
      <c r="B702" t="s">
        <v>583</v>
      </c>
      <c r="C702" t="s">
        <v>589</v>
      </c>
      <c r="E702">
        <f>1/(31000*E701)</f>
        <v>2.2621105675506673E-9</v>
      </c>
      <c r="F702" s="7" t="s">
        <v>20</v>
      </c>
    </row>
    <row r="704" spans="1:14" x14ac:dyDescent="0.25">
      <c r="A704" s="67" t="s">
        <v>586</v>
      </c>
      <c r="B704" t="s">
        <v>576</v>
      </c>
      <c r="C704" t="s">
        <v>575</v>
      </c>
      <c r="E704">
        <v>2</v>
      </c>
      <c r="F704" s="7" t="s">
        <v>18</v>
      </c>
    </row>
    <row r="705" spans="1:6" x14ac:dyDescent="0.25">
      <c r="A705" s="67"/>
      <c r="B705" t="s">
        <v>577</v>
      </c>
      <c r="C705" t="s">
        <v>578</v>
      </c>
      <c r="E705">
        <v>30</v>
      </c>
      <c r="F705" s="7" t="s">
        <v>18</v>
      </c>
    </row>
    <row r="706" spans="1:6" x14ac:dyDescent="0.25">
      <c r="A706" s="67"/>
      <c r="B706" t="s">
        <v>572</v>
      </c>
      <c r="C706" t="s">
        <v>573</v>
      </c>
      <c r="E706">
        <f>2000</f>
        <v>2000</v>
      </c>
      <c r="F706" s="7" t="s">
        <v>21</v>
      </c>
    </row>
    <row r="707" spans="1:6" x14ac:dyDescent="0.25">
      <c r="A707" s="67"/>
      <c r="B707" t="s">
        <v>582</v>
      </c>
      <c r="C707" t="s">
        <v>579</v>
      </c>
      <c r="E707">
        <f>((E704/1.23)-1)*E706</f>
        <v>1252.0325203252032</v>
      </c>
      <c r="F707" s="7" t="s">
        <v>21</v>
      </c>
    </row>
    <row r="708" spans="1:6" x14ac:dyDescent="0.25">
      <c r="A708" s="67"/>
      <c r="B708" t="s">
        <v>581</v>
      </c>
      <c r="C708" t="s">
        <v>580</v>
      </c>
      <c r="E708">
        <f>((E705/1.23)-1)*E706</f>
        <v>46780.487804878052</v>
      </c>
      <c r="F708" s="7" t="s">
        <v>21</v>
      </c>
    </row>
    <row r="709" spans="1:6" x14ac:dyDescent="0.25">
      <c r="A709" s="67"/>
      <c r="B709" t="s">
        <v>583</v>
      </c>
      <c r="C709" t="s">
        <v>589</v>
      </c>
      <c r="E709">
        <f>1/(31000*E707)</f>
        <v>2.5764558022622537E-8</v>
      </c>
      <c r="F709" s="7" t="s">
        <v>20</v>
      </c>
    </row>
    <row r="711" spans="1:6" x14ac:dyDescent="0.25">
      <c r="A711" s="67" t="s">
        <v>587</v>
      </c>
      <c r="B711" t="s">
        <v>576</v>
      </c>
      <c r="C711" t="s">
        <v>575</v>
      </c>
      <c r="E711">
        <v>9</v>
      </c>
      <c r="F711" s="7" t="s">
        <v>18</v>
      </c>
    </row>
    <row r="712" spans="1:6" x14ac:dyDescent="0.25">
      <c r="A712" s="67"/>
      <c r="B712" t="s">
        <v>577</v>
      </c>
      <c r="C712" t="s">
        <v>578</v>
      </c>
      <c r="E712">
        <v>20</v>
      </c>
      <c r="F712" s="7" t="s">
        <v>18</v>
      </c>
    </row>
    <row r="713" spans="1:6" x14ac:dyDescent="0.25">
      <c r="A713" s="67"/>
      <c r="B713" t="s">
        <v>572</v>
      </c>
      <c r="C713" t="s">
        <v>573</v>
      </c>
      <c r="E713">
        <f>2000</f>
        <v>2000</v>
      </c>
      <c r="F713" s="7" t="s">
        <v>21</v>
      </c>
    </row>
    <row r="714" spans="1:6" x14ac:dyDescent="0.25">
      <c r="A714" s="67"/>
      <c r="B714" t="s">
        <v>582</v>
      </c>
      <c r="C714" t="s">
        <v>579</v>
      </c>
      <c r="E714">
        <f>((E711/1.23)-1)*E713</f>
        <v>12634.146341463415</v>
      </c>
      <c r="F714" s="7" t="s">
        <v>21</v>
      </c>
    </row>
    <row r="715" spans="1:6" x14ac:dyDescent="0.25">
      <c r="A715" s="67"/>
      <c r="B715" t="s">
        <v>581</v>
      </c>
      <c r="C715" t="s">
        <v>580</v>
      </c>
      <c r="E715">
        <f>((E712/1.23)-1)*E713</f>
        <v>30520.325203252036</v>
      </c>
      <c r="F715" s="7" t="s">
        <v>21</v>
      </c>
    </row>
    <row r="716" spans="1:6" x14ac:dyDescent="0.25">
      <c r="A716" s="67"/>
      <c r="B716" t="s">
        <v>583</v>
      </c>
      <c r="C716" t="s">
        <v>589</v>
      </c>
      <c r="E716">
        <f>1/(31000*E714)</f>
        <v>2.5532444887283596E-9</v>
      </c>
      <c r="F716" s="7" t="s">
        <v>20</v>
      </c>
    </row>
    <row r="725" spans="1:14" x14ac:dyDescent="0.25">
      <c r="A725" s="65" t="s">
        <v>779</v>
      </c>
      <c r="C725" t="s">
        <v>791</v>
      </c>
      <c r="E725" t="s">
        <v>792</v>
      </c>
      <c r="G725" t="s">
        <v>793</v>
      </c>
    </row>
    <row r="726" spans="1:14" x14ac:dyDescent="0.25">
      <c r="A726" s="65"/>
      <c r="B726" t="s">
        <v>780</v>
      </c>
      <c r="E726">
        <f>PI()*0.0000004</f>
        <v>1.2566370614359173E-6</v>
      </c>
      <c r="F726" s="7" t="s">
        <v>192</v>
      </c>
      <c r="G726">
        <f t="shared" ref="G726:N726" si="127">$E726</f>
        <v>1.2566370614359173E-6</v>
      </c>
      <c r="H726">
        <f t="shared" si="127"/>
        <v>1.2566370614359173E-6</v>
      </c>
      <c r="I726">
        <f t="shared" si="127"/>
        <v>1.2566370614359173E-6</v>
      </c>
      <c r="J726">
        <f t="shared" si="127"/>
        <v>1.2566370614359173E-6</v>
      </c>
      <c r="K726">
        <f t="shared" si="127"/>
        <v>1.2566370614359173E-6</v>
      </c>
      <c r="L726">
        <f t="shared" si="127"/>
        <v>1.2566370614359173E-6</v>
      </c>
      <c r="M726">
        <f t="shared" si="127"/>
        <v>1.2566370614359173E-6</v>
      </c>
      <c r="N726">
        <f t="shared" si="127"/>
        <v>1.2566370614359173E-6</v>
      </c>
    </row>
    <row r="727" spans="1:14" x14ac:dyDescent="0.25">
      <c r="A727" s="65"/>
      <c r="B727" t="s">
        <v>781</v>
      </c>
      <c r="C727" t="s">
        <v>827</v>
      </c>
      <c r="E727">
        <v>6.0000000000000001E-3</v>
      </c>
      <c r="F727" s="7" t="s">
        <v>192</v>
      </c>
    </row>
    <row r="728" spans="1:14" x14ac:dyDescent="0.25">
      <c r="A728" s="65"/>
      <c r="B728" t="s">
        <v>122</v>
      </c>
      <c r="C728" t="s">
        <v>826</v>
      </c>
      <c r="E728">
        <v>0.04</v>
      </c>
      <c r="F728" s="7" t="s">
        <v>192</v>
      </c>
    </row>
    <row r="729" spans="1:14" x14ac:dyDescent="0.25">
      <c r="A729" s="65"/>
      <c r="C729" t="s">
        <v>828</v>
      </c>
      <c r="E729">
        <f>2*E727/E728</f>
        <v>0.3</v>
      </c>
      <c r="F729" s="7"/>
    </row>
    <row r="730" spans="1:14" x14ac:dyDescent="0.25">
      <c r="A730" s="65"/>
      <c r="C730" t="s">
        <v>829</v>
      </c>
      <c r="E730">
        <f>1/E729</f>
        <v>3.3333333333333335</v>
      </c>
      <c r="F730" s="7"/>
    </row>
    <row r="731" spans="1:14" x14ac:dyDescent="0.25">
      <c r="A731" s="65"/>
      <c r="C731" t="s">
        <v>830</v>
      </c>
      <c r="E731">
        <f>POWER(E729, 2)</f>
        <v>0.09</v>
      </c>
      <c r="F731" s="7"/>
    </row>
    <row r="732" spans="1:14" x14ac:dyDescent="0.25">
      <c r="A732" s="65"/>
      <c r="C732" t="s">
        <v>831</v>
      </c>
      <c r="E732">
        <f>1/E731</f>
        <v>11.111111111111111</v>
      </c>
      <c r="F732" s="7"/>
    </row>
    <row r="733" spans="1:14" x14ac:dyDescent="0.25">
      <c r="A733" s="65"/>
      <c r="F733" s="7"/>
    </row>
    <row r="734" spans="1:14" x14ac:dyDescent="0.25">
      <c r="A734" s="65"/>
      <c r="B734" t="s">
        <v>783</v>
      </c>
      <c r="C734" t="s">
        <v>784</v>
      </c>
      <c r="E734">
        <f>(E726/(4*PI()))*(LN(E729+SQRT(1+E731)) - SQRT(1+E732)+E730)</f>
        <v>1.4890421125990595E-8</v>
      </c>
      <c r="F734" t="s">
        <v>141</v>
      </c>
      <c r="G734">
        <f t="shared" ref="G734:N734" si="128">(G726/(4*PI()))*(LN(G729+SQRT(1+G731)) - SQRT(1+G732)+G730)</f>
        <v>-1.0000000000000001E-7</v>
      </c>
      <c r="H734">
        <f t="shared" si="128"/>
        <v>-1.0000000000000001E-7</v>
      </c>
      <c r="I734">
        <f t="shared" si="128"/>
        <v>-1.0000000000000001E-7</v>
      </c>
      <c r="J734">
        <f t="shared" si="128"/>
        <v>-1.0000000000000001E-7</v>
      </c>
      <c r="K734">
        <f t="shared" si="128"/>
        <v>-1.0000000000000001E-7</v>
      </c>
      <c r="L734">
        <f t="shared" si="128"/>
        <v>-1.0000000000000001E-7</v>
      </c>
      <c r="M734">
        <f t="shared" si="128"/>
        <v>-1.0000000000000001E-7</v>
      </c>
      <c r="N734">
        <f t="shared" si="128"/>
        <v>-1.0000000000000001E-7</v>
      </c>
    </row>
    <row r="735" spans="1:14" x14ac:dyDescent="0.25">
      <c r="A735" s="65"/>
      <c r="B735" t="s">
        <v>785</v>
      </c>
      <c r="C735" t="s">
        <v>786</v>
      </c>
      <c r="E735">
        <f>22*16000*4</f>
        <v>1408000</v>
      </c>
    </row>
    <row r="736" spans="1:14" x14ac:dyDescent="0.25">
      <c r="A736" s="65"/>
      <c r="B736" s="43" t="s">
        <v>789</v>
      </c>
      <c r="C736" t="s">
        <v>790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</row>
    <row r="737" spans="1:14" x14ac:dyDescent="0.25">
      <c r="A737" s="65"/>
      <c r="B737" t="s">
        <v>788</v>
      </c>
      <c r="C737" t="s">
        <v>787</v>
      </c>
      <c r="E737">
        <f>E735*COS(E736)*E734</f>
        <v>2.096571294539476E-2</v>
      </c>
      <c r="F737" t="e">
        <f t="shared" ref="F737:N737" si="129">F735*COS(F736)*F734</f>
        <v>#VALUE!</v>
      </c>
      <c r="G737">
        <f t="shared" si="129"/>
        <v>0</v>
      </c>
      <c r="H737">
        <f t="shared" si="129"/>
        <v>0</v>
      </c>
      <c r="I737">
        <f t="shared" si="129"/>
        <v>0</v>
      </c>
      <c r="J737">
        <f t="shared" si="129"/>
        <v>0</v>
      </c>
      <c r="K737">
        <f t="shared" si="129"/>
        <v>0</v>
      </c>
      <c r="L737">
        <f t="shared" si="129"/>
        <v>0</v>
      </c>
      <c r="M737">
        <f t="shared" si="129"/>
        <v>0</v>
      </c>
      <c r="N737">
        <f t="shared" si="129"/>
        <v>0</v>
      </c>
    </row>
    <row r="738" spans="1:14" x14ac:dyDescent="0.25">
      <c r="A738" s="24"/>
    </row>
    <row r="739" spans="1:14" x14ac:dyDescent="0.25">
      <c r="A739" s="65" t="s">
        <v>801</v>
      </c>
      <c r="B739" t="s">
        <v>802</v>
      </c>
      <c r="C739" t="s">
        <v>803</v>
      </c>
      <c r="E739">
        <v>1.4999999999999999E-2</v>
      </c>
      <c r="F739" t="s">
        <v>192</v>
      </c>
    </row>
    <row r="740" spans="1:14" x14ac:dyDescent="0.25">
      <c r="A740" s="65"/>
      <c r="B740" t="s">
        <v>782</v>
      </c>
      <c r="C740" t="s">
        <v>804</v>
      </c>
      <c r="E740">
        <v>1E-3</v>
      </c>
      <c r="F740" t="s">
        <v>192</v>
      </c>
    </row>
    <row r="741" spans="1:14" x14ac:dyDescent="0.25">
      <c r="A741" s="65"/>
      <c r="B741" t="s">
        <v>805</v>
      </c>
      <c r="C741" t="s">
        <v>806</v>
      </c>
      <c r="E741">
        <v>1.6000000000000001E-3</v>
      </c>
      <c r="F741" t="s">
        <v>192</v>
      </c>
    </row>
    <row r="742" spans="1:14" x14ac:dyDescent="0.25">
      <c r="A742" s="65"/>
      <c r="B742" t="s">
        <v>807</v>
      </c>
      <c r="E742">
        <f>0.00000000508*E739*(LN(2*E739/(E740+E741))+0.5+(0.2235*(E740+E741)/E739))</f>
        <v>2.2741325637156556E-10</v>
      </c>
      <c r="F742" t="s">
        <v>141</v>
      </c>
    </row>
    <row r="743" spans="1:14" x14ac:dyDescent="0.25">
      <c r="A743" s="65"/>
    </row>
    <row r="744" spans="1:14" x14ac:dyDescent="0.25">
      <c r="A744" s="65"/>
    </row>
    <row r="745" spans="1:14" x14ac:dyDescent="0.25">
      <c r="A745" s="65"/>
    </row>
    <row r="747" spans="1:14" x14ac:dyDescent="0.25">
      <c r="A747" s="65" t="s">
        <v>832</v>
      </c>
      <c r="B747" t="s">
        <v>833</v>
      </c>
      <c r="C747" t="s">
        <v>833</v>
      </c>
      <c r="E747" s="34" t="b">
        <v>0</v>
      </c>
    </row>
    <row r="748" spans="1:14" x14ac:dyDescent="0.25">
      <c r="A748" s="65"/>
      <c r="B748" t="s">
        <v>316</v>
      </c>
      <c r="E748" s="18">
        <f>IF(E747, 0.024, 0.048)</f>
        <v>4.8000000000000001E-2</v>
      </c>
    </row>
    <row r="749" spans="1:14" x14ac:dyDescent="0.25">
      <c r="A749" s="65"/>
      <c r="B749" t="s">
        <v>834</v>
      </c>
      <c r="C749" t="s">
        <v>839</v>
      </c>
      <c r="E749" s="34">
        <f>22/SQRT(3)</f>
        <v>12.701705922171767</v>
      </c>
      <c r="F749" t="s">
        <v>17</v>
      </c>
    </row>
    <row r="750" spans="1:14" x14ac:dyDescent="0.25">
      <c r="A750" s="65"/>
      <c r="B750" s="43" t="s">
        <v>426</v>
      </c>
      <c r="C750" t="s">
        <v>835</v>
      </c>
      <c r="E750">
        <v>10</v>
      </c>
      <c r="F750" t="s">
        <v>233</v>
      </c>
    </row>
    <row r="751" spans="1:14" x14ac:dyDescent="0.25">
      <c r="A751" s="65"/>
      <c r="C751" t="s">
        <v>838</v>
      </c>
      <c r="E751">
        <v>2</v>
      </c>
    </row>
    <row r="752" spans="1:14" x14ac:dyDescent="0.25">
      <c r="A752" s="65"/>
      <c r="B752" t="s">
        <v>17</v>
      </c>
      <c r="C752" t="s">
        <v>836</v>
      </c>
      <c r="E752">
        <f>POWER(E749/(E748*POWER(E750, 0.44)), (1/0.725))</f>
        <v>542.8119517712156</v>
      </c>
      <c r="F752" t="s">
        <v>837</v>
      </c>
    </row>
    <row r="753" spans="1:6" x14ac:dyDescent="0.25">
      <c r="A753" s="65"/>
      <c r="C753" t="s">
        <v>840</v>
      </c>
      <c r="E753">
        <f>E752/(E751*1.378*39.37)</f>
        <v>5.0027036102653044</v>
      </c>
      <c r="F753" t="s">
        <v>120</v>
      </c>
    </row>
  </sheetData>
  <mergeCells count="32">
    <mergeCell ref="A569:A597"/>
    <mergeCell ref="A423:A463"/>
    <mergeCell ref="A599:A621"/>
    <mergeCell ref="A63:A79"/>
    <mergeCell ref="G31:K39"/>
    <mergeCell ref="A150:A157"/>
    <mergeCell ref="A214:A232"/>
    <mergeCell ref="A739:A745"/>
    <mergeCell ref="A747:A753"/>
    <mergeCell ref="A671:A685"/>
    <mergeCell ref="A409:A421"/>
    <mergeCell ref="A551:A563"/>
    <mergeCell ref="A465:A536"/>
    <mergeCell ref="A689:A691"/>
    <mergeCell ref="A694:A696"/>
    <mergeCell ref="A699:A701"/>
    <mergeCell ref="A704:A709"/>
    <mergeCell ref="A725:A737"/>
    <mergeCell ref="H140:M140"/>
    <mergeCell ref="A711:A716"/>
    <mergeCell ref="A637:A662"/>
    <mergeCell ref="A21:A28"/>
    <mergeCell ref="A30:A53"/>
    <mergeCell ref="A82:A110"/>
    <mergeCell ref="A261:A297"/>
    <mergeCell ref="A623:A635"/>
    <mergeCell ref="A299:A407"/>
    <mergeCell ref="M126:Q126"/>
    <mergeCell ref="A188:A212"/>
    <mergeCell ref="A159:A185"/>
    <mergeCell ref="A113:A148"/>
    <mergeCell ref="G20:J23"/>
  </mergeCells>
  <conditionalFormatting sqref="D137">
    <cfRule type="cellIs" dxfId="15" priority="21" operator="notEqual">
      <formula>FALSE</formula>
    </cfRule>
    <cfRule type="cellIs" dxfId="14" priority="22" operator="equal">
      <formula>FALSE</formula>
    </cfRule>
  </conditionalFormatting>
  <conditionalFormatting sqref="E667">
    <cfRule type="cellIs" dxfId="13" priority="19" operator="notEqual">
      <formula>TRUE</formula>
    </cfRule>
    <cfRule type="cellIs" dxfId="12" priority="20" operator="equal">
      <formula>TRUE</formula>
    </cfRule>
  </conditionalFormatting>
  <conditionalFormatting sqref="D51">
    <cfRule type="cellIs" dxfId="11" priority="17" operator="equal">
      <formula>TRUE</formula>
    </cfRule>
    <cfRule type="cellIs" dxfId="10" priority="18" operator="notEqual">
      <formula>TRUE</formula>
    </cfRule>
  </conditionalFormatting>
  <conditionalFormatting sqref="D15">
    <cfRule type="cellIs" dxfId="9" priority="15" operator="notEqual">
      <formula>TRUE</formula>
    </cfRule>
    <cfRule type="cellIs" dxfId="8" priority="16" operator="equal">
      <formula>TRUE</formula>
    </cfRule>
  </conditionalFormatting>
  <conditionalFormatting sqref="D79">
    <cfRule type="cellIs" dxfId="7" priority="13" operator="notEqual">
      <formula>TRUE</formula>
    </cfRule>
    <cfRule type="cellIs" dxfId="6" priority="14" operator="equal">
      <formula>TRUE</formula>
    </cfRule>
  </conditionalFormatting>
  <conditionalFormatting sqref="D53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D143">
    <cfRule type="cellIs" dxfId="3" priority="5" operator="notEqual">
      <formula>TRUE</formula>
    </cfRule>
    <cfRule type="cellIs" dxfId="2" priority="6" operator="equal">
      <formula>TRUE</formula>
    </cfRule>
  </conditionalFormatting>
  <conditionalFormatting sqref="D146">
    <cfRule type="cellIs" dxfId="1" priority="3" operator="notEqual">
      <formula>FALSE</formula>
    </cfRule>
    <cfRule type="cellIs" dxfId="0" priority="4" operator="equal">
      <formula>FALSE</formula>
    </cfRule>
  </conditionalFormatting>
  <hyperlinks>
    <hyperlink ref="G97" r:id="rId1"/>
    <hyperlink ref="F320" r:id="rId2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111</v>
      </c>
      <c r="C2" t="s">
        <v>56</v>
      </c>
      <c r="D2" t="s">
        <v>16</v>
      </c>
    </row>
    <row r="3" spans="2:4" x14ac:dyDescent="0.25">
      <c r="B3" t="s">
        <v>117</v>
      </c>
      <c r="C3">
        <v>0.02</v>
      </c>
    </row>
    <row r="4" spans="2:4" x14ac:dyDescent="0.25">
      <c r="B4" t="s">
        <v>118</v>
      </c>
      <c r="C4">
        <v>25.4</v>
      </c>
    </row>
    <row r="5" spans="2:4" x14ac:dyDescent="0.25">
      <c r="B5" t="s">
        <v>119</v>
      </c>
      <c r="C5">
        <f>0.6*C4</f>
        <v>15.239999999999998</v>
      </c>
      <c r="D5" t="s">
        <v>120</v>
      </c>
    </row>
    <row r="6" spans="2:4" x14ac:dyDescent="0.25">
      <c r="B6" t="s">
        <v>121</v>
      </c>
      <c r="C6">
        <f>C5*(1+C3)</f>
        <v>15.544799999999999</v>
      </c>
      <c r="D6" t="s">
        <v>120</v>
      </c>
    </row>
    <row r="7" spans="2:4" x14ac:dyDescent="0.25">
      <c r="B7" t="s">
        <v>122</v>
      </c>
      <c r="C7">
        <f>0.032*C4</f>
        <v>0.81279999999999997</v>
      </c>
      <c r="D7" t="s">
        <v>120</v>
      </c>
    </row>
    <row r="8" spans="2:4" x14ac:dyDescent="0.25">
      <c r="B8" t="s">
        <v>123</v>
      </c>
      <c r="C8">
        <f>C7*(1+C3)</f>
        <v>0.82905600000000002</v>
      </c>
      <c r="D8" t="s">
        <v>120</v>
      </c>
    </row>
    <row r="9" spans="2:4" x14ac:dyDescent="0.25">
      <c r="B9" t="s">
        <v>124</v>
      </c>
      <c r="C9">
        <f>0.17*C4</f>
        <v>4.3180000000000005</v>
      </c>
      <c r="D9" t="s">
        <v>120</v>
      </c>
    </row>
    <row r="10" spans="2:4" x14ac:dyDescent="0.25">
      <c r="B10" s="11" t="s">
        <v>35</v>
      </c>
      <c r="C10" s="11">
        <f>C9*(1+C3)</f>
        <v>4.4043600000000005</v>
      </c>
      <c r="D10" s="11" t="s">
        <v>120</v>
      </c>
    </row>
    <row r="11" spans="2:4" x14ac:dyDescent="0.25">
      <c r="B11" s="9" t="s">
        <v>125</v>
      </c>
      <c r="C11" s="9">
        <v>5</v>
      </c>
      <c r="D11" s="9" t="s">
        <v>120</v>
      </c>
    </row>
    <row r="12" spans="2:4" x14ac:dyDescent="0.25">
      <c r="B12" t="s">
        <v>126</v>
      </c>
      <c r="C12">
        <v>5</v>
      </c>
      <c r="D12" t="s">
        <v>120</v>
      </c>
    </row>
    <row r="13" spans="2:4" x14ac:dyDescent="0.25">
      <c r="B13" s="10" t="s">
        <v>127</v>
      </c>
      <c r="C13" s="10">
        <f>C6+(2*C12)</f>
        <v>25.544799999999999</v>
      </c>
      <c r="D13" s="10" t="s">
        <v>120</v>
      </c>
    </row>
    <row r="14" spans="2:4" x14ac:dyDescent="0.25">
      <c r="B14" t="s">
        <v>128</v>
      </c>
      <c r="C14">
        <f>C7+0.2</f>
        <v>1.0127999999999999</v>
      </c>
      <c r="D14" t="s">
        <v>120</v>
      </c>
    </row>
    <row r="15" spans="2:4" x14ac:dyDescent="0.25">
      <c r="B15" t="s">
        <v>129</v>
      </c>
      <c r="C15">
        <f>C8+0.3</f>
        <v>1.1290560000000001</v>
      </c>
      <c r="D15" t="s">
        <v>120</v>
      </c>
    </row>
    <row r="16" spans="2:4" x14ac:dyDescent="0.25">
      <c r="B16" s="10" t="s">
        <v>133</v>
      </c>
      <c r="C16" s="10">
        <v>1.1000000000000001</v>
      </c>
      <c r="D16" s="10" t="s">
        <v>120</v>
      </c>
    </row>
    <row r="17" spans="2:4" x14ac:dyDescent="0.25">
      <c r="B17" t="s">
        <v>130</v>
      </c>
      <c r="C17">
        <f>C16+(2*0.3)</f>
        <v>1.7000000000000002</v>
      </c>
      <c r="D17" t="s">
        <v>120</v>
      </c>
    </row>
    <row r="18" spans="2:4" x14ac:dyDescent="0.25">
      <c r="B18" t="s">
        <v>131</v>
      </c>
      <c r="C18">
        <f>C16+(2*0.5)</f>
        <v>2.1</v>
      </c>
      <c r="D18" t="s">
        <v>120</v>
      </c>
    </row>
    <row r="19" spans="2:4" x14ac:dyDescent="0.25">
      <c r="B19" t="s">
        <v>132</v>
      </c>
      <c r="C19">
        <f>C16+(2*0.7)</f>
        <v>2.5</v>
      </c>
      <c r="D19" t="s">
        <v>120</v>
      </c>
    </row>
    <row r="20" spans="2:4" x14ac:dyDescent="0.25">
      <c r="B20" s="10" t="s">
        <v>134</v>
      </c>
      <c r="C20" s="10">
        <v>2.5</v>
      </c>
      <c r="D20" s="10" t="s">
        <v>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70" t="s">
        <v>136</v>
      </c>
      <c r="B1" s="70"/>
    </row>
    <row r="18" spans="3:5" x14ac:dyDescent="0.25">
      <c r="C18" s="71" t="s">
        <v>148</v>
      </c>
      <c r="D18" s="72"/>
      <c r="E18" s="73"/>
    </row>
    <row r="19" spans="3:5" x14ac:dyDescent="0.25">
      <c r="C19" s="12" t="s">
        <v>20</v>
      </c>
      <c r="D19" s="12">
        <v>12</v>
      </c>
      <c r="E19" s="12" t="s">
        <v>120</v>
      </c>
    </row>
    <row r="20" spans="3:5" x14ac:dyDescent="0.25">
      <c r="C20" s="12" t="s">
        <v>137</v>
      </c>
      <c r="D20" s="12">
        <f>D19+0.5</f>
        <v>12.5</v>
      </c>
      <c r="E20" s="12" t="s">
        <v>120</v>
      </c>
    </row>
    <row r="21" spans="3:5" x14ac:dyDescent="0.25">
      <c r="C21" s="12" t="s">
        <v>35</v>
      </c>
      <c r="D21" s="12">
        <v>19.399999999999999</v>
      </c>
      <c r="E21" s="12" t="s">
        <v>120</v>
      </c>
    </row>
    <row r="22" spans="3:5" x14ac:dyDescent="0.25">
      <c r="C22" s="12" t="s">
        <v>135</v>
      </c>
      <c r="D22" s="12">
        <v>7.9</v>
      </c>
      <c r="E22" s="12" t="s">
        <v>120</v>
      </c>
    </row>
    <row r="23" spans="3:5" x14ac:dyDescent="0.25">
      <c r="C23" s="12" t="s">
        <v>122</v>
      </c>
      <c r="D23" s="12">
        <v>0.8</v>
      </c>
      <c r="E23" s="12" t="s">
        <v>120</v>
      </c>
    </row>
    <row r="24" spans="3:5" x14ac:dyDescent="0.25">
      <c r="C24" s="12" t="s">
        <v>128</v>
      </c>
      <c r="D24" s="12">
        <f>D23+0.2</f>
        <v>1</v>
      </c>
      <c r="E24" s="12" t="s">
        <v>120</v>
      </c>
    </row>
    <row r="25" spans="3:5" x14ac:dyDescent="0.25">
      <c r="C25" s="12" t="s">
        <v>129</v>
      </c>
      <c r="D25" s="12">
        <f>D23+0.3</f>
        <v>1.1000000000000001</v>
      </c>
      <c r="E25" s="12" t="s">
        <v>120</v>
      </c>
    </row>
    <row r="26" spans="3:5" x14ac:dyDescent="0.25">
      <c r="C26" s="14" t="s">
        <v>133</v>
      </c>
      <c r="D26" s="14">
        <v>1.1000000000000001</v>
      </c>
      <c r="E26" s="14" t="s">
        <v>120</v>
      </c>
    </row>
    <row r="27" spans="3:5" x14ac:dyDescent="0.25">
      <c r="C27" s="12" t="s">
        <v>130</v>
      </c>
      <c r="D27" s="12">
        <f>D26+(2*0.3)</f>
        <v>1.7000000000000002</v>
      </c>
      <c r="E27" s="12" t="s">
        <v>120</v>
      </c>
    </row>
    <row r="28" spans="3:5" x14ac:dyDescent="0.25">
      <c r="C28" s="12" t="s">
        <v>131</v>
      </c>
      <c r="D28" s="12">
        <f>D26+(2*0.5)</f>
        <v>2.1</v>
      </c>
      <c r="E28" s="12" t="s">
        <v>120</v>
      </c>
    </row>
    <row r="29" spans="3:5" x14ac:dyDescent="0.25">
      <c r="C29" s="12" t="s">
        <v>132</v>
      </c>
      <c r="D29" s="12">
        <f>D26+(2*0.7)</f>
        <v>2.5</v>
      </c>
      <c r="E29" s="12" t="s">
        <v>120</v>
      </c>
    </row>
    <row r="30" spans="3:5" x14ac:dyDescent="0.25">
      <c r="C30" s="14" t="s">
        <v>134</v>
      </c>
      <c r="D30" s="14">
        <v>2.5</v>
      </c>
      <c r="E30" s="14" t="s">
        <v>120</v>
      </c>
    </row>
    <row r="31" spans="3:5" x14ac:dyDescent="0.25">
      <c r="C31" s="12" t="s">
        <v>138</v>
      </c>
      <c r="D31" s="12">
        <v>1</v>
      </c>
      <c r="E31" s="12" t="s">
        <v>120</v>
      </c>
    </row>
    <row r="32" spans="3:5" x14ac:dyDescent="0.25">
      <c r="C32" s="12" t="s">
        <v>139</v>
      </c>
      <c r="D32" s="12">
        <f>CEILING((2*D31)+D21, 1)</f>
        <v>22</v>
      </c>
      <c r="E32" s="12" t="s">
        <v>120</v>
      </c>
    </row>
    <row r="33" spans="3:5" x14ac:dyDescent="0.25">
      <c r="C33" s="12" t="s">
        <v>140</v>
      </c>
      <c r="D33" s="12">
        <f>CEILING((2*D31)+D22, 1)</f>
        <v>10</v>
      </c>
      <c r="E33" s="12" t="s">
        <v>120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70" t="s">
        <v>147</v>
      </c>
      <c r="B1" s="70"/>
    </row>
    <row r="17" spans="1:4" x14ac:dyDescent="0.25">
      <c r="B17" s="71" t="s">
        <v>148</v>
      </c>
      <c r="C17" s="72"/>
      <c r="D17" s="73"/>
    </row>
    <row r="18" spans="1:4" x14ac:dyDescent="0.25">
      <c r="B18" s="12" t="s">
        <v>143</v>
      </c>
      <c r="C18" s="12">
        <v>8</v>
      </c>
      <c r="D18" s="12" t="s">
        <v>120</v>
      </c>
    </row>
    <row r="19" spans="1:4" x14ac:dyDescent="0.25">
      <c r="B19" s="12" t="s">
        <v>144</v>
      </c>
      <c r="C19" s="12">
        <f>C18+0.5</f>
        <v>8.5</v>
      </c>
      <c r="D19" s="12" t="s">
        <v>120</v>
      </c>
    </row>
    <row r="20" spans="1:4" x14ac:dyDescent="0.25">
      <c r="B20" s="12" t="s">
        <v>119</v>
      </c>
      <c r="C20" s="12">
        <v>10</v>
      </c>
      <c r="D20" s="12" t="s">
        <v>120</v>
      </c>
    </row>
    <row r="21" spans="1:4" x14ac:dyDescent="0.25">
      <c r="A21" s="13"/>
      <c r="B21" s="12" t="s">
        <v>121</v>
      </c>
      <c r="C21" s="12">
        <f>C20+2</f>
        <v>12</v>
      </c>
      <c r="D21" s="12" t="s">
        <v>120</v>
      </c>
    </row>
    <row r="22" spans="1:4" x14ac:dyDescent="0.25">
      <c r="B22" s="12" t="s">
        <v>141</v>
      </c>
      <c r="C22" s="12">
        <v>2</v>
      </c>
      <c r="D22" s="12"/>
    </row>
    <row r="23" spans="1:4" x14ac:dyDescent="0.25">
      <c r="B23" s="12" t="s">
        <v>142</v>
      </c>
      <c r="C23" s="12">
        <f>C22+1</f>
        <v>3</v>
      </c>
      <c r="D23" s="12" t="s">
        <v>120</v>
      </c>
    </row>
    <row r="24" spans="1:4" x14ac:dyDescent="0.25">
      <c r="B24" s="12" t="s">
        <v>122</v>
      </c>
      <c r="C24" s="12">
        <v>0.6</v>
      </c>
      <c r="D24" s="12" t="s">
        <v>120</v>
      </c>
    </row>
    <row r="25" spans="1:4" x14ac:dyDescent="0.25">
      <c r="B25" s="12" t="s">
        <v>123</v>
      </c>
      <c r="C25" s="12">
        <f>C24+0.2</f>
        <v>0.8</v>
      </c>
      <c r="D25" s="12" t="s">
        <v>120</v>
      </c>
    </row>
    <row r="26" spans="1:4" x14ac:dyDescent="0.25">
      <c r="B26" s="12" t="s">
        <v>128</v>
      </c>
      <c r="C26" s="12">
        <f>C25+0.2</f>
        <v>1</v>
      </c>
      <c r="D26" s="12" t="s">
        <v>120</v>
      </c>
    </row>
    <row r="27" spans="1:4" x14ac:dyDescent="0.25">
      <c r="B27" s="12" t="s">
        <v>129</v>
      </c>
      <c r="C27" s="12">
        <f>C25+0.3</f>
        <v>1.1000000000000001</v>
      </c>
      <c r="D27" s="12" t="s">
        <v>120</v>
      </c>
    </row>
    <row r="28" spans="1:4" x14ac:dyDescent="0.25">
      <c r="B28" s="14" t="s">
        <v>133</v>
      </c>
      <c r="C28" s="14">
        <v>1</v>
      </c>
      <c r="D28" s="14" t="s">
        <v>120</v>
      </c>
    </row>
    <row r="29" spans="1:4" x14ac:dyDescent="0.25">
      <c r="B29" s="12" t="s">
        <v>130</v>
      </c>
      <c r="C29" s="12">
        <f>C28+(2*0.3)</f>
        <v>1.6</v>
      </c>
      <c r="D29" s="12" t="s">
        <v>120</v>
      </c>
    </row>
    <row r="30" spans="1:4" x14ac:dyDescent="0.25">
      <c r="B30" s="12" t="s">
        <v>131</v>
      </c>
      <c r="C30" s="12">
        <f>C28+(2*0.5)</f>
        <v>2</v>
      </c>
      <c r="D30" s="12" t="s">
        <v>120</v>
      </c>
    </row>
    <row r="31" spans="1:4" x14ac:dyDescent="0.25">
      <c r="B31" s="12" t="s">
        <v>132</v>
      </c>
      <c r="C31" s="12">
        <f>C28+(2*0.7)</f>
        <v>2.4</v>
      </c>
      <c r="D31" s="12" t="s">
        <v>120</v>
      </c>
    </row>
    <row r="32" spans="1:4" x14ac:dyDescent="0.25">
      <c r="B32" s="14" t="s">
        <v>134</v>
      </c>
      <c r="C32" s="14">
        <v>2.4</v>
      </c>
      <c r="D32" s="14" t="s">
        <v>120</v>
      </c>
    </row>
    <row r="33" spans="2:4" x14ac:dyDescent="0.25">
      <c r="B33" s="12" t="s">
        <v>138</v>
      </c>
      <c r="C33" s="12">
        <v>1</v>
      </c>
      <c r="D33" s="12" t="s">
        <v>120</v>
      </c>
    </row>
    <row r="34" spans="2:4" x14ac:dyDescent="0.25">
      <c r="B34" s="12" t="s">
        <v>139</v>
      </c>
      <c r="C34" s="12">
        <f>CEILING((2*C33)+C21, 1)</f>
        <v>14</v>
      </c>
      <c r="D34" s="12" t="s">
        <v>120</v>
      </c>
    </row>
    <row r="35" spans="2:4" x14ac:dyDescent="0.25">
      <c r="B35" s="12" t="s">
        <v>140</v>
      </c>
      <c r="C35" s="12">
        <f>CEILING((2*C33)+C23, 1)</f>
        <v>5</v>
      </c>
      <c r="D35" s="12" t="s">
        <v>120</v>
      </c>
    </row>
    <row r="36" spans="2:4" x14ac:dyDescent="0.25">
      <c r="B36" s="15" t="s">
        <v>145</v>
      </c>
      <c r="C36" s="15">
        <f>C19</f>
        <v>8.5</v>
      </c>
      <c r="D36" s="15" t="s">
        <v>120</v>
      </c>
    </row>
    <row r="37" spans="2:4" x14ac:dyDescent="0.25">
      <c r="B37" s="16" t="s">
        <v>146</v>
      </c>
      <c r="C37" s="16">
        <f>C36-C32</f>
        <v>6.1</v>
      </c>
      <c r="D37" s="16" t="s">
        <v>120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37"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70" t="s">
        <v>153</v>
      </c>
      <c r="B1" s="70"/>
    </row>
    <row r="17" spans="1:4" x14ac:dyDescent="0.25">
      <c r="B17" s="71" t="s">
        <v>148</v>
      </c>
      <c r="C17" s="72"/>
      <c r="D17" s="73"/>
    </row>
    <row r="18" spans="1:4" x14ac:dyDescent="0.25">
      <c r="B18" s="12" t="s">
        <v>143</v>
      </c>
      <c r="C18" s="12">
        <v>46</v>
      </c>
      <c r="D18" s="12" t="s">
        <v>120</v>
      </c>
    </row>
    <row r="19" spans="1:4" x14ac:dyDescent="0.25">
      <c r="B19" s="12" t="s">
        <v>144</v>
      </c>
      <c r="C19" s="12">
        <f>C18+0.5</f>
        <v>46.5</v>
      </c>
      <c r="D19" s="12" t="s">
        <v>120</v>
      </c>
    </row>
    <row r="20" spans="1:4" x14ac:dyDescent="0.25">
      <c r="B20" s="12" t="s">
        <v>119</v>
      </c>
      <c r="C20" s="12">
        <v>50</v>
      </c>
      <c r="D20" s="12" t="s">
        <v>120</v>
      </c>
    </row>
    <row r="21" spans="1:4" x14ac:dyDescent="0.25">
      <c r="A21" s="13"/>
      <c r="B21" s="12" t="s">
        <v>121</v>
      </c>
      <c r="C21" s="12">
        <f>C20+2</f>
        <v>52</v>
      </c>
      <c r="D21" s="12" t="s">
        <v>120</v>
      </c>
    </row>
    <row r="22" spans="1:4" x14ac:dyDescent="0.25">
      <c r="B22" s="12" t="s">
        <v>141</v>
      </c>
      <c r="C22" s="12">
        <v>2</v>
      </c>
      <c r="D22" s="12"/>
    </row>
    <row r="23" spans="1:4" x14ac:dyDescent="0.25">
      <c r="B23" s="12" t="s">
        <v>142</v>
      </c>
      <c r="C23" s="12">
        <f>C22+1</f>
        <v>3</v>
      </c>
      <c r="D23" s="12" t="s">
        <v>120</v>
      </c>
    </row>
    <row r="24" spans="1:4" x14ac:dyDescent="0.25">
      <c r="B24" s="12" t="s">
        <v>122</v>
      </c>
      <c r="C24" s="12">
        <v>0.8</v>
      </c>
      <c r="D24" s="12" t="s">
        <v>120</v>
      </c>
    </row>
    <row r="25" spans="1:4" x14ac:dyDescent="0.25">
      <c r="B25" s="12" t="s">
        <v>123</v>
      </c>
      <c r="C25" s="12">
        <f>C24+0.2</f>
        <v>1</v>
      </c>
      <c r="D25" s="12" t="s">
        <v>120</v>
      </c>
    </row>
    <row r="26" spans="1:4" x14ac:dyDescent="0.25">
      <c r="B26" s="12" t="s">
        <v>128</v>
      </c>
      <c r="C26" s="12">
        <f>C25+0.2</f>
        <v>1.2</v>
      </c>
      <c r="D26" s="12" t="s">
        <v>120</v>
      </c>
    </row>
    <row r="27" spans="1:4" x14ac:dyDescent="0.25">
      <c r="B27" s="12" t="s">
        <v>129</v>
      </c>
      <c r="C27" s="12">
        <f>C25+0.3</f>
        <v>1.3</v>
      </c>
      <c r="D27" s="12" t="s">
        <v>120</v>
      </c>
    </row>
    <row r="28" spans="1:4" x14ac:dyDescent="0.25">
      <c r="B28" s="14" t="s">
        <v>133</v>
      </c>
      <c r="C28" s="14">
        <v>1.2</v>
      </c>
      <c r="D28" s="14" t="s">
        <v>120</v>
      </c>
    </row>
    <row r="29" spans="1:4" x14ac:dyDescent="0.25">
      <c r="B29" s="12" t="s">
        <v>130</v>
      </c>
      <c r="C29" s="12">
        <f>C28+(2*0.3)</f>
        <v>1.7999999999999998</v>
      </c>
      <c r="D29" s="12" t="s">
        <v>120</v>
      </c>
    </row>
    <row r="30" spans="1:4" x14ac:dyDescent="0.25">
      <c r="B30" s="12" t="s">
        <v>131</v>
      </c>
      <c r="C30" s="12">
        <f>C28+(2*0.5)</f>
        <v>2.2000000000000002</v>
      </c>
      <c r="D30" s="12" t="s">
        <v>120</v>
      </c>
    </row>
    <row r="31" spans="1:4" x14ac:dyDescent="0.25">
      <c r="B31" s="12" t="s">
        <v>132</v>
      </c>
      <c r="C31" s="12">
        <f>C28+(2*0.7)</f>
        <v>2.5999999999999996</v>
      </c>
      <c r="D31" s="12" t="s">
        <v>120</v>
      </c>
    </row>
    <row r="32" spans="1:4" x14ac:dyDescent="0.25">
      <c r="B32" s="14" t="s">
        <v>134</v>
      </c>
      <c r="C32" s="14">
        <v>2.6</v>
      </c>
      <c r="D32" s="14" t="s">
        <v>120</v>
      </c>
    </row>
    <row r="33" spans="2:4" x14ac:dyDescent="0.25">
      <c r="B33" s="12" t="s">
        <v>138</v>
      </c>
      <c r="C33" s="12">
        <v>1</v>
      </c>
      <c r="D33" s="12" t="s">
        <v>120</v>
      </c>
    </row>
    <row r="34" spans="2:4" x14ac:dyDescent="0.25">
      <c r="B34" s="12" t="s">
        <v>139</v>
      </c>
      <c r="C34" s="12">
        <f>CEILING((2*C33)+C21, 1)</f>
        <v>54</v>
      </c>
      <c r="D34" s="12" t="s">
        <v>120</v>
      </c>
    </row>
    <row r="35" spans="2:4" x14ac:dyDescent="0.25">
      <c r="B35" s="12" t="s">
        <v>140</v>
      </c>
      <c r="C35" s="12">
        <f>CEILING((2*C33)+C23, 1)</f>
        <v>5</v>
      </c>
      <c r="D35" s="12" t="s">
        <v>120</v>
      </c>
    </row>
    <row r="36" spans="2:4" x14ac:dyDescent="0.25">
      <c r="B36" s="15" t="s">
        <v>145</v>
      </c>
      <c r="C36" s="15">
        <f>C19</f>
        <v>46.5</v>
      </c>
      <c r="D36" s="15" t="s">
        <v>120</v>
      </c>
    </row>
    <row r="37" spans="2:4" x14ac:dyDescent="0.25">
      <c r="B37" s="16" t="s">
        <v>146</v>
      </c>
      <c r="C37" s="16">
        <f>C36-C32</f>
        <v>43.9</v>
      </c>
      <c r="D37" s="16" t="s">
        <v>120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C25" sqref="C25"/>
    </sheetView>
  </sheetViews>
  <sheetFormatPr defaultRowHeight="15" x14ac:dyDescent="0.25"/>
  <sheetData>
    <row r="2" spans="19:20" x14ac:dyDescent="0.25">
      <c r="S2" t="s">
        <v>317</v>
      </c>
      <c r="T2">
        <v>399</v>
      </c>
    </row>
    <row r="3" spans="19:20" x14ac:dyDescent="0.25">
      <c r="S3" t="s">
        <v>325</v>
      </c>
      <c r="T3">
        <v>14000</v>
      </c>
    </row>
    <row r="4" spans="19:20" x14ac:dyDescent="0.25">
      <c r="S4" t="s">
        <v>330</v>
      </c>
      <c r="T4" s="1">
        <v>5.4399999999999996E-6</v>
      </c>
    </row>
    <row r="5" spans="19:20" x14ac:dyDescent="0.25">
      <c r="S5" t="s">
        <v>319</v>
      </c>
      <c r="T5">
        <v>40</v>
      </c>
    </row>
    <row r="6" spans="19:20" x14ac:dyDescent="0.25">
      <c r="S6" t="s">
        <v>320</v>
      </c>
      <c r="T6">
        <v>20</v>
      </c>
    </row>
    <row r="7" spans="19:20" x14ac:dyDescent="0.25">
      <c r="S7" t="s">
        <v>322</v>
      </c>
      <c r="T7">
        <v>1E-4</v>
      </c>
    </row>
    <row r="8" spans="19:20" x14ac:dyDescent="0.25">
      <c r="S8" t="s">
        <v>324</v>
      </c>
      <c r="T8">
        <f>POWER(T4/T7, 0.5)</f>
        <v>0.23323807579381201</v>
      </c>
    </row>
    <row r="9" spans="19:20" x14ac:dyDescent="0.25">
      <c r="S9" t="s">
        <v>323</v>
      </c>
      <c r="T9">
        <v>0.1</v>
      </c>
    </row>
    <row r="10" spans="19:20" x14ac:dyDescent="0.25">
      <c r="S10" t="s">
        <v>332</v>
      </c>
      <c r="T10">
        <f>T9/T12</f>
        <v>2.2471910112359553E-3</v>
      </c>
    </row>
    <row r="11" spans="19:20" x14ac:dyDescent="0.25">
      <c r="S11" t="s">
        <v>318</v>
      </c>
      <c r="T11">
        <f>T9/T12</f>
        <v>2.2471910112359553E-3</v>
      </c>
    </row>
    <row r="12" spans="19:20" x14ac:dyDescent="0.25">
      <c r="S12" t="s">
        <v>321</v>
      </c>
      <c r="T12">
        <v>44.5</v>
      </c>
    </row>
    <row r="13" spans="19:20" x14ac:dyDescent="0.25">
      <c r="S13" t="s">
        <v>326</v>
      </c>
      <c r="T13">
        <f>T6-POWER(POWER((T9-(T11*T12))/T8, 2)+POWER(T6, 2), 0.5)</f>
        <v>0</v>
      </c>
    </row>
    <row r="14" spans="19:20" x14ac:dyDescent="0.25">
      <c r="S14" t="s">
        <v>327</v>
      </c>
      <c r="T14">
        <f>(1/T11)*(T13-T6)</f>
        <v>-8899.9999999999982</v>
      </c>
    </row>
    <row r="15" spans="19:20" x14ac:dyDescent="0.25">
      <c r="S15" t="s">
        <v>328</v>
      </c>
      <c r="T15">
        <f>T13-T14</f>
        <v>8899.9999999999982</v>
      </c>
    </row>
    <row r="16" spans="19:20" x14ac:dyDescent="0.25">
      <c r="S16" t="s">
        <v>329</v>
      </c>
      <c r="T16">
        <f>T5</f>
        <v>40</v>
      </c>
    </row>
    <row r="17" spans="19:21" x14ac:dyDescent="0.25">
      <c r="S17" t="s">
        <v>322</v>
      </c>
      <c r="T17">
        <f>T4*POWER(T5, 2)/POWER(T9-(T3/T2), 2)</f>
        <v>7.1102949277174389E-6</v>
      </c>
    </row>
    <row r="18" spans="19:21" x14ac:dyDescent="0.25">
      <c r="S18" t="s">
        <v>331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396</v>
      </c>
      <c r="B3" t="s">
        <v>395</v>
      </c>
      <c r="C3" t="s">
        <v>110</v>
      </c>
      <c r="D3" t="s">
        <v>397</v>
      </c>
    </row>
    <row r="4" spans="1:5" x14ac:dyDescent="0.25">
      <c r="A4" t="s">
        <v>394</v>
      </c>
      <c r="B4" t="s">
        <v>399</v>
      </c>
      <c r="D4">
        <v>12</v>
      </c>
      <c r="E4" t="s">
        <v>406</v>
      </c>
    </row>
    <row r="5" spans="1:5" x14ac:dyDescent="0.25">
      <c r="A5" t="s">
        <v>398</v>
      </c>
      <c r="B5" t="s">
        <v>403</v>
      </c>
      <c r="D5">
        <v>5</v>
      </c>
      <c r="E5" t="s">
        <v>405</v>
      </c>
    </row>
    <row r="6" spans="1:5" x14ac:dyDescent="0.25">
      <c r="A6" t="s">
        <v>400</v>
      </c>
      <c r="B6" t="s">
        <v>402</v>
      </c>
      <c r="D6">
        <v>8</v>
      </c>
      <c r="E6" t="s">
        <v>407</v>
      </c>
    </row>
    <row r="7" spans="1:5" x14ac:dyDescent="0.25">
      <c r="A7" t="s">
        <v>401</v>
      </c>
      <c r="B7" t="s">
        <v>399</v>
      </c>
      <c r="D7">
        <v>4</v>
      </c>
      <c r="E7" t="s">
        <v>404</v>
      </c>
    </row>
    <row r="8" spans="1:5" x14ac:dyDescent="0.25">
      <c r="A8" t="s">
        <v>394</v>
      </c>
      <c r="B8" t="s">
        <v>402</v>
      </c>
      <c r="D8">
        <v>4</v>
      </c>
      <c r="E8" t="s">
        <v>406</v>
      </c>
    </row>
    <row r="9" spans="1:5" x14ac:dyDescent="0.25">
      <c r="A9" t="s">
        <v>400</v>
      </c>
      <c r="B9" t="s">
        <v>409</v>
      </c>
      <c r="D9">
        <v>4</v>
      </c>
      <c r="E9" t="s">
        <v>408</v>
      </c>
    </row>
    <row r="10" spans="1:5" x14ac:dyDescent="0.25">
      <c r="A10" t="s">
        <v>411</v>
      </c>
      <c r="E10" t="s">
        <v>410</v>
      </c>
    </row>
    <row r="11" spans="1:5" x14ac:dyDescent="0.25">
      <c r="A11" t="s">
        <v>398</v>
      </c>
      <c r="B11" t="s">
        <v>412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2026-07-01T00:24:25Z</dcterms:modified>
</cp:coreProperties>
</file>