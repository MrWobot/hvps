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3395" windowHeight="3930" tabRatio="615"/>
  </bookViews>
  <sheets>
    <sheet name="Driver And Controller" sheetId="1" r:id="rId1"/>
    <sheet name="Villard Diode PCB Calcs" sheetId="2" r:id="rId2"/>
    <sheet name="Villard Capacitor PCB Calcs" sheetId="3" r:id="rId3"/>
    <sheet name="Villard Capacitor Bleeder Calcs" sheetId="4" r:id="rId4"/>
    <sheet name="Output Series Compsite Resistor" sheetId="5" r:id="rId5"/>
    <sheet name="Regenerative snubber design" sheetId="6" r:id="rId6"/>
    <sheet name="Active Cooling" sheetId="8" r:id="rId7"/>
    <sheet name="Sheet3" sheetId="9" r:id="rId8"/>
  </sheets>
  <calcPr calcId="144525"/>
</workbook>
</file>

<file path=xl/calcChain.xml><?xml version="1.0" encoding="utf-8"?>
<calcChain xmlns="http://schemas.openxmlformats.org/spreadsheetml/2006/main">
  <c r="D155" i="1" l="1"/>
  <c r="D154" i="1"/>
  <c r="D139" i="1"/>
  <c r="D138" i="1"/>
  <c r="D150" i="1" s="1"/>
  <c r="D128" i="1"/>
  <c r="D117" i="1"/>
  <c r="D125" i="1"/>
  <c r="D140" i="1" l="1"/>
  <c r="D151" i="1" s="1"/>
  <c r="D19" i="1"/>
  <c r="D124" i="1" s="1"/>
  <c r="D18" i="1" l="1"/>
  <c r="D65" i="1"/>
  <c r="D614" i="1" l="1"/>
  <c r="D604" i="1"/>
  <c r="D571" i="1"/>
  <c r="D593" i="1" s="1"/>
  <c r="D220" i="1" l="1"/>
  <c r="H233" i="1" s="1"/>
  <c r="D219" i="1"/>
  <c r="D222" i="1"/>
  <c r="H227" i="1" s="1"/>
  <c r="BR227" i="1" s="1"/>
  <c r="D221" i="1"/>
  <c r="D225" i="1" s="1"/>
  <c r="D215" i="1"/>
  <c r="D189" i="1" l="1"/>
  <c r="CW227" i="1"/>
  <c r="V227" i="1"/>
  <c r="T227" i="1"/>
  <c r="AX227" i="1"/>
  <c r="BQ227" i="1"/>
  <c r="CV227" i="1"/>
  <c r="U227" i="1"/>
  <c r="AF227" i="1"/>
  <c r="BK227" i="1"/>
  <c r="CT227" i="1"/>
  <c r="S227" i="1"/>
  <c r="AT227" i="1"/>
  <c r="CC227" i="1"/>
  <c r="BI227" i="1"/>
  <c r="CR227" i="1"/>
  <c r="BH227" i="1"/>
  <c r="CA227" i="1"/>
  <c r="BG227" i="1"/>
  <c r="DC227" i="1"/>
  <c r="Z227" i="1"/>
  <c r="R227" i="1"/>
  <c r="CN227" i="1"/>
  <c r="CL227" i="1"/>
  <c r="AW227" i="1"/>
  <c r="CF227" i="1"/>
  <c r="AV227" i="1"/>
  <c r="CE227" i="1"/>
  <c r="AU227" i="1"/>
  <c r="CD227" i="1"/>
  <c r="AD227" i="1"/>
  <c r="AC227" i="1"/>
  <c r="CQ227" i="1"/>
  <c r="AQ227" i="1"/>
  <c r="CP227" i="1"/>
  <c r="AP227" i="1"/>
  <c r="BY227" i="1"/>
  <c r="BE227" i="1"/>
  <c r="Y227" i="1"/>
  <c r="DA227" i="1"/>
  <c r="BD227" i="1"/>
  <c r="X227" i="1"/>
  <c r="BW227" i="1"/>
  <c r="P227" i="1"/>
  <c r="AM227" i="1"/>
  <c r="BV227" i="1"/>
  <c r="BU227" i="1"/>
  <c r="N227" i="1"/>
  <c r="BA227" i="1"/>
  <c r="CJ227" i="1"/>
  <c r="BP227" i="1"/>
  <c r="AZ227" i="1"/>
  <c r="AJ227" i="1"/>
  <c r="CY227" i="1"/>
  <c r="CI227" i="1"/>
  <c r="BS227" i="1"/>
  <c r="BN227" i="1"/>
  <c r="AH227" i="1"/>
  <c r="CG227" i="1"/>
  <c r="BM227" i="1"/>
  <c r="AG227" i="1"/>
  <c r="BL227" i="1"/>
  <c r="CU227" i="1"/>
  <c r="AE227" i="1"/>
  <c r="BJ227" i="1"/>
  <c r="CS227" i="1"/>
  <c r="AS227" i="1"/>
  <c r="CB227" i="1"/>
  <c r="AR227" i="1"/>
  <c r="AB227" i="1"/>
  <c r="DD227" i="1"/>
  <c r="AA227" i="1"/>
  <c r="BZ227" i="1"/>
  <c r="BF227" i="1"/>
  <c r="CO227" i="1"/>
  <c r="DB227" i="1"/>
  <c r="AO227" i="1"/>
  <c r="BX227" i="1"/>
  <c r="Q227" i="1"/>
  <c r="AN227" i="1"/>
  <c r="CM227" i="1"/>
  <c r="CZ227" i="1"/>
  <c r="BC227" i="1"/>
  <c r="W227" i="1"/>
  <c r="O227" i="1"/>
  <c r="BB227" i="1"/>
  <c r="AL227" i="1"/>
  <c r="CK227" i="1"/>
  <c r="AK227" i="1"/>
  <c r="BT227" i="1"/>
  <c r="BO227" i="1"/>
  <c r="AY227" i="1"/>
  <c r="AI227" i="1"/>
  <c r="CX227" i="1"/>
  <c r="CH227" i="1"/>
  <c r="DI164" i="1"/>
  <c r="DJ164" i="1" s="1"/>
  <c r="DK164" i="1" s="1"/>
  <c r="DL164" i="1" s="1"/>
  <c r="DM164" i="1" s="1"/>
  <c r="DN164" i="1" s="1"/>
  <c r="DO164" i="1" s="1"/>
  <c r="DP164" i="1" s="1"/>
  <c r="DQ164" i="1" s="1"/>
  <c r="DR164" i="1" s="1"/>
  <c r="DS164" i="1" s="1"/>
  <c r="DT164" i="1" s="1"/>
  <c r="DU164" i="1" s="1"/>
  <c r="DV164" i="1" s="1"/>
  <c r="DW164" i="1" s="1"/>
  <c r="DX164" i="1" s="1"/>
  <c r="DY164" i="1" s="1"/>
  <c r="DZ164" i="1" s="1"/>
  <c r="EA164" i="1" s="1"/>
  <c r="EB164" i="1" s="1"/>
  <c r="EC164" i="1" s="1"/>
  <c r="ED164" i="1" s="1"/>
  <c r="EE164" i="1" s="1"/>
  <c r="EF164" i="1" s="1"/>
  <c r="EG164" i="1" s="1"/>
  <c r="EH164" i="1" s="1"/>
  <c r="EI164" i="1" s="1"/>
  <c r="EJ164" i="1" s="1"/>
  <c r="EK164" i="1" s="1"/>
  <c r="EL164" i="1" s="1"/>
  <c r="EM164" i="1" s="1"/>
  <c r="EN164" i="1" s="1"/>
  <c r="EO164" i="1" s="1"/>
  <c r="EP164" i="1" s="1"/>
  <c r="EQ164" i="1" s="1"/>
  <c r="ER164" i="1" s="1"/>
  <c r="ES164" i="1" s="1"/>
  <c r="ET164" i="1" s="1"/>
  <c r="EU164" i="1" s="1"/>
  <c r="EV164" i="1" s="1"/>
  <c r="EW164" i="1" s="1"/>
  <c r="EX164" i="1" s="1"/>
  <c r="EY164" i="1" s="1"/>
  <c r="EZ164" i="1" s="1"/>
  <c r="FA164" i="1" s="1"/>
  <c r="FB164" i="1" s="1"/>
  <c r="FC164" i="1" s="1"/>
  <c r="FD164" i="1" s="1"/>
  <c r="FE164" i="1" s="1"/>
  <c r="FF164" i="1" s="1"/>
  <c r="FG164" i="1" s="1"/>
  <c r="FH164" i="1" s="1"/>
  <c r="FI164" i="1" s="1"/>
  <c r="FJ164" i="1" s="1"/>
  <c r="FK164" i="1" s="1"/>
  <c r="FL164" i="1" s="1"/>
  <c r="FM164" i="1" s="1"/>
  <c r="FN164" i="1" s="1"/>
  <c r="FO164" i="1" s="1"/>
  <c r="FP164" i="1" s="1"/>
  <c r="FQ164" i="1" s="1"/>
  <c r="FR164" i="1" s="1"/>
  <c r="FS164" i="1" s="1"/>
  <c r="FT164" i="1" s="1"/>
  <c r="FU164" i="1" s="1"/>
  <c r="FV164" i="1" s="1"/>
  <c r="FW164" i="1" s="1"/>
  <c r="FX164" i="1" s="1"/>
  <c r="FY164" i="1" s="1"/>
  <c r="FZ164" i="1" s="1"/>
  <c r="GA164" i="1" s="1"/>
  <c r="GB164" i="1" s="1"/>
  <c r="GC164" i="1" s="1"/>
  <c r="GD164" i="1" s="1"/>
  <c r="GE164" i="1" s="1"/>
  <c r="GF164" i="1" s="1"/>
  <c r="GG164" i="1" s="1"/>
  <c r="GH164" i="1" s="1"/>
  <c r="GI164" i="1" s="1"/>
  <c r="GJ164" i="1" s="1"/>
  <c r="GK164" i="1" s="1"/>
  <c r="GL164" i="1" s="1"/>
  <c r="GM164" i="1" s="1"/>
  <c r="GN164" i="1" s="1"/>
  <c r="GO164" i="1" s="1"/>
  <c r="GP164" i="1" s="1"/>
  <c r="GQ164" i="1" s="1"/>
  <c r="DG164" i="1"/>
  <c r="I231" i="1"/>
  <c r="J231" i="1" s="1"/>
  <c r="K231" i="1" s="1"/>
  <c r="L231" i="1" s="1"/>
  <c r="M231" i="1" s="1"/>
  <c r="CW164" i="1"/>
  <c r="CX164" i="1"/>
  <c r="CY164" i="1"/>
  <c r="CZ164" i="1"/>
  <c r="DA164" i="1"/>
  <c r="DB164" i="1"/>
  <c r="DC164" i="1"/>
  <c r="DD164" i="1"/>
  <c r="DE164" i="1"/>
  <c r="DF164" i="1"/>
  <c r="J227" i="1"/>
  <c r="K227" i="1"/>
  <c r="L227" i="1"/>
  <c r="M227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I227" i="1"/>
  <c r="I226" i="1"/>
  <c r="J226" i="1" s="1"/>
  <c r="K226" i="1" s="1"/>
  <c r="L226" i="1" s="1"/>
  <c r="M226" i="1" s="1"/>
  <c r="D217" i="1"/>
  <c r="Q168" i="1" l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BG168" i="1" s="1"/>
  <c r="BH168" i="1" s="1"/>
  <c r="BI168" i="1" s="1"/>
  <c r="BJ168" i="1" s="1"/>
  <c r="BK168" i="1" s="1"/>
  <c r="BL168" i="1" s="1"/>
  <c r="BM168" i="1" s="1"/>
  <c r="BN168" i="1" s="1"/>
  <c r="BO168" i="1" s="1"/>
  <c r="BP168" i="1" s="1"/>
  <c r="BQ168" i="1" s="1"/>
  <c r="BR168" i="1" s="1"/>
  <c r="BS168" i="1" s="1"/>
  <c r="BT168" i="1" s="1"/>
  <c r="BU168" i="1" s="1"/>
  <c r="BV168" i="1" s="1"/>
  <c r="BW168" i="1" s="1"/>
  <c r="BX168" i="1" s="1"/>
  <c r="BY168" i="1" s="1"/>
  <c r="BZ168" i="1" s="1"/>
  <c r="CA168" i="1" s="1"/>
  <c r="CB168" i="1" s="1"/>
  <c r="CC168" i="1" s="1"/>
  <c r="CD168" i="1" s="1"/>
  <c r="CE168" i="1" s="1"/>
  <c r="CF168" i="1" s="1"/>
  <c r="CG168" i="1" s="1"/>
  <c r="CH168" i="1" s="1"/>
  <c r="CI168" i="1" s="1"/>
  <c r="CJ168" i="1" s="1"/>
  <c r="CK168" i="1" s="1"/>
  <c r="CL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DC168" i="1" s="1"/>
  <c r="DD168" i="1" s="1"/>
  <c r="DE168" i="1" s="1"/>
  <c r="DF168" i="1" s="1"/>
  <c r="DG168" i="1" s="1"/>
  <c r="DH168" i="1" s="1"/>
  <c r="DI168" i="1" s="1"/>
  <c r="DJ168" i="1" s="1"/>
  <c r="DK168" i="1" s="1"/>
  <c r="DL168" i="1" s="1"/>
  <c r="DM168" i="1" s="1"/>
  <c r="DN168" i="1" s="1"/>
  <c r="DO168" i="1" s="1"/>
  <c r="DP168" i="1" s="1"/>
  <c r="DQ168" i="1" s="1"/>
  <c r="DR168" i="1" s="1"/>
  <c r="DS168" i="1" s="1"/>
  <c r="DT168" i="1" s="1"/>
  <c r="DU168" i="1" s="1"/>
  <c r="DV168" i="1" s="1"/>
  <c r="DW168" i="1" s="1"/>
  <c r="DX168" i="1" s="1"/>
  <c r="DY168" i="1" s="1"/>
  <c r="DZ168" i="1" s="1"/>
  <c r="EA168" i="1" s="1"/>
  <c r="EB168" i="1" s="1"/>
  <c r="EC168" i="1" s="1"/>
  <c r="ED168" i="1" s="1"/>
  <c r="EE168" i="1" s="1"/>
  <c r="EF168" i="1" s="1"/>
  <c r="EG168" i="1" s="1"/>
  <c r="EH168" i="1" s="1"/>
  <c r="EI168" i="1" s="1"/>
  <c r="EJ168" i="1" s="1"/>
  <c r="EK168" i="1" s="1"/>
  <c r="EL168" i="1" s="1"/>
  <c r="EM168" i="1" s="1"/>
  <c r="EN168" i="1" s="1"/>
  <c r="EO168" i="1" s="1"/>
  <c r="EP168" i="1" s="1"/>
  <c r="EQ168" i="1" s="1"/>
  <c r="ER168" i="1" s="1"/>
  <c r="ES168" i="1" s="1"/>
  <c r="ET168" i="1" s="1"/>
  <c r="EU168" i="1" s="1"/>
  <c r="EV168" i="1" s="1"/>
  <c r="EW168" i="1" s="1"/>
  <c r="EX168" i="1" s="1"/>
  <c r="EY168" i="1" s="1"/>
  <c r="EZ168" i="1" s="1"/>
  <c r="FA168" i="1" s="1"/>
  <c r="FB168" i="1" s="1"/>
  <c r="FC168" i="1" s="1"/>
  <c r="FD168" i="1" s="1"/>
  <c r="FE168" i="1" s="1"/>
  <c r="FF168" i="1" s="1"/>
  <c r="FG168" i="1" s="1"/>
  <c r="FH168" i="1" s="1"/>
  <c r="FI168" i="1" s="1"/>
  <c r="FJ168" i="1" s="1"/>
  <c r="FK168" i="1" s="1"/>
  <c r="FL168" i="1" s="1"/>
  <c r="FM168" i="1" s="1"/>
  <c r="FN168" i="1" s="1"/>
  <c r="FO168" i="1" s="1"/>
  <c r="FP168" i="1" s="1"/>
  <c r="FQ168" i="1" s="1"/>
  <c r="FR168" i="1" s="1"/>
  <c r="FS168" i="1" s="1"/>
  <c r="FT168" i="1" s="1"/>
  <c r="FU168" i="1" s="1"/>
  <c r="FV168" i="1" s="1"/>
  <c r="FW168" i="1" s="1"/>
  <c r="FX168" i="1" s="1"/>
  <c r="FY168" i="1" s="1"/>
  <c r="FZ168" i="1" s="1"/>
  <c r="GA168" i="1" s="1"/>
  <c r="GB168" i="1" s="1"/>
  <c r="GC168" i="1" s="1"/>
  <c r="GD168" i="1" s="1"/>
  <c r="GE168" i="1" s="1"/>
  <c r="GF168" i="1" s="1"/>
  <c r="GG168" i="1" s="1"/>
  <c r="GH168" i="1" s="1"/>
  <c r="GI168" i="1" s="1"/>
  <c r="GJ168" i="1" s="1"/>
  <c r="GK168" i="1" s="1"/>
  <c r="GL168" i="1" s="1"/>
  <c r="GM168" i="1" s="1"/>
  <c r="GN168" i="1" s="1"/>
  <c r="GO168" i="1" s="1"/>
  <c r="GP168" i="1" s="1"/>
  <c r="GQ168" i="1" s="1"/>
  <c r="N231" i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AG231" i="1" s="1"/>
  <c r="AH231" i="1" s="1"/>
  <c r="AI231" i="1" s="1"/>
  <c r="AJ231" i="1" s="1"/>
  <c r="AK231" i="1" s="1"/>
  <c r="AL231" i="1" s="1"/>
  <c r="AM231" i="1" s="1"/>
  <c r="AN231" i="1" s="1"/>
  <c r="AO231" i="1" s="1"/>
  <c r="AP231" i="1" s="1"/>
  <c r="AQ231" i="1" s="1"/>
  <c r="AR231" i="1" s="1"/>
  <c r="AS231" i="1" s="1"/>
  <c r="AT231" i="1" s="1"/>
  <c r="AU231" i="1" s="1"/>
  <c r="AV231" i="1" s="1"/>
  <c r="AW231" i="1" s="1"/>
  <c r="AX231" i="1" s="1"/>
  <c r="AY231" i="1" s="1"/>
  <c r="AZ231" i="1" s="1"/>
  <c r="BA231" i="1" s="1"/>
  <c r="BB231" i="1" s="1"/>
  <c r="BC231" i="1" s="1"/>
  <c r="BD231" i="1" s="1"/>
  <c r="BE231" i="1" s="1"/>
  <c r="BF231" i="1" s="1"/>
  <c r="BG231" i="1" s="1"/>
  <c r="BH231" i="1" s="1"/>
  <c r="BI231" i="1" s="1"/>
  <c r="BJ231" i="1" s="1"/>
  <c r="BK231" i="1" s="1"/>
  <c r="BL231" i="1" s="1"/>
  <c r="BM231" i="1" s="1"/>
  <c r="BN231" i="1" s="1"/>
  <c r="BO231" i="1" s="1"/>
  <c r="BP231" i="1" s="1"/>
  <c r="BQ231" i="1" s="1"/>
  <c r="BR231" i="1" s="1"/>
  <c r="BS231" i="1" s="1"/>
  <c r="BT231" i="1" s="1"/>
  <c r="BU231" i="1" s="1"/>
  <c r="BV231" i="1" s="1"/>
  <c r="BW231" i="1" s="1"/>
  <c r="BX231" i="1" s="1"/>
  <c r="BY231" i="1" s="1"/>
  <c r="BZ231" i="1" s="1"/>
  <c r="CA231" i="1" s="1"/>
  <c r="CB231" i="1" s="1"/>
  <c r="CC231" i="1" s="1"/>
  <c r="CD231" i="1" s="1"/>
  <c r="CE231" i="1" s="1"/>
  <c r="CF231" i="1" s="1"/>
  <c r="CG231" i="1" s="1"/>
  <c r="CH231" i="1" s="1"/>
  <c r="CI231" i="1" s="1"/>
  <c r="CJ231" i="1" s="1"/>
  <c r="CK231" i="1" s="1"/>
  <c r="CL231" i="1" s="1"/>
  <c r="CM231" i="1" s="1"/>
  <c r="CN231" i="1" s="1"/>
  <c r="CO231" i="1" s="1"/>
  <c r="CP231" i="1" s="1"/>
  <c r="CQ231" i="1" s="1"/>
  <c r="CR231" i="1" s="1"/>
  <c r="CS231" i="1" s="1"/>
  <c r="CT231" i="1" s="1"/>
  <c r="CU231" i="1" s="1"/>
  <c r="CV231" i="1" s="1"/>
  <c r="CW231" i="1" s="1"/>
  <c r="CX231" i="1" s="1"/>
  <c r="CY231" i="1" s="1"/>
  <c r="CZ231" i="1" s="1"/>
  <c r="DA231" i="1" s="1"/>
  <c r="DB231" i="1" s="1"/>
  <c r="DC231" i="1" s="1"/>
  <c r="DD231" i="1" s="1"/>
  <c r="Q163" i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BG163" i="1" s="1"/>
  <c r="BH163" i="1" s="1"/>
  <c r="BI163" i="1" s="1"/>
  <c r="BJ163" i="1" s="1"/>
  <c r="BK163" i="1" s="1"/>
  <c r="BL163" i="1" s="1"/>
  <c r="BM163" i="1" s="1"/>
  <c r="BN163" i="1" s="1"/>
  <c r="BO163" i="1" s="1"/>
  <c r="BP163" i="1" s="1"/>
  <c r="BQ163" i="1" s="1"/>
  <c r="BR163" i="1" s="1"/>
  <c r="BS163" i="1" s="1"/>
  <c r="BT163" i="1" s="1"/>
  <c r="BU163" i="1" s="1"/>
  <c r="BV163" i="1" s="1"/>
  <c r="BW163" i="1" s="1"/>
  <c r="BX163" i="1" s="1"/>
  <c r="BY163" i="1" s="1"/>
  <c r="BZ163" i="1" s="1"/>
  <c r="CA163" i="1" s="1"/>
  <c r="CB163" i="1" s="1"/>
  <c r="CC163" i="1" s="1"/>
  <c r="CD163" i="1" s="1"/>
  <c r="CE163" i="1" s="1"/>
  <c r="CF163" i="1" s="1"/>
  <c r="CG163" i="1" s="1"/>
  <c r="CH163" i="1" s="1"/>
  <c r="CI163" i="1" s="1"/>
  <c r="CJ163" i="1" s="1"/>
  <c r="CK163" i="1" s="1"/>
  <c r="CL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X163" i="1" s="1"/>
  <c r="CY163" i="1" s="1"/>
  <c r="CZ163" i="1" s="1"/>
  <c r="DA163" i="1" s="1"/>
  <c r="DB163" i="1" s="1"/>
  <c r="DC163" i="1" s="1"/>
  <c r="DD163" i="1" s="1"/>
  <c r="DE163" i="1" s="1"/>
  <c r="DF163" i="1" s="1"/>
  <c r="DG163" i="1" s="1"/>
  <c r="DH163" i="1" s="1"/>
  <c r="DI163" i="1" s="1"/>
  <c r="DJ163" i="1" s="1"/>
  <c r="DK163" i="1" s="1"/>
  <c r="DL163" i="1" s="1"/>
  <c r="DM163" i="1" s="1"/>
  <c r="DN163" i="1" s="1"/>
  <c r="DO163" i="1" s="1"/>
  <c r="DP163" i="1" s="1"/>
  <c r="DQ163" i="1" s="1"/>
  <c r="DR163" i="1" s="1"/>
  <c r="DS163" i="1" s="1"/>
  <c r="DT163" i="1" s="1"/>
  <c r="DU163" i="1" s="1"/>
  <c r="DV163" i="1" s="1"/>
  <c r="DW163" i="1" s="1"/>
  <c r="DX163" i="1" s="1"/>
  <c r="DY163" i="1" s="1"/>
  <c r="DZ163" i="1" s="1"/>
  <c r="EA163" i="1" s="1"/>
  <c r="EB163" i="1" s="1"/>
  <c r="EC163" i="1" s="1"/>
  <c r="ED163" i="1" s="1"/>
  <c r="EE163" i="1" s="1"/>
  <c r="EF163" i="1" s="1"/>
  <c r="EG163" i="1" s="1"/>
  <c r="EH163" i="1" s="1"/>
  <c r="EI163" i="1" s="1"/>
  <c r="EJ163" i="1" s="1"/>
  <c r="EK163" i="1" s="1"/>
  <c r="EL163" i="1" s="1"/>
  <c r="EM163" i="1" s="1"/>
  <c r="EN163" i="1" s="1"/>
  <c r="EO163" i="1" s="1"/>
  <c r="EP163" i="1" s="1"/>
  <c r="EQ163" i="1" s="1"/>
  <c r="ER163" i="1" s="1"/>
  <c r="ES163" i="1" s="1"/>
  <c r="ET163" i="1" s="1"/>
  <c r="EU163" i="1" s="1"/>
  <c r="EV163" i="1" s="1"/>
  <c r="EW163" i="1" s="1"/>
  <c r="EX163" i="1" s="1"/>
  <c r="EY163" i="1" s="1"/>
  <c r="EZ163" i="1" s="1"/>
  <c r="FA163" i="1" s="1"/>
  <c r="FB163" i="1" s="1"/>
  <c r="FC163" i="1" s="1"/>
  <c r="FD163" i="1" s="1"/>
  <c r="FE163" i="1" s="1"/>
  <c r="FF163" i="1" s="1"/>
  <c r="FG163" i="1" s="1"/>
  <c r="FH163" i="1" s="1"/>
  <c r="FI163" i="1" s="1"/>
  <c r="FJ163" i="1" s="1"/>
  <c r="FK163" i="1" s="1"/>
  <c r="FL163" i="1" s="1"/>
  <c r="FM163" i="1" s="1"/>
  <c r="FN163" i="1" s="1"/>
  <c r="FO163" i="1" s="1"/>
  <c r="FP163" i="1" s="1"/>
  <c r="FQ163" i="1" s="1"/>
  <c r="FR163" i="1" s="1"/>
  <c r="FS163" i="1" s="1"/>
  <c r="FT163" i="1" s="1"/>
  <c r="FU163" i="1" s="1"/>
  <c r="FV163" i="1" s="1"/>
  <c r="FW163" i="1" s="1"/>
  <c r="FX163" i="1" s="1"/>
  <c r="FY163" i="1" s="1"/>
  <c r="FZ163" i="1" s="1"/>
  <c r="GA163" i="1" s="1"/>
  <c r="GB163" i="1" s="1"/>
  <c r="GC163" i="1" s="1"/>
  <c r="GD163" i="1" s="1"/>
  <c r="GE163" i="1" s="1"/>
  <c r="GF163" i="1" s="1"/>
  <c r="GG163" i="1" s="1"/>
  <c r="GH163" i="1" s="1"/>
  <c r="GI163" i="1" s="1"/>
  <c r="GJ163" i="1" s="1"/>
  <c r="GK163" i="1" s="1"/>
  <c r="GL163" i="1" s="1"/>
  <c r="GM163" i="1" s="1"/>
  <c r="GN163" i="1" s="1"/>
  <c r="GO163" i="1" s="1"/>
  <c r="GP163" i="1" s="1"/>
  <c r="GQ163" i="1" s="1"/>
  <c r="N226" i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AB226" i="1" s="1"/>
  <c r="AC226" i="1" s="1"/>
  <c r="AD226" i="1" s="1"/>
  <c r="AE226" i="1" s="1"/>
  <c r="AF226" i="1" s="1"/>
  <c r="AG226" i="1" s="1"/>
  <c r="AH226" i="1" s="1"/>
  <c r="AI226" i="1" s="1"/>
  <c r="AJ226" i="1" s="1"/>
  <c r="AK226" i="1" s="1"/>
  <c r="AL226" i="1" s="1"/>
  <c r="AM226" i="1" s="1"/>
  <c r="AN226" i="1" s="1"/>
  <c r="AO226" i="1" s="1"/>
  <c r="AP226" i="1" s="1"/>
  <c r="AQ226" i="1" s="1"/>
  <c r="AR226" i="1" s="1"/>
  <c r="AS226" i="1" s="1"/>
  <c r="AT226" i="1" s="1"/>
  <c r="AU226" i="1" s="1"/>
  <c r="AV226" i="1" s="1"/>
  <c r="AW226" i="1" s="1"/>
  <c r="AX226" i="1" s="1"/>
  <c r="AY226" i="1" s="1"/>
  <c r="AZ226" i="1" s="1"/>
  <c r="BA226" i="1" s="1"/>
  <c r="BB226" i="1" s="1"/>
  <c r="BC226" i="1" s="1"/>
  <c r="BD226" i="1" s="1"/>
  <c r="BE226" i="1" s="1"/>
  <c r="BF226" i="1" s="1"/>
  <c r="BG226" i="1" s="1"/>
  <c r="BH226" i="1" s="1"/>
  <c r="BI226" i="1" s="1"/>
  <c r="BJ226" i="1" s="1"/>
  <c r="BK226" i="1" s="1"/>
  <c r="BL226" i="1" s="1"/>
  <c r="BM226" i="1" s="1"/>
  <c r="BN226" i="1" s="1"/>
  <c r="BO226" i="1" s="1"/>
  <c r="BP226" i="1" s="1"/>
  <c r="BQ226" i="1" s="1"/>
  <c r="BR226" i="1" s="1"/>
  <c r="BS226" i="1" s="1"/>
  <c r="BT226" i="1" s="1"/>
  <c r="BU226" i="1" s="1"/>
  <c r="BV226" i="1" s="1"/>
  <c r="BW226" i="1" s="1"/>
  <c r="BX226" i="1" s="1"/>
  <c r="BY226" i="1" s="1"/>
  <c r="BZ226" i="1" s="1"/>
  <c r="CA226" i="1" s="1"/>
  <c r="CB226" i="1" s="1"/>
  <c r="CC226" i="1" s="1"/>
  <c r="CD226" i="1" s="1"/>
  <c r="CE226" i="1" s="1"/>
  <c r="CF226" i="1" s="1"/>
  <c r="CG226" i="1" s="1"/>
  <c r="CH226" i="1" s="1"/>
  <c r="CI226" i="1" s="1"/>
  <c r="CJ226" i="1" s="1"/>
  <c r="CK226" i="1" s="1"/>
  <c r="CL226" i="1" s="1"/>
  <c r="CM226" i="1" s="1"/>
  <c r="CN226" i="1" s="1"/>
  <c r="CO226" i="1" s="1"/>
  <c r="CP226" i="1" s="1"/>
  <c r="CQ226" i="1" s="1"/>
  <c r="CR226" i="1" s="1"/>
  <c r="CS226" i="1" s="1"/>
  <c r="CT226" i="1" s="1"/>
  <c r="CU226" i="1" s="1"/>
  <c r="CV226" i="1" s="1"/>
  <c r="CW226" i="1" s="1"/>
  <c r="CX226" i="1" s="1"/>
  <c r="CY226" i="1" s="1"/>
  <c r="CZ226" i="1" s="1"/>
  <c r="DA226" i="1" s="1"/>
  <c r="DB226" i="1" s="1"/>
  <c r="DC226" i="1" s="1"/>
  <c r="DD226" i="1" s="1"/>
  <c r="D83" i="1"/>
  <c r="D84" i="1"/>
  <c r="D216" i="1" s="1"/>
  <c r="D85" i="1"/>
  <c r="D87" i="1"/>
  <c r="D86" i="1"/>
  <c r="D63" i="1"/>
  <c r="D64" i="1"/>
  <c r="D67" i="1"/>
  <c r="D73" i="1"/>
  <c r="D30" i="1"/>
  <c r="D31" i="1"/>
  <c r="D52" i="1" s="1"/>
  <c r="D24" i="1"/>
  <c r="D35" i="1"/>
  <c r="D36" i="1" l="1"/>
  <c r="D37" i="1" s="1"/>
  <c r="D118" i="1"/>
  <c r="D71" i="1"/>
  <c r="D72" i="1" s="1"/>
  <c r="D70" i="1"/>
  <c r="D74" i="1"/>
  <c r="D88" i="1"/>
  <c r="D89" i="1"/>
  <c r="D53" i="1"/>
  <c r="D76" i="1"/>
  <c r="D77" i="1" s="1"/>
  <c r="D79" i="1" l="1"/>
  <c r="D80" i="1" s="1"/>
  <c r="D75" i="1"/>
  <c r="D78" i="1"/>
  <c r="D91" i="1"/>
  <c r="D92" i="1" s="1"/>
  <c r="D93" i="1" s="1"/>
  <c r="D90" i="1"/>
  <c r="D114" i="1"/>
  <c r="D466" i="1" l="1"/>
  <c r="D750" i="1" l="1"/>
  <c r="D749" i="1"/>
  <c r="D753" i="1" l="1"/>
  <c r="D754" i="1" s="1"/>
  <c r="D736" i="1"/>
  <c r="D730" i="1"/>
  <c r="D732" i="1" s="1"/>
  <c r="D333" i="1"/>
  <c r="D401" i="1" s="1"/>
  <c r="D331" i="1"/>
  <c r="D743" i="1"/>
  <c r="D403" i="1" s="1"/>
  <c r="D405" i="1" s="1"/>
  <c r="D402" i="1"/>
  <c r="E738" i="1"/>
  <c r="D727" i="1"/>
  <c r="D406" i="1" l="1"/>
  <c r="D731" i="1"/>
  <c r="D733" i="1"/>
  <c r="H727" i="1"/>
  <c r="O727" i="1"/>
  <c r="N727" i="1"/>
  <c r="M727" i="1"/>
  <c r="L727" i="1"/>
  <c r="K727" i="1"/>
  <c r="J727" i="1"/>
  <c r="I727" i="1"/>
  <c r="D602" i="1"/>
  <c r="D611" i="1"/>
  <c r="D607" i="1"/>
  <c r="D606" i="1"/>
  <c r="D612" i="1"/>
  <c r="D578" i="1"/>
  <c r="D577" i="1"/>
  <c r="D573" i="1"/>
  <c r="D583" i="1" s="1"/>
  <c r="D616" i="1" l="1"/>
  <c r="D617" i="1" s="1"/>
  <c r="I735" i="1"/>
  <c r="I738" i="1" s="1"/>
  <c r="K735" i="1"/>
  <c r="K738" i="1" s="1"/>
  <c r="O735" i="1"/>
  <c r="O738" i="1" s="1"/>
  <c r="J735" i="1"/>
  <c r="J738" i="1" s="1"/>
  <c r="L735" i="1"/>
  <c r="L738" i="1" s="1"/>
  <c r="M735" i="1"/>
  <c r="M738" i="1" s="1"/>
  <c r="N735" i="1"/>
  <c r="N738" i="1" s="1"/>
  <c r="H735" i="1"/>
  <c r="H738" i="1" s="1"/>
  <c r="D735" i="1"/>
  <c r="D738" i="1" s="1"/>
  <c r="D608" i="1"/>
  <c r="D610" i="1"/>
  <c r="D618" i="1" s="1"/>
  <c r="D613" i="1"/>
  <c r="D581" i="1"/>
  <c r="D589" i="1" s="1"/>
  <c r="D579" i="1"/>
  <c r="D275" i="1"/>
  <c r="D276" i="1" s="1"/>
  <c r="D277" i="1" s="1"/>
  <c r="D288" i="1"/>
  <c r="D287" i="1"/>
  <c r="D289" i="1" s="1"/>
  <c r="D621" i="1" l="1"/>
  <c r="D615" i="1"/>
  <c r="D622" i="1" s="1"/>
  <c r="D619" i="1"/>
  <c r="D620" i="1"/>
  <c r="D291" i="1"/>
  <c r="D293" i="1" s="1"/>
  <c r="D290" i="1"/>
  <c r="D292" i="1" s="1"/>
  <c r="D294" i="1" s="1"/>
  <c r="D295" i="1" l="1"/>
  <c r="R124" i="1" l="1"/>
  <c r="S124" i="1"/>
  <c r="T124" i="1"/>
  <c r="Q124" i="1"/>
  <c r="D188" i="1"/>
  <c r="D198" i="1" s="1"/>
  <c r="D115" i="1"/>
  <c r="D132" i="1" l="1"/>
  <c r="D344" i="1"/>
  <c r="D349" i="1" s="1"/>
  <c r="D354" i="1"/>
  <c r="D320" i="1"/>
  <c r="D319" i="1"/>
  <c r="D301" i="1"/>
  <c r="D378" i="1" s="1"/>
  <c r="D300" i="1"/>
  <c r="D316" i="1" s="1"/>
  <c r="D299" i="1"/>
  <c r="D339" i="1" s="1"/>
  <c r="D321" i="1" l="1"/>
  <c r="D323" i="1" s="1"/>
  <c r="D324" i="1" s="1"/>
  <c r="D345" i="1"/>
  <c r="D346" i="1" s="1"/>
  <c r="D347" i="1" s="1"/>
  <c r="D397" i="1"/>
  <c r="D398" i="1" s="1"/>
  <c r="D399" i="1" s="1"/>
  <c r="D310" i="1"/>
  <c r="D312" i="1" s="1"/>
  <c r="D326" i="1"/>
  <c r="D334" i="1" s="1"/>
  <c r="D714" i="1"/>
  <c r="D715" i="1" s="1"/>
  <c r="D717" i="1" s="1"/>
  <c r="D701" i="1"/>
  <c r="D702" i="1" s="1"/>
  <c r="D703" i="1" s="1"/>
  <c r="D707" i="1"/>
  <c r="D708" i="1" s="1"/>
  <c r="D710" i="1" s="1"/>
  <c r="D696" i="1"/>
  <c r="D697" i="1" s="1"/>
  <c r="D698" i="1" s="1"/>
  <c r="D691" i="1"/>
  <c r="D692" i="1" s="1"/>
  <c r="D693" i="1" s="1"/>
  <c r="C462" i="1"/>
  <c r="D386" i="1" l="1"/>
  <c r="D322" i="1"/>
  <c r="D350" i="1"/>
  <c r="D352" i="1" s="1"/>
  <c r="D327" i="1"/>
  <c r="D358" i="1" s="1"/>
  <c r="D359" i="1" s="1"/>
  <c r="D360" i="1" s="1"/>
  <c r="D365" i="1"/>
  <c r="D368" i="1" s="1"/>
  <c r="D376" i="1" s="1"/>
  <c r="D355" i="1"/>
  <c r="D356" i="1" s="1"/>
  <c r="D369" i="1"/>
  <c r="D335" i="1"/>
  <c r="D340" i="1" s="1"/>
  <c r="D391" i="1"/>
  <c r="D709" i="1"/>
  <c r="D716" i="1"/>
  <c r="D393" i="1" l="1"/>
  <c r="D395" i="1" s="1"/>
  <c r="D357" i="1"/>
  <c r="D426" i="1"/>
  <c r="D428" i="1"/>
  <c r="D453" i="1" s="1"/>
  <c r="D455" i="1" s="1"/>
  <c r="D431" i="1" l="1"/>
  <c r="D449" i="1" s="1"/>
  <c r="D456" i="1"/>
  <c r="C456" i="1"/>
  <c r="C458" i="1" s="1"/>
  <c r="C459" i="1" s="1"/>
  <c r="D427" i="1"/>
  <c r="D680" i="1"/>
  <c r="D682" i="1" s="1"/>
  <c r="D678" i="1"/>
  <c r="D673" i="1"/>
  <c r="I687" i="1" s="1"/>
  <c r="J687" i="1" s="1"/>
  <c r="K687" i="1" s="1"/>
  <c r="H456" i="1" l="1"/>
  <c r="D458" i="1"/>
  <c r="D459" i="1" s="1"/>
  <c r="D436" i="1"/>
  <c r="D437" i="1" s="1"/>
  <c r="D444" i="1"/>
  <c r="D679" i="1"/>
  <c r="D684" i="1"/>
  <c r="D685" i="1" s="1"/>
  <c r="I680" i="1"/>
  <c r="J680" i="1" s="1"/>
  <c r="K680" i="1" s="1"/>
  <c r="I681" i="1"/>
  <c r="J681" i="1" s="1"/>
  <c r="K681" i="1" s="1"/>
  <c r="I682" i="1"/>
  <c r="J682" i="1" s="1"/>
  <c r="K682" i="1" s="1"/>
  <c r="I688" i="1"/>
  <c r="J688" i="1" s="1"/>
  <c r="K688" i="1" s="1"/>
  <c r="I689" i="1"/>
  <c r="J689" i="1" s="1"/>
  <c r="K689" i="1" s="1"/>
  <c r="I690" i="1"/>
  <c r="J690" i="1" s="1"/>
  <c r="K690" i="1" s="1"/>
  <c r="I691" i="1"/>
  <c r="J691" i="1" s="1"/>
  <c r="K691" i="1" s="1"/>
  <c r="I692" i="1"/>
  <c r="J692" i="1" s="1"/>
  <c r="K692" i="1" s="1"/>
  <c r="I694" i="1"/>
  <c r="J694" i="1" s="1"/>
  <c r="K694" i="1" s="1"/>
  <c r="I685" i="1"/>
  <c r="J685" i="1" s="1"/>
  <c r="K685" i="1" s="1"/>
  <c r="I683" i="1"/>
  <c r="J683" i="1" s="1"/>
  <c r="K683" i="1" s="1"/>
  <c r="D675" i="1"/>
  <c r="I684" i="1"/>
  <c r="J684" i="1" s="1"/>
  <c r="K684" i="1" s="1"/>
  <c r="I686" i="1"/>
  <c r="J686" i="1" s="1"/>
  <c r="K686" i="1" s="1"/>
  <c r="D447" i="1" l="1"/>
  <c r="D464" i="1"/>
  <c r="D440" i="1"/>
  <c r="C460" i="1"/>
  <c r="D460" i="1"/>
  <c r="I456" i="1"/>
  <c r="H458" i="1"/>
  <c r="H459" i="1" s="1"/>
  <c r="H460" i="1" s="1"/>
  <c r="J456" i="1" l="1"/>
  <c r="I458" i="1"/>
  <c r="I459" i="1" s="1"/>
  <c r="I460" i="1" s="1"/>
  <c r="D646" i="1"/>
  <c r="D651" i="1" s="1"/>
  <c r="D652" i="1" s="1"/>
  <c r="D663" i="1"/>
  <c r="D664" i="1"/>
  <c r="D665" i="1" s="1"/>
  <c r="K456" i="1" l="1"/>
  <c r="J458" i="1"/>
  <c r="J459" i="1" s="1"/>
  <c r="J460" i="1" s="1"/>
  <c r="D667" i="1"/>
  <c r="D668" i="1" s="1"/>
  <c r="D545" i="1"/>
  <c r="D544" i="1"/>
  <c r="D538" i="1"/>
  <c r="D543" i="1" s="1"/>
  <c r="K458" i="1" l="1"/>
  <c r="K459" i="1" s="1"/>
  <c r="K460" i="1" s="1"/>
  <c r="L456" i="1"/>
  <c r="D548" i="1"/>
  <c r="D547" i="1"/>
  <c r="D625" i="1"/>
  <c r="D626" i="1" s="1"/>
  <c r="D627" i="1" s="1"/>
  <c r="D582" i="1"/>
  <c r="D414" i="1"/>
  <c r="D413" i="1"/>
  <c r="D587" i="1" l="1"/>
  <c r="D588" i="1" s="1"/>
  <c r="D586" i="1"/>
  <c r="D595" i="1" s="1"/>
  <c r="L458" i="1"/>
  <c r="L459" i="1" s="1"/>
  <c r="L460" i="1" s="1"/>
  <c r="M456" i="1"/>
  <c r="D584" i="1"/>
  <c r="D416" i="1"/>
  <c r="D592" i="1" l="1"/>
  <c r="D594" i="1"/>
  <c r="D591" i="1"/>
  <c r="D590" i="1"/>
  <c r="N456" i="1"/>
  <c r="M458" i="1"/>
  <c r="M459" i="1" s="1"/>
  <c r="M460" i="1" s="1"/>
  <c r="I558" i="1"/>
  <c r="J558" i="1"/>
  <c r="K558" i="1"/>
  <c r="I559" i="1"/>
  <c r="J559" i="1"/>
  <c r="K559" i="1"/>
  <c r="H561" i="1"/>
  <c r="I561" i="1"/>
  <c r="I563" i="1" s="1"/>
  <c r="J561" i="1"/>
  <c r="J563" i="1" s="1"/>
  <c r="K561" i="1"/>
  <c r="K562" i="1" s="1"/>
  <c r="D561" i="1"/>
  <c r="H552" i="1"/>
  <c r="H555" i="1" s="1"/>
  <c r="M555" i="1"/>
  <c r="I556" i="1"/>
  <c r="J556" i="1"/>
  <c r="K556" i="1"/>
  <c r="L556" i="1"/>
  <c r="K555" i="1"/>
  <c r="L555" i="1"/>
  <c r="I555" i="1"/>
  <c r="J555" i="1"/>
  <c r="I562" i="1" l="1"/>
  <c r="O456" i="1"/>
  <c r="N458" i="1"/>
  <c r="N459" i="1" s="1"/>
  <c r="N460" i="1" s="1"/>
  <c r="J562" i="1"/>
  <c r="H559" i="1"/>
  <c r="H562" i="1"/>
  <c r="H556" i="1"/>
  <c r="K563" i="1"/>
  <c r="H558" i="1"/>
  <c r="H563" i="1"/>
  <c r="P456" i="1" l="1"/>
  <c r="O458" i="1"/>
  <c r="O459" i="1" s="1"/>
  <c r="O460" i="1" s="1"/>
  <c r="Q456" i="1" l="1"/>
  <c r="P458" i="1"/>
  <c r="P459" i="1" s="1"/>
  <c r="P460" i="1" s="1"/>
  <c r="R456" i="1" l="1"/>
  <c r="Q458" i="1"/>
  <c r="Q459" i="1" s="1"/>
  <c r="Q460" i="1" s="1"/>
  <c r="S456" i="1" l="1"/>
  <c r="R458" i="1"/>
  <c r="R459" i="1" s="1"/>
  <c r="R460" i="1" s="1"/>
  <c r="T456" i="1" l="1"/>
  <c r="U456" i="1" s="1"/>
  <c r="S458" i="1"/>
  <c r="S459" i="1" s="1"/>
  <c r="S460" i="1" s="1"/>
  <c r="V456" i="1" l="1"/>
  <c r="V458" i="1" s="1"/>
  <c r="V459" i="1" s="1"/>
  <c r="V460" i="1" s="1"/>
  <c r="U458" i="1"/>
  <c r="U459" i="1" s="1"/>
  <c r="U460" i="1" s="1"/>
  <c r="T458" i="1"/>
  <c r="T459" i="1" s="1"/>
  <c r="T460" i="1" s="1"/>
  <c r="T11" i="6"/>
  <c r="U18" i="6" s="1"/>
  <c r="T10" i="6"/>
  <c r="T8" i="6"/>
  <c r="T16" i="6"/>
  <c r="T18" i="6" l="1"/>
  <c r="D524" i="1"/>
  <c r="D523" i="1"/>
  <c r="D518" i="1"/>
  <c r="D517" i="1"/>
  <c r="D512" i="1"/>
  <c r="D6" i="1"/>
  <c r="D672" i="1" s="1"/>
  <c r="D677" i="1" s="1"/>
  <c r="D5" i="1"/>
  <c r="D116" i="1" s="1"/>
  <c r="D516" i="1"/>
  <c r="D513" i="1"/>
  <c r="D119" i="1" l="1"/>
  <c r="D120" i="1" s="1"/>
  <c r="D263" i="1"/>
  <c r="W456" i="1"/>
  <c r="D552" i="1"/>
  <c r="D556" i="1" s="1"/>
  <c r="D671" i="1"/>
  <c r="D525" i="1"/>
  <c r="D531" i="1" s="1"/>
  <c r="D535" i="1"/>
  <c r="D534" i="1"/>
  <c r="D533" i="1" s="1"/>
  <c r="D490" i="1"/>
  <c r="D491" i="1" s="1"/>
  <c r="D527" i="1"/>
  <c r="D530" i="1" s="1"/>
  <c r="D526" i="1"/>
  <c r="D532" i="1" s="1"/>
  <c r="D519" i="1"/>
  <c r="D520" i="1"/>
  <c r="D135" i="1" l="1"/>
  <c r="D123" i="1"/>
  <c r="D144" i="1"/>
  <c r="D126" i="1"/>
  <c r="D562" i="1"/>
  <c r="D558" i="1"/>
  <c r="D559" i="1"/>
  <c r="D555" i="1"/>
  <c r="D563" i="1"/>
  <c r="X456" i="1"/>
  <c r="W458" i="1"/>
  <c r="W459" i="1" s="1"/>
  <c r="W460" i="1" s="1"/>
  <c r="M694" i="1"/>
  <c r="N694" i="1" s="1"/>
  <c r="L691" i="1"/>
  <c r="M691" i="1"/>
  <c r="N691" i="1" s="1"/>
  <c r="D676" i="1"/>
  <c r="M690" i="1"/>
  <c r="N690" i="1" s="1"/>
  <c r="L688" i="1"/>
  <c r="M689" i="1"/>
  <c r="N689" i="1" s="1"/>
  <c r="L687" i="1"/>
  <c r="L686" i="1"/>
  <c r="M687" i="1"/>
  <c r="N687" i="1" s="1"/>
  <c r="L685" i="1"/>
  <c r="L682" i="1"/>
  <c r="M682" i="1"/>
  <c r="N682" i="1" s="1"/>
  <c r="M681" i="1"/>
  <c r="N681" i="1" s="1"/>
  <c r="M680" i="1"/>
  <c r="N680" i="1" s="1"/>
  <c r="L694" i="1"/>
  <c r="L692" i="1"/>
  <c r="M692" i="1"/>
  <c r="N692" i="1" s="1"/>
  <c r="L690" i="1"/>
  <c r="L689" i="1"/>
  <c r="M688" i="1"/>
  <c r="N688" i="1" s="1"/>
  <c r="M686" i="1"/>
  <c r="N686" i="1" s="1"/>
  <c r="L684" i="1"/>
  <c r="M685" i="1"/>
  <c r="N685" i="1" s="1"/>
  <c r="L683" i="1"/>
  <c r="M684" i="1"/>
  <c r="N684" i="1" s="1"/>
  <c r="M683" i="1"/>
  <c r="N683" i="1" s="1"/>
  <c r="L680" i="1"/>
  <c r="L681" i="1"/>
  <c r="D528" i="1"/>
  <c r="D478" i="1"/>
  <c r="D480" i="1"/>
  <c r="D479" i="1"/>
  <c r="D505" i="1"/>
  <c r="D156" i="1" l="1"/>
  <c r="D214" i="1" s="1"/>
  <c r="D145" i="1"/>
  <c r="D157" i="1"/>
  <c r="D129" i="1"/>
  <c r="D218" i="1"/>
  <c r="D190" i="1"/>
  <c r="D195" i="1" s="1"/>
  <c r="D303" i="1"/>
  <c r="Y456" i="1"/>
  <c r="X458" i="1"/>
  <c r="X459" i="1" s="1"/>
  <c r="X460" i="1" s="1"/>
  <c r="D537" i="1"/>
  <c r="D541" i="1" s="1"/>
  <c r="D549" i="1" s="1"/>
  <c r="D550" i="1" s="1"/>
  <c r="D536" i="1"/>
  <c r="D481" i="1"/>
  <c r="D504" i="1"/>
  <c r="D508" i="1" s="1"/>
  <c r="D506" i="1"/>
  <c r="D499" i="1"/>
  <c r="D498" i="1"/>
  <c r="D496" i="1"/>
  <c r="D474" i="1" s="1"/>
  <c r="D494" i="1"/>
  <c r="D492" i="1"/>
  <c r="D468" i="1"/>
  <c r="H232" i="1" l="1"/>
  <c r="D223" i="1"/>
  <c r="I228" i="1" s="1"/>
  <c r="I233" i="1" s="1"/>
  <c r="D224" i="1"/>
  <c r="I230" i="1" s="1"/>
  <c r="I232" i="1" s="1"/>
  <c r="D130" i="1"/>
  <c r="D424" i="1"/>
  <c r="D430" i="1" s="1"/>
  <c r="D302" i="1"/>
  <c r="Z456" i="1"/>
  <c r="Y458" i="1"/>
  <c r="Y459" i="1" s="1"/>
  <c r="Y460" i="1" s="1"/>
  <c r="D433" i="1"/>
  <c r="D441" i="1" s="1"/>
  <c r="D493" i="1"/>
  <c r="D507" i="1"/>
  <c r="D509" i="1"/>
  <c r="D500" i="1"/>
  <c r="D501" i="1" s="1"/>
  <c r="D502" i="1" s="1"/>
  <c r="D503" i="1" s="1"/>
  <c r="D262" i="1"/>
  <c r="D265" i="1" s="1"/>
  <c r="D266" i="1" s="1"/>
  <c r="D270" i="1" s="1"/>
  <c r="D169" i="1"/>
  <c r="D182" i="1" s="1"/>
  <c r="I229" i="1" l="1"/>
  <c r="D146" i="1"/>
  <c r="D141" i="1"/>
  <c r="D134" i="1"/>
  <c r="D136" i="1" s="1"/>
  <c r="D448" i="1"/>
  <c r="D442" i="1"/>
  <c r="D425" i="1"/>
  <c r="D432" i="1" s="1"/>
  <c r="D443" i="1" s="1"/>
  <c r="D445" i="1"/>
  <c r="D272" i="1"/>
  <c r="D271" i="1"/>
  <c r="AA456" i="1"/>
  <c r="Z458" i="1"/>
  <c r="Z459" i="1" s="1"/>
  <c r="Z460" i="1" s="1"/>
  <c r="D194" i="1"/>
  <c r="D199" i="1"/>
  <c r="D196" i="1"/>
  <c r="D178" i="1"/>
  <c r="D170" i="1"/>
  <c r="D171" i="1" s="1"/>
  <c r="C36" i="5"/>
  <c r="C37" i="5" s="1"/>
  <c r="C35" i="5"/>
  <c r="C31" i="5"/>
  <c r="C30" i="5"/>
  <c r="C29" i="5"/>
  <c r="C25" i="5"/>
  <c r="C27" i="5" s="1"/>
  <c r="C23" i="5"/>
  <c r="C21" i="5"/>
  <c r="C34" i="5" s="1"/>
  <c r="C19" i="5"/>
  <c r="J228" i="1" l="1"/>
  <c r="J230" i="1"/>
  <c r="J229" i="1"/>
  <c r="D273" i="1"/>
  <c r="D283" i="1"/>
  <c r="D280" i="1"/>
  <c r="D282" i="1"/>
  <c r="D279" i="1"/>
  <c r="AB456" i="1"/>
  <c r="AA458" i="1"/>
  <c r="AA459" i="1" s="1"/>
  <c r="AA460" i="1" s="1"/>
  <c r="D438" i="1"/>
  <c r="D201" i="1"/>
  <c r="D166" i="1"/>
  <c r="D167" i="1" s="1"/>
  <c r="D173" i="1" s="1"/>
  <c r="D200" i="1"/>
  <c r="C26" i="5"/>
  <c r="K229" i="1" l="1"/>
  <c r="J232" i="1"/>
  <c r="K230" i="1"/>
  <c r="J233" i="1"/>
  <c r="K228" i="1"/>
  <c r="D281" i="1"/>
  <c r="D284" i="1"/>
  <c r="D285" i="1" s="1"/>
  <c r="AC456" i="1"/>
  <c r="AB458" i="1"/>
  <c r="AB459" i="1" s="1"/>
  <c r="AB460" i="1" s="1"/>
  <c r="D202" i="1"/>
  <c r="D207" i="1" s="1"/>
  <c r="D210" i="1" s="1"/>
  <c r="C37" i="4"/>
  <c r="C36" i="4"/>
  <c r="C25" i="4"/>
  <c r="C19" i="4"/>
  <c r="C23" i="4"/>
  <c r="C21" i="4"/>
  <c r="C34" i="4" s="1"/>
  <c r="C35" i="4"/>
  <c r="C31" i="4"/>
  <c r="C30" i="4"/>
  <c r="C29" i="4"/>
  <c r="C27" i="4"/>
  <c r="C26" i="4"/>
  <c r="D33" i="3"/>
  <c r="D32" i="3"/>
  <c r="D20" i="3"/>
  <c r="D25" i="3"/>
  <c r="D24" i="3"/>
  <c r="D29" i="3"/>
  <c r="D28" i="3"/>
  <c r="D27" i="3"/>
  <c r="C19" i="2"/>
  <c r="C18" i="2"/>
  <c r="C17" i="2"/>
  <c r="C9" i="2"/>
  <c r="C10" i="2" s="1"/>
  <c r="C7" i="2"/>
  <c r="C14" i="2" s="1"/>
  <c r="C5" i="2"/>
  <c r="C6" i="2" s="1"/>
  <c r="C13" i="2" s="1"/>
  <c r="D11" i="1"/>
  <c r="D33" i="1" s="1"/>
  <c r="R71" i="1"/>
  <c r="R69" i="1"/>
  <c r="R68" i="1"/>
  <c r="D10" i="1"/>
  <c r="D34" i="1" s="1"/>
  <c r="K233" i="1" l="1"/>
  <c r="L228" i="1"/>
  <c r="L229" i="1"/>
  <c r="K232" i="1"/>
  <c r="L230" i="1"/>
  <c r="D286" i="1"/>
  <c r="D296" i="1"/>
  <c r="AD456" i="1"/>
  <c r="AC458" i="1"/>
  <c r="AC459" i="1" s="1"/>
  <c r="AC460" i="1" s="1"/>
  <c r="C8" i="2"/>
  <c r="C15" i="2" s="1"/>
  <c r="R72" i="1"/>
  <c r="R74" i="1" s="1"/>
  <c r="R73" i="1"/>
  <c r="R76" i="1" s="1"/>
  <c r="L232" i="1" l="1"/>
  <c r="M230" i="1"/>
  <c r="M229" i="1"/>
  <c r="L233" i="1"/>
  <c r="M228" i="1"/>
  <c r="AE456" i="1"/>
  <c r="AD458" i="1"/>
  <c r="AD459" i="1" s="1"/>
  <c r="AD460" i="1" s="1"/>
  <c r="D94" i="1"/>
  <c r="N228" i="1" l="1"/>
  <c r="M233" i="1"/>
  <c r="Q165" i="1"/>
  <c r="Q166" i="1"/>
  <c r="N229" i="1"/>
  <c r="M232" i="1"/>
  <c r="Q167" i="1"/>
  <c r="N230" i="1"/>
  <c r="D95" i="1"/>
  <c r="D107" i="1" s="1"/>
  <c r="D111" i="1" s="1"/>
  <c r="AF456" i="1"/>
  <c r="AE458" i="1"/>
  <c r="AE459" i="1" s="1"/>
  <c r="AE460" i="1" s="1"/>
  <c r="R166" i="1" l="1"/>
  <c r="N232" i="1"/>
  <c r="O230" i="1"/>
  <c r="Q169" i="1"/>
  <c r="R167" i="1"/>
  <c r="O229" i="1"/>
  <c r="R165" i="1"/>
  <c r="O228" i="1"/>
  <c r="N233" i="1"/>
  <c r="D106" i="1"/>
  <c r="D110" i="1" s="1"/>
  <c r="D105" i="1"/>
  <c r="D109" i="1" s="1"/>
  <c r="D104" i="1"/>
  <c r="D108" i="1" s="1"/>
  <c r="AG456" i="1"/>
  <c r="AF458" i="1"/>
  <c r="AF459" i="1" s="1"/>
  <c r="AF460" i="1" s="1"/>
  <c r="D13" i="1"/>
  <c r="S165" i="1" l="1"/>
  <c r="O233" i="1"/>
  <c r="P228" i="1"/>
  <c r="P229" i="1"/>
  <c r="P230" i="1"/>
  <c r="O232" i="1"/>
  <c r="R169" i="1"/>
  <c r="S167" i="1"/>
  <c r="S166" i="1"/>
  <c r="AH456" i="1"/>
  <c r="AG458" i="1"/>
  <c r="AG459" i="1" s="1"/>
  <c r="AG460" i="1" s="1"/>
  <c r="D40" i="1"/>
  <c r="D43" i="1" s="1"/>
  <c r="D467" i="1"/>
  <c r="Q229" i="1" l="1"/>
  <c r="T166" i="1"/>
  <c r="T165" i="1"/>
  <c r="T167" i="1"/>
  <c r="S169" i="1"/>
  <c r="P232" i="1"/>
  <c r="Q230" i="1"/>
  <c r="P233" i="1"/>
  <c r="Q228" i="1"/>
  <c r="D44" i="1"/>
  <c r="AI456" i="1"/>
  <c r="AH458" i="1"/>
  <c r="AH459" i="1" s="1"/>
  <c r="AH460" i="1" s="1"/>
  <c r="D42" i="1"/>
  <c r="D204" i="1"/>
  <c r="D469" i="1"/>
  <c r="D483" i="1" s="1"/>
  <c r="D482" i="1"/>
  <c r="D485" i="1" s="1"/>
  <c r="D486" i="1" s="1"/>
  <c r="D47" i="1"/>
  <c r="Q232" i="1" l="1"/>
  <c r="R230" i="1"/>
  <c r="T169" i="1"/>
  <c r="U167" i="1"/>
  <c r="Q233" i="1"/>
  <c r="R229" i="1"/>
  <c r="R228" i="1"/>
  <c r="U165" i="1"/>
  <c r="U166" i="1"/>
  <c r="D45" i="1"/>
  <c r="D46" i="1" s="1"/>
  <c r="D51" i="1" s="1"/>
  <c r="D48" i="1"/>
  <c r="D160" i="1"/>
  <c r="D172" i="1" s="1"/>
  <c r="D174" i="1" s="1"/>
  <c r="D175" i="1" s="1"/>
  <c r="D176" i="1" s="1"/>
  <c r="D177" i="1" s="1"/>
  <c r="D184" i="1" s="1"/>
  <c r="D159" i="1"/>
  <c r="D379" i="1"/>
  <c r="D380" i="1" s="1"/>
  <c r="D307" i="1"/>
  <c r="D309" i="1" s="1"/>
  <c r="D306" i="1"/>
  <c r="D387" i="1"/>
  <c r="AJ456" i="1"/>
  <c r="AI458" i="1"/>
  <c r="AI459" i="1" s="1"/>
  <c r="AI460" i="1" s="1"/>
  <c r="D197" i="1"/>
  <c r="D205" i="1"/>
  <c r="D206" i="1"/>
  <c r="D471" i="1"/>
  <c r="D473" i="1" s="1"/>
  <c r="D488" i="1" s="1"/>
  <c r="D484" i="1"/>
  <c r="D22" i="1"/>
  <c r="D27" i="1"/>
  <c r="V166" i="1" l="1"/>
  <c r="S228" i="1"/>
  <c r="R233" i="1"/>
  <c r="V165" i="1"/>
  <c r="S229" i="1"/>
  <c r="V167" i="1"/>
  <c r="U169" i="1"/>
  <c r="R232" i="1"/>
  <c r="S230" i="1"/>
  <c r="D185" i="1"/>
  <c r="D208" i="1"/>
  <c r="D209" i="1"/>
  <c r="D639" i="1" s="1"/>
  <c r="D390" i="1"/>
  <c r="D389" i="1"/>
  <c r="D381" i="1"/>
  <c r="AK456" i="1"/>
  <c r="AJ458" i="1"/>
  <c r="AJ459" i="1" s="1"/>
  <c r="AJ460" i="1" s="1"/>
  <c r="D162" i="1"/>
  <c r="D179" i="1"/>
  <c r="D181" i="1" s="1"/>
  <c r="D15" i="1"/>
  <c r="D32" i="1"/>
  <c r="D49" i="1" s="1"/>
  <c r="D637" i="1"/>
  <c r="D28" i="1"/>
  <c r="D638" i="1" s="1"/>
  <c r="W165" i="1" l="1"/>
  <c r="S232" i="1"/>
  <c r="T230" i="1"/>
  <c r="W167" i="1"/>
  <c r="V169" i="1"/>
  <c r="T229" i="1"/>
  <c r="S233" i="1"/>
  <c r="T228" i="1"/>
  <c r="W166" i="1"/>
  <c r="D382" i="1"/>
  <c r="D409" i="1"/>
  <c r="D417" i="1" s="1"/>
  <c r="D419" i="1" s="1"/>
  <c r="D421" i="1" s="1"/>
  <c r="D113" i="1"/>
  <c r="D211" i="1"/>
  <c r="AL456" i="1"/>
  <c r="AK458" i="1"/>
  <c r="AK459" i="1" s="1"/>
  <c r="AK460" i="1" s="1"/>
  <c r="D212" i="1"/>
  <c r="D640" i="1"/>
  <c r="D647" i="1" s="1"/>
  <c r="D653" i="1" s="1"/>
  <c r="D654" i="1" s="1"/>
  <c r="D655" i="1" s="1"/>
  <c r="D656" i="1" s="1"/>
  <c r="X166" i="1" l="1"/>
  <c r="X165" i="1"/>
  <c r="T233" i="1"/>
  <c r="U228" i="1"/>
  <c r="U229" i="1"/>
  <c r="W169" i="1"/>
  <c r="X167" i="1"/>
  <c r="T232" i="1"/>
  <c r="U230" i="1"/>
  <c r="AM456" i="1"/>
  <c r="AL458" i="1"/>
  <c r="AL459" i="1" s="1"/>
  <c r="AL460" i="1" s="1"/>
  <c r="D658" i="1"/>
  <c r="D659" i="1" s="1"/>
  <c r="D660" i="1" s="1"/>
  <c r="D661" i="1" s="1"/>
  <c r="U232" i="1" l="1"/>
  <c r="V230" i="1"/>
  <c r="V229" i="1"/>
  <c r="X169" i="1"/>
  <c r="Y167" i="1"/>
  <c r="U233" i="1"/>
  <c r="V228" i="1"/>
  <c r="Y165" i="1"/>
  <c r="Y166" i="1"/>
  <c r="AN456" i="1"/>
  <c r="AM458" i="1"/>
  <c r="AM459" i="1" s="1"/>
  <c r="AM460" i="1" s="1"/>
  <c r="Z165" i="1" l="1"/>
  <c r="Z166" i="1"/>
  <c r="V233" i="1"/>
  <c r="W228" i="1"/>
  <c r="Y169" i="1"/>
  <c r="Z167" i="1"/>
  <c r="W229" i="1"/>
  <c r="W230" i="1"/>
  <c r="V232" i="1"/>
  <c r="AO456" i="1"/>
  <c r="AN458" i="1"/>
  <c r="AN459" i="1" s="1"/>
  <c r="AN460" i="1" s="1"/>
  <c r="T17" i="6"/>
  <c r="AA167" i="1" l="1"/>
  <c r="Z169" i="1"/>
  <c r="X230" i="1"/>
  <c r="W232" i="1"/>
  <c r="X229" i="1"/>
  <c r="W233" i="1"/>
  <c r="X228" i="1"/>
  <c r="AA166" i="1"/>
  <c r="AA165" i="1"/>
  <c r="AP456" i="1"/>
  <c r="AO458" i="1"/>
  <c r="AO459" i="1" s="1"/>
  <c r="AO460" i="1" s="1"/>
  <c r="T13" i="6"/>
  <c r="AB165" i="1" l="1"/>
  <c r="AB166" i="1"/>
  <c r="Y229" i="1"/>
  <c r="X233" i="1"/>
  <c r="Y228" i="1"/>
  <c r="Y230" i="1"/>
  <c r="X232" i="1"/>
  <c r="AA169" i="1"/>
  <c r="AB167" i="1"/>
  <c r="AQ456" i="1"/>
  <c r="AP458" i="1"/>
  <c r="AP459" i="1" s="1"/>
  <c r="AP460" i="1" s="1"/>
  <c r="T14" i="6"/>
  <c r="T15" i="6" s="1"/>
  <c r="Y232" i="1" l="1"/>
  <c r="Z230" i="1"/>
  <c r="AB169" i="1"/>
  <c r="AC167" i="1"/>
  <c r="Y233" i="1"/>
  <c r="Z228" i="1"/>
  <c r="Z229" i="1"/>
  <c r="AC166" i="1"/>
  <c r="AC165" i="1"/>
  <c r="AR456" i="1"/>
  <c r="AQ458" i="1"/>
  <c r="AQ459" i="1" s="1"/>
  <c r="AQ460" i="1" s="1"/>
  <c r="AD165" i="1" l="1"/>
  <c r="AA229" i="1"/>
  <c r="AD166" i="1"/>
  <c r="AA228" i="1"/>
  <c r="Z233" i="1"/>
  <c r="AC169" i="1"/>
  <c r="AD167" i="1"/>
  <c r="Z232" i="1"/>
  <c r="AA230" i="1"/>
  <c r="AS456" i="1"/>
  <c r="AR458" i="1"/>
  <c r="AR459" i="1" s="1"/>
  <c r="AR460" i="1" s="1"/>
  <c r="AB230" i="1" l="1"/>
  <c r="AA232" i="1"/>
  <c r="AD169" i="1"/>
  <c r="AE167" i="1"/>
  <c r="AA233" i="1"/>
  <c r="AB228" i="1"/>
  <c r="AB229" i="1"/>
  <c r="AE166" i="1"/>
  <c r="AE165" i="1"/>
  <c r="AT456" i="1"/>
  <c r="AS458" i="1"/>
  <c r="AS459" i="1" s="1"/>
  <c r="AS460" i="1" s="1"/>
  <c r="AF165" i="1" l="1"/>
  <c r="AC229" i="1"/>
  <c r="AF166" i="1"/>
  <c r="AB233" i="1"/>
  <c r="AC228" i="1"/>
  <c r="AF167" i="1"/>
  <c r="AE169" i="1"/>
  <c r="AB232" i="1"/>
  <c r="AC230" i="1"/>
  <c r="AU456" i="1"/>
  <c r="AT458" i="1"/>
  <c r="AT459" i="1" s="1"/>
  <c r="AT460" i="1" s="1"/>
  <c r="AC232" i="1" l="1"/>
  <c r="AD230" i="1"/>
  <c r="AF169" i="1"/>
  <c r="AG167" i="1"/>
  <c r="AD229" i="1"/>
  <c r="AC233" i="1"/>
  <c r="AD228" i="1"/>
  <c r="AG166" i="1"/>
  <c r="AG165" i="1"/>
  <c r="AV456" i="1"/>
  <c r="AU458" i="1"/>
  <c r="AU459" i="1" s="1"/>
  <c r="AU460" i="1" s="1"/>
  <c r="AH165" i="1" l="1"/>
  <c r="AD233" i="1"/>
  <c r="AE228" i="1"/>
  <c r="AH166" i="1"/>
  <c r="AE229" i="1"/>
  <c r="AG169" i="1"/>
  <c r="AH167" i="1"/>
  <c r="AD232" i="1"/>
  <c r="AE230" i="1"/>
  <c r="AW456" i="1"/>
  <c r="AV458" i="1"/>
  <c r="AV459" i="1" s="1"/>
  <c r="AV460" i="1" s="1"/>
  <c r="AE232" i="1" l="1"/>
  <c r="AF230" i="1"/>
  <c r="AI167" i="1"/>
  <c r="AH169" i="1"/>
  <c r="AF229" i="1"/>
  <c r="AI166" i="1"/>
  <c r="AF228" i="1"/>
  <c r="AE233" i="1"/>
  <c r="AI165" i="1"/>
  <c r="AJ165" i="1" s="1"/>
  <c r="AX456" i="1"/>
  <c r="AW458" i="1"/>
  <c r="AW459" i="1" s="1"/>
  <c r="AW460" i="1" s="1"/>
  <c r="AF233" i="1" l="1"/>
  <c r="AG228" i="1"/>
  <c r="AJ166" i="1"/>
  <c r="AG229" i="1"/>
  <c r="AJ167" i="1"/>
  <c r="AI169" i="1"/>
  <c r="AG230" i="1"/>
  <c r="AF232" i="1"/>
  <c r="AY456" i="1"/>
  <c r="AX458" i="1"/>
  <c r="AX459" i="1" s="1"/>
  <c r="AX460" i="1" s="1"/>
  <c r="AG232" i="1" l="1"/>
  <c r="AH230" i="1"/>
  <c r="AJ169" i="1"/>
  <c r="AK167" i="1"/>
  <c r="AH229" i="1"/>
  <c r="AK166" i="1"/>
  <c r="AG233" i="1"/>
  <c r="AH228" i="1"/>
  <c r="AK165" i="1"/>
  <c r="AL165" i="1" s="1"/>
  <c r="AZ456" i="1"/>
  <c r="AY458" i="1"/>
  <c r="AY459" i="1" s="1"/>
  <c r="AY460" i="1" s="1"/>
  <c r="AH233" i="1" l="1"/>
  <c r="AI228" i="1"/>
  <c r="AL166" i="1"/>
  <c r="AI229" i="1"/>
  <c r="AL167" i="1"/>
  <c r="AK169" i="1"/>
  <c r="AH232" i="1"/>
  <c r="AI230" i="1"/>
  <c r="BA456" i="1"/>
  <c r="AZ458" i="1"/>
  <c r="AZ459" i="1" s="1"/>
  <c r="AZ460" i="1" s="1"/>
  <c r="AJ230" i="1" l="1"/>
  <c r="AI232" i="1"/>
  <c r="AL169" i="1"/>
  <c r="AM167" i="1"/>
  <c r="AJ229" i="1"/>
  <c r="AM166" i="1"/>
  <c r="AI233" i="1"/>
  <c r="AJ228" i="1"/>
  <c r="AM165" i="1"/>
  <c r="AN165" i="1" s="1"/>
  <c r="BB456" i="1"/>
  <c r="BA458" i="1"/>
  <c r="BA459" i="1" s="1"/>
  <c r="BA460" i="1" s="1"/>
  <c r="AK228" i="1" l="1"/>
  <c r="AJ233" i="1"/>
  <c r="AN166" i="1"/>
  <c r="AK229" i="1"/>
  <c r="AN167" i="1"/>
  <c r="AM169" i="1"/>
  <c r="AK230" i="1"/>
  <c r="AJ232" i="1"/>
  <c r="BC456" i="1"/>
  <c r="BB458" i="1"/>
  <c r="BB459" i="1" s="1"/>
  <c r="BB460" i="1" s="1"/>
  <c r="AO167" i="1" l="1"/>
  <c r="AN169" i="1"/>
  <c r="AK232" i="1"/>
  <c r="AL230" i="1"/>
  <c r="AL229" i="1"/>
  <c r="AO166" i="1"/>
  <c r="AO165" i="1"/>
  <c r="AK233" i="1"/>
  <c r="AL228" i="1"/>
  <c r="BD456" i="1"/>
  <c r="BC458" i="1"/>
  <c r="BC459" i="1" s="1"/>
  <c r="BC460" i="1" s="1"/>
  <c r="AP165" i="1" l="1"/>
  <c r="AL233" i="1"/>
  <c r="AM228" i="1"/>
  <c r="AP166" i="1"/>
  <c r="AL232" i="1"/>
  <c r="AM230" i="1"/>
  <c r="AM229" i="1"/>
  <c r="AP167" i="1"/>
  <c r="AO169" i="1"/>
  <c r="BE456" i="1"/>
  <c r="BD458" i="1"/>
  <c r="BD459" i="1" s="1"/>
  <c r="BD460" i="1" s="1"/>
  <c r="AN229" i="1" l="1"/>
  <c r="AQ166" i="1"/>
  <c r="AQ165" i="1"/>
  <c r="AP169" i="1"/>
  <c r="AQ167" i="1"/>
  <c r="AM232" i="1"/>
  <c r="AN230" i="1"/>
  <c r="AM233" i="1"/>
  <c r="AN228" i="1"/>
  <c r="BF456" i="1"/>
  <c r="BE458" i="1"/>
  <c r="BE459" i="1" s="1"/>
  <c r="BE460" i="1" s="1"/>
  <c r="AR165" i="1" l="1"/>
  <c r="AO228" i="1"/>
  <c r="AN233" i="1"/>
  <c r="AO229" i="1"/>
  <c r="AO230" i="1"/>
  <c r="AN232" i="1"/>
  <c r="AQ169" i="1"/>
  <c r="AR167" i="1"/>
  <c r="AR166" i="1"/>
  <c r="BG456" i="1"/>
  <c r="BF458" i="1"/>
  <c r="BF459" i="1" s="1"/>
  <c r="BF460" i="1" s="1"/>
  <c r="AS165" i="1" l="1"/>
  <c r="AS166" i="1"/>
  <c r="AS167" i="1"/>
  <c r="AR169" i="1"/>
  <c r="AO232" i="1"/>
  <c r="AP230" i="1"/>
  <c r="AP229" i="1"/>
  <c r="AO233" i="1"/>
  <c r="AP228" i="1"/>
  <c r="BH456" i="1"/>
  <c r="BG458" i="1"/>
  <c r="BG459" i="1" s="1"/>
  <c r="BG460" i="1" s="1"/>
  <c r="AT166" i="1" l="1"/>
  <c r="AQ229" i="1"/>
  <c r="AP233" i="1"/>
  <c r="AQ228" i="1"/>
  <c r="AQ230" i="1"/>
  <c r="AP232" i="1"/>
  <c r="AT167" i="1"/>
  <c r="AS169" i="1"/>
  <c r="AT165" i="1"/>
  <c r="BI456" i="1"/>
  <c r="BH458" i="1"/>
  <c r="BH459" i="1" s="1"/>
  <c r="BH460" i="1" s="1"/>
  <c r="AU165" i="1" l="1"/>
  <c r="AU166" i="1"/>
  <c r="AT169" i="1"/>
  <c r="AU167" i="1"/>
  <c r="AR230" i="1"/>
  <c r="AQ232" i="1"/>
  <c r="AR229" i="1"/>
  <c r="AQ233" i="1"/>
  <c r="AR228" i="1"/>
  <c r="BJ456" i="1"/>
  <c r="BI458" i="1"/>
  <c r="BI459" i="1" s="1"/>
  <c r="BI460" i="1" s="1"/>
  <c r="AS228" i="1" l="1"/>
  <c r="AR233" i="1"/>
  <c r="AS229" i="1"/>
  <c r="AS230" i="1"/>
  <c r="AR232" i="1"/>
  <c r="AU169" i="1"/>
  <c r="AV167" i="1"/>
  <c r="AV166" i="1"/>
  <c r="AV165" i="1"/>
  <c r="BK456" i="1"/>
  <c r="BJ458" i="1"/>
  <c r="BJ459" i="1" s="1"/>
  <c r="BJ460" i="1" s="1"/>
  <c r="AW165" i="1" l="1"/>
  <c r="AW166" i="1"/>
  <c r="AW167" i="1"/>
  <c r="AV169" i="1"/>
  <c r="AS232" i="1"/>
  <c r="AT230" i="1"/>
  <c r="AT229" i="1"/>
  <c r="AS233" i="1"/>
  <c r="AT228" i="1"/>
  <c r="BL456" i="1"/>
  <c r="BK458" i="1"/>
  <c r="BK459" i="1" s="1"/>
  <c r="BK460" i="1" s="1"/>
  <c r="AU229" i="1" l="1"/>
  <c r="AT232" i="1"/>
  <c r="AU230" i="1"/>
  <c r="AX167" i="1"/>
  <c r="AW169" i="1"/>
  <c r="AT233" i="1"/>
  <c r="AU228" i="1"/>
  <c r="AX166" i="1"/>
  <c r="AX165" i="1"/>
  <c r="BM456" i="1"/>
  <c r="BL458" i="1"/>
  <c r="BL459" i="1" s="1"/>
  <c r="BL460" i="1" s="1"/>
  <c r="AY165" i="1" l="1"/>
  <c r="AY166" i="1"/>
  <c r="AU232" i="1"/>
  <c r="AV230" i="1"/>
  <c r="AU233" i="1"/>
  <c r="AV228" i="1"/>
  <c r="AX169" i="1"/>
  <c r="AY167" i="1"/>
  <c r="AV229" i="1"/>
  <c r="AW229" i="1" s="1"/>
  <c r="BN456" i="1"/>
  <c r="BM458" i="1"/>
  <c r="BM459" i="1" s="1"/>
  <c r="BM460" i="1" s="1"/>
  <c r="AV233" i="1" l="1"/>
  <c r="AW228" i="1"/>
  <c r="AZ167" i="1"/>
  <c r="AY169" i="1"/>
  <c r="AZ165" i="1"/>
  <c r="AW230" i="1"/>
  <c r="AV232" i="1"/>
  <c r="AZ166" i="1"/>
  <c r="BA166" i="1" s="1"/>
  <c r="BO456" i="1"/>
  <c r="BN458" i="1"/>
  <c r="BN459" i="1" s="1"/>
  <c r="BN460" i="1" s="1"/>
  <c r="AW232" i="1" l="1"/>
  <c r="AX230" i="1"/>
  <c r="BA165" i="1"/>
  <c r="AZ169" i="1"/>
  <c r="BA167" i="1"/>
  <c r="AX229" i="1"/>
  <c r="AW233" i="1"/>
  <c r="AX228" i="1"/>
  <c r="BP456" i="1"/>
  <c r="BO458" i="1"/>
  <c r="BO459" i="1" s="1"/>
  <c r="BO460" i="1" s="1"/>
  <c r="AX233" i="1" l="1"/>
  <c r="AY228" i="1"/>
  <c r="AY229" i="1"/>
  <c r="BB165" i="1"/>
  <c r="BB166" i="1"/>
  <c r="AX232" i="1"/>
  <c r="AY230" i="1"/>
  <c r="BB167" i="1"/>
  <c r="BA169" i="1"/>
  <c r="BQ456" i="1"/>
  <c r="BP458" i="1"/>
  <c r="BP459" i="1" s="1"/>
  <c r="BP460" i="1" s="1"/>
  <c r="BC167" i="1" l="1"/>
  <c r="BB169" i="1"/>
  <c r="BC166" i="1"/>
  <c r="AZ229" i="1"/>
  <c r="AY233" i="1"/>
  <c r="AZ228" i="1"/>
  <c r="AY232" i="1"/>
  <c r="AZ230" i="1"/>
  <c r="BC165" i="1"/>
  <c r="BR456" i="1"/>
  <c r="BQ458" i="1"/>
  <c r="BQ459" i="1" s="1"/>
  <c r="BQ460" i="1" s="1"/>
  <c r="BD165" i="1" l="1"/>
  <c r="AZ233" i="1"/>
  <c r="BA228" i="1"/>
  <c r="AZ232" i="1"/>
  <c r="BA230" i="1"/>
  <c r="BA229" i="1"/>
  <c r="BB229" i="1" s="1"/>
  <c r="BD166" i="1"/>
  <c r="BD167" i="1"/>
  <c r="BC169" i="1"/>
  <c r="BS456" i="1"/>
  <c r="BR458" i="1"/>
  <c r="BR459" i="1" s="1"/>
  <c r="BR460" i="1" s="1"/>
  <c r="BE166" i="1" l="1"/>
  <c r="BA232" i="1"/>
  <c r="BB230" i="1"/>
  <c r="BE167" i="1"/>
  <c r="BD169" i="1"/>
  <c r="BE165" i="1"/>
  <c r="BA233" i="1"/>
  <c r="BB228" i="1"/>
  <c r="BT456" i="1"/>
  <c r="BS458" i="1"/>
  <c r="BS459" i="1" s="1"/>
  <c r="BS460" i="1" s="1"/>
  <c r="BC228" i="1" l="1"/>
  <c r="BB233" i="1"/>
  <c r="BF165" i="1"/>
  <c r="BF166" i="1"/>
  <c r="BE169" i="1"/>
  <c r="BF167" i="1"/>
  <c r="BB232" i="1"/>
  <c r="BC230" i="1"/>
  <c r="BC229" i="1"/>
  <c r="BU456" i="1"/>
  <c r="BT458" i="1"/>
  <c r="BT459" i="1" s="1"/>
  <c r="BT460" i="1" s="1"/>
  <c r="BD229" i="1" l="1"/>
  <c r="BC232" i="1"/>
  <c r="BD230" i="1"/>
  <c r="BG167" i="1"/>
  <c r="BF169" i="1"/>
  <c r="BG166" i="1"/>
  <c r="BG165" i="1"/>
  <c r="BC233" i="1"/>
  <c r="BD228" i="1"/>
  <c r="BV456" i="1"/>
  <c r="BU458" i="1"/>
  <c r="BU459" i="1" s="1"/>
  <c r="BU460" i="1" s="1"/>
  <c r="BH165" i="1" l="1"/>
  <c r="BD233" i="1"/>
  <c r="BE229" i="1"/>
  <c r="BE228" i="1"/>
  <c r="BH166" i="1"/>
  <c r="BH167" i="1"/>
  <c r="BG169" i="1"/>
  <c r="BE230" i="1"/>
  <c r="BD232" i="1"/>
  <c r="BW456" i="1"/>
  <c r="BV458" i="1"/>
  <c r="BV459" i="1" s="1"/>
  <c r="BV460" i="1" s="1"/>
  <c r="BF230" i="1" l="1"/>
  <c r="BE232" i="1"/>
  <c r="BH169" i="1"/>
  <c r="BI167" i="1"/>
  <c r="BI166" i="1"/>
  <c r="BI165" i="1"/>
  <c r="BE233" i="1"/>
  <c r="BF228" i="1"/>
  <c r="BF229" i="1"/>
  <c r="BX456" i="1"/>
  <c r="BW458" i="1"/>
  <c r="BW459" i="1" s="1"/>
  <c r="BW460" i="1" s="1"/>
  <c r="BJ165" i="1" l="1"/>
  <c r="BG229" i="1"/>
  <c r="BG228" i="1"/>
  <c r="BF233" i="1"/>
  <c r="BJ166" i="1"/>
  <c r="BJ167" i="1"/>
  <c r="BI169" i="1"/>
  <c r="BG230" i="1"/>
  <c r="BF232" i="1"/>
  <c r="BY456" i="1"/>
  <c r="BX458" i="1"/>
  <c r="BX459" i="1" s="1"/>
  <c r="BX460" i="1" s="1"/>
  <c r="BG232" i="1" l="1"/>
  <c r="BH230" i="1"/>
  <c r="BJ169" i="1"/>
  <c r="BK167" i="1"/>
  <c r="BK165" i="1"/>
  <c r="BK166" i="1"/>
  <c r="BG233" i="1"/>
  <c r="BH228" i="1"/>
  <c r="BH229" i="1"/>
  <c r="BZ456" i="1"/>
  <c r="BY458" i="1"/>
  <c r="BY459" i="1" s="1"/>
  <c r="BY460" i="1" s="1"/>
  <c r="BL166" i="1" l="1"/>
  <c r="BH233" i="1"/>
  <c r="BI228" i="1"/>
  <c r="BI229" i="1"/>
  <c r="BL165" i="1"/>
  <c r="BL167" i="1"/>
  <c r="BK169" i="1"/>
  <c r="BI230" i="1"/>
  <c r="BH232" i="1"/>
  <c r="CA456" i="1"/>
  <c r="BZ458" i="1"/>
  <c r="BZ459" i="1" s="1"/>
  <c r="BZ460" i="1" s="1"/>
  <c r="BI232" i="1" l="1"/>
  <c r="BJ230" i="1"/>
  <c r="BL169" i="1"/>
  <c r="BM167" i="1"/>
  <c r="BM165" i="1"/>
  <c r="BM166" i="1"/>
  <c r="BJ229" i="1"/>
  <c r="BJ228" i="1"/>
  <c r="BI233" i="1"/>
  <c r="CB456" i="1"/>
  <c r="CA458" i="1"/>
  <c r="CA459" i="1" s="1"/>
  <c r="CA460" i="1" s="1"/>
  <c r="BN166" i="1" l="1"/>
  <c r="BK229" i="1"/>
  <c r="BK228" i="1"/>
  <c r="BJ233" i="1"/>
  <c r="BN165" i="1"/>
  <c r="BN167" i="1"/>
  <c r="BM169" i="1"/>
  <c r="BK230" i="1"/>
  <c r="BJ232" i="1"/>
  <c r="CC456" i="1"/>
  <c r="CB458" i="1"/>
  <c r="CB459" i="1" s="1"/>
  <c r="CB460" i="1" s="1"/>
  <c r="BO165" i="1" l="1"/>
  <c r="BO166" i="1"/>
  <c r="BL230" i="1"/>
  <c r="BK232" i="1"/>
  <c r="BN169" i="1"/>
  <c r="BO167" i="1"/>
  <c r="BL228" i="1"/>
  <c r="BK233" i="1"/>
  <c r="BL229" i="1"/>
  <c r="BM229" i="1" s="1"/>
  <c r="CD456" i="1"/>
  <c r="CC458" i="1"/>
  <c r="CC459" i="1" s="1"/>
  <c r="CC460" i="1" s="1"/>
  <c r="BP166" i="1" l="1"/>
  <c r="BL233" i="1"/>
  <c r="BM228" i="1"/>
  <c r="BO169" i="1"/>
  <c r="BP167" i="1"/>
  <c r="BM230" i="1"/>
  <c r="BL232" i="1"/>
  <c r="BP165" i="1"/>
  <c r="CE456" i="1"/>
  <c r="CD458" i="1"/>
  <c r="CD459" i="1" s="1"/>
  <c r="CD460" i="1" s="1"/>
  <c r="BQ165" i="1" l="1"/>
  <c r="BQ167" i="1"/>
  <c r="BP169" i="1"/>
  <c r="BM232" i="1"/>
  <c r="BN230" i="1"/>
  <c r="BM233" i="1"/>
  <c r="BN228" i="1"/>
  <c r="BN229" i="1"/>
  <c r="BQ166" i="1"/>
  <c r="CF456" i="1"/>
  <c r="CE458" i="1"/>
  <c r="CE459" i="1" s="1"/>
  <c r="CE460" i="1" s="1"/>
  <c r="BR166" i="1" l="1"/>
  <c r="BO229" i="1"/>
  <c r="BO230" i="1"/>
  <c r="BN232" i="1"/>
  <c r="BN233" i="1"/>
  <c r="BO228" i="1"/>
  <c r="BQ169" i="1"/>
  <c r="BR167" i="1"/>
  <c r="BR165" i="1"/>
  <c r="CG456" i="1"/>
  <c r="CF458" i="1"/>
  <c r="CF459" i="1" s="1"/>
  <c r="CF460" i="1" s="1"/>
  <c r="BS165" i="1" l="1"/>
  <c r="BS167" i="1"/>
  <c r="BR169" i="1"/>
  <c r="BP228" i="1"/>
  <c r="BO233" i="1"/>
  <c r="BO232" i="1"/>
  <c r="BP230" i="1"/>
  <c r="BP229" i="1"/>
  <c r="BS166" i="1"/>
  <c r="CH456" i="1"/>
  <c r="CG458" i="1"/>
  <c r="CG459" i="1" s="1"/>
  <c r="CG460" i="1" s="1"/>
  <c r="BQ229" i="1" l="1"/>
  <c r="BT165" i="1"/>
  <c r="BT166" i="1"/>
  <c r="BP232" i="1"/>
  <c r="BQ230" i="1"/>
  <c r="BQ228" i="1"/>
  <c r="BP233" i="1"/>
  <c r="BS169" i="1"/>
  <c r="BT167" i="1"/>
  <c r="CI456" i="1"/>
  <c r="CH458" i="1"/>
  <c r="CH459" i="1" s="1"/>
  <c r="CH460" i="1" s="1"/>
  <c r="BT169" i="1" l="1"/>
  <c r="BU167" i="1"/>
  <c r="BQ232" i="1"/>
  <c r="BR230" i="1"/>
  <c r="BR229" i="1"/>
  <c r="BQ233" i="1"/>
  <c r="BR228" i="1"/>
  <c r="BU166" i="1"/>
  <c r="BU165" i="1"/>
  <c r="CJ456" i="1"/>
  <c r="CI458" i="1"/>
  <c r="CI459" i="1" s="1"/>
  <c r="CI460" i="1" s="1"/>
  <c r="BV165" i="1" l="1"/>
  <c r="BV166" i="1"/>
  <c r="BS228" i="1"/>
  <c r="BR233" i="1"/>
  <c r="BR232" i="1"/>
  <c r="BS230" i="1"/>
  <c r="BS229" i="1"/>
  <c r="BU169" i="1"/>
  <c r="BV167" i="1"/>
  <c r="CK456" i="1"/>
  <c r="CJ458" i="1"/>
  <c r="CJ459" i="1" s="1"/>
  <c r="CJ460" i="1" s="1"/>
  <c r="BT229" i="1" l="1"/>
  <c r="BW167" i="1"/>
  <c r="BV169" i="1"/>
  <c r="BT230" i="1"/>
  <c r="BS232" i="1"/>
  <c r="BS233" i="1"/>
  <c r="BT228" i="1"/>
  <c r="BW165" i="1"/>
  <c r="BW166" i="1"/>
  <c r="CL456" i="1"/>
  <c r="CK458" i="1"/>
  <c r="CK459" i="1" s="1"/>
  <c r="CK460" i="1" s="1"/>
  <c r="BX166" i="1" l="1"/>
  <c r="BT233" i="1"/>
  <c r="BU229" i="1"/>
  <c r="BU228" i="1"/>
  <c r="BX165" i="1"/>
  <c r="BT232" i="1"/>
  <c r="BU230" i="1"/>
  <c r="BW169" i="1"/>
  <c r="BX167" i="1"/>
  <c r="CM456" i="1"/>
  <c r="CL458" i="1"/>
  <c r="CL459" i="1" s="1"/>
  <c r="CL460" i="1" s="1"/>
  <c r="BY167" i="1" l="1"/>
  <c r="BX169" i="1"/>
  <c r="BV230" i="1"/>
  <c r="BU232" i="1"/>
  <c r="BY166" i="1"/>
  <c r="BY165" i="1"/>
  <c r="BU233" i="1"/>
  <c r="BV228" i="1"/>
  <c r="BV229" i="1"/>
  <c r="CN456" i="1"/>
  <c r="CM458" i="1"/>
  <c r="CM459" i="1" s="1"/>
  <c r="CM460" i="1" s="1"/>
  <c r="BZ165" i="1" l="1"/>
  <c r="BW229" i="1"/>
  <c r="BW228" i="1"/>
  <c r="BV233" i="1"/>
  <c r="BZ166" i="1"/>
  <c r="BW230" i="1"/>
  <c r="BV232" i="1"/>
  <c r="BZ167" i="1"/>
  <c r="BY169" i="1"/>
  <c r="CO456" i="1"/>
  <c r="CN458" i="1"/>
  <c r="CN459" i="1" s="1"/>
  <c r="CN460" i="1" s="1"/>
  <c r="BZ169" i="1" l="1"/>
  <c r="CA167" i="1"/>
  <c r="BX230" i="1"/>
  <c r="BW232" i="1"/>
  <c r="CA166" i="1"/>
  <c r="CA165" i="1"/>
  <c r="BW233" i="1"/>
  <c r="BX228" i="1"/>
  <c r="BX229" i="1"/>
  <c r="CP456" i="1"/>
  <c r="CO458" i="1"/>
  <c r="CO459" i="1" s="1"/>
  <c r="CO460" i="1" s="1"/>
  <c r="CB165" i="1" l="1"/>
  <c r="BY229" i="1"/>
  <c r="BY228" i="1"/>
  <c r="BX233" i="1"/>
  <c r="CB166" i="1"/>
  <c r="BX232" i="1"/>
  <c r="BY230" i="1"/>
  <c r="CB167" i="1"/>
  <c r="CA169" i="1"/>
  <c r="CQ456" i="1"/>
  <c r="CP458" i="1"/>
  <c r="CP459" i="1" s="1"/>
  <c r="CP460" i="1" s="1"/>
  <c r="CB169" i="1" l="1"/>
  <c r="CC167" i="1"/>
  <c r="BZ230" i="1"/>
  <c r="BY232" i="1"/>
  <c r="CC165" i="1"/>
  <c r="CC166" i="1"/>
  <c r="BZ228" i="1"/>
  <c r="BY233" i="1"/>
  <c r="BZ229" i="1"/>
  <c r="CA229" i="1" s="1"/>
  <c r="CR456" i="1"/>
  <c r="CQ458" i="1"/>
  <c r="CQ459" i="1" s="1"/>
  <c r="CQ460" i="1" s="1"/>
  <c r="CD166" i="1" l="1"/>
  <c r="CA228" i="1"/>
  <c r="BZ233" i="1"/>
  <c r="CD165" i="1"/>
  <c r="BZ232" i="1"/>
  <c r="CA230" i="1"/>
  <c r="CC169" i="1"/>
  <c r="CD167" i="1"/>
  <c r="CS456" i="1"/>
  <c r="CR458" i="1"/>
  <c r="CR459" i="1" s="1"/>
  <c r="CR460" i="1" s="1"/>
  <c r="CD169" i="1" l="1"/>
  <c r="CE167" i="1"/>
  <c r="CB230" i="1"/>
  <c r="CA232" i="1"/>
  <c r="CE165" i="1"/>
  <c r="CE166" i="1"/>
  <c r="CA233" i="1"/>
  <c r="CB228" i="1"/>
  <c r="CB229" i="1"/>
  <c r="CT456" i="1"/>
  <c r="CS458" i="1"/>
  <c r="CS459" i="1" s="1"/>
  <c r="CS460" i="1" s="1"/>
  <c r="CC229" i="1" l="1"/>
  <c r="CF165" i="1"/>
  <c r="CC228" i="1"/>
  <c r="CB233" i="1"/>
  <c r="CF166" i="1"/>
  <c r="CB232" i="1"/>
  <c r="CC230" i="1"/>
  <c r="CF167" i="1"/>
  <c r="CE169" i="1"/>
  <c r="CU456" i="1"/>
  <c r="CT458" i="1"/>
  <c r="CT459" i="1" s="1"/>
  <c r="CT460" i="1" s="1"/>
  <c r="CC232" i="1" l="1"/>
  <c r="CD230" i="1"/>
  <c r="CG167" i="1"/>
  <c r="CF169" i="1"/>
  <c r="CG166" i="1"/>
  <c r="CG165" i="1"/>
  <c r="CH165" i="1" s="1"/>
  <c r="CC233" i="1"/>
  <c r="CD228" i="1"/>
  <c r="CD229" i="1"/>
  <c r="CV456" i="1"/>
  <c r="CU458" i="1"/>
  <c r="CU459" i="1" s="1"/>
  <c r="CU460" i="1" s="1"/>
  <c r="CE229" i="1" l="1"/>
  <c r="CE228" i="1"/>
  <c r="CD233" i="1"/>
  <c r="CH166" i="1"/>
  <c r="CG169" i="1"/>
  <c r="CH167" i="1"/>
  <c r="CE230" i="1"/>
  <c r="CD232" i="1"/>
  <c r="CW456" i="1"/>
  <c r="CV458" i="1"/>
  <c r="CV459" i="1" s="1"/>
  <c r="CV460" i="1" s="1"/>
  <c r="CI167" i="1" l="1"/>
  <c r="CH169" i="1"/>
  <c r="CE233" i="1"/>
  <c r="CF228" i="1"/>
  <c r="CF230" i="1"/>
  <c r="CE232" i="1"/>
  <c r="CI165" i="1"/>
  <c r="CI166" i="1"/>
  <c r="CF229" i="1"/>
  <c r="CG229" i="1" s="1"/>
  <c r="CX456" i="1"/>
  <c r="CW458" i="1"/>
  <c r="CW459" i="1" s="1"/>
  <c r="CW460" i="1" s="1"/>
  <c r="CJ165" i="1" l="1"/>
  <c r="CG228" i="1"/>
  <c r="CF233" i="1"/>
  <c r="CJ166" i="1"/>
  <c r="CF232" i="1"/>
  <c r="CG230" i="1"/>
  <c r="CJ167" i="1"/>
  <c r="CI169" i="1"/>
  <c r="CY456" i="1"/>
  <c r="CX458" i="1"/>
  <c r="CX459" i="1" s="1"/>
  <c r="CX460" i="1" s="1"/>
  <c r="CK167" i="1" l="1"/>
  <c r="CJ169" i="1"/>
  <c r="CG232" i="1"/>
  <c r="CH230" i="1"/>
  <c r="CK165" i="1"/>
  <c r="CK166" i="1"/>
  <c r="CG233" i="1"/>
  <c r="CH228" i="1"/>
  <c r="CH229" i="1"/>
  <c r="CZ456" i="1"/>
  <c r="CY458" i="1"/>
  <c r="CY459" i="1" s="1"/>
  <c r="CY460" i="1" s="1"/>
  <c r="CL165" i="1" l="1"/>
  <c r="CH233" i="1"/>
  <c r="CI228" i="1"/>
  <c r="CI229" i="1"/>
  <c r="CL166" i="1"/>
  <c r="CH232" i="1"/>
  <c r="CI230" i="1"/>
  <c r="CL167" i="1"/>
  <c r="CK169" i="1"/>
  <c r="DA456" i="1"/>
  <c r="DA458" i="1" s="1"/>
  <c r="DA459" i="1" s="1"/>
  <c r="DA460" i="1" s="1"/>
  <c r="CZ458" i="1"/>
  <c r="CZ459" i="1" s="1"/>
  <c r="CZ460" i="1" s="1"/>
  <c r="CM167" i="1" l="1"/>
  <c r="CL169" i="1"/>
  <c r="CJ230" i="1"/>
  <c r="CI232" i="1"/>
  <c r="CI233" i="1"/>
  <c r="CJ228" i="1"/>
  <c r="CM165" i="1"/>
  <c r="CM166" i="1"/>
  <c r="CJ229" i="1"/>
  <c r="C461" i="1"/>
  <c r="D463" i="1" s="1"/>
  <c r="D373" i="1"/>
  <c r="D377" i="1" s="1"/>
  <c r="CK229" i="1" l="1"/>
  <c r="CN166" i="1"/>
  <c r="CN165" i="1"/>
  <c r="CK228" i="1"/>
  <c r="CJ233" i="1"/>
  <c r="CJ232" i="1"/>
  <c r="CK230" i="1"/>
  <c r="CN167" i="1"/>
  <c r="CM169" i="1"/>
  <c r="CO167" i="1" l="1"/>
  <c r="CN169" i="1"/>
  <c r="CK232" i="1"/>
  <c r="CL230" i="1"/>
  <c r="CK233" i="1"/>
  <c r="CL229" i="1"/>
  <c r="CL228" i="1"/>
  <c r="CO165" i="1"/>
  <c r="CO166" i="1"/>
  <c r="CP166" i="1" l="1"/>
  <c r="CP165" i="1"/>
  <c r="CL233" i="1"/>
  <c r="CM228" i="1"/>
  <c r="CM229" i="1"/>
  <c r="CL232" i="1"/>
  <c r="CM230" i="1"/>
  <c r="CO169" i="1"/>
  <c r="CP167" i="1"/>
  <c r="CQ167" i="1" l="1"/>
  <c r="CP169" i="1"/>
  <c r="CM232" i="1"/>
  <c r="CN230" i="1"/>
  <c r="CN229" i="1"/>
  <c r="CM233" i="1"/>
  <c r="CN228" i="1"/>
  <c r="CQ165" i="1"/>
  <c r="CQ166" i="1"/>
  <c r="CR166" i="1" l="1"/>
  <c r="CN233" i="1"/>
  <c r="CO228" i="1"/>
  <c r="CR165" i="1"/>
  <c r="CO229" i="1"/>
  <c r="CN232" i="1"/>
  <c r="CO230" i="1"/>
  <c r="CQ169" i="1"/>
  <c r="CR167" i="1"/>
  <c r="CO232" i="1" l="1"/>
  <c r="CP230" i="1"/>
  <c r="CR169" i="1"/>
  <c r="CS167" i="1"/>
  <c r="CP229" i="1"/>
  <c r="CS165" i="1"/>
  <c r="CP228" i="1"/>
  <c r="CO233" i="1"/>
  <c r="CS166" i="1"/>
  <c r="CT166" i="1" s="1"/>
  <c r="CP233" i="1" l="1"/>
  <c r="CQ228" i="1"/>
  <c r="CT165" i="1"/>
  <c r="CQ229" i="1"/>
  <c r="CT167" i="1"/>
  <c r="CS169" i="1"/>
  <c r="CP232" i="1"/>
  <c r="CQ230" i="1"/>
  <c r="CQ232" i="1" l="1"/>
  <c r="CR230" i="1"/>
  <c r="CU167" i="1"/>
  <c r="CT169" i="1"/>
  <c r="CR229" i="1"/>
  <c r="CU165" i="1"/>
  <c r="CU166" i="1"/>
  <c r="CR228" i="1"/>
  <c r="CQ233" i="1"/>
  <c r="CV166" i="1" l="1"/>
  <c r="CS228" i="1"/>
  <c r="CR233" i="1"/>
  <c r="CV165" i="1"/>
  <c r="CS229" i="1"/>
  <c r="CU169" i="1"/>
  <c r="CV167" i="1"/>
  <c r="CS230" i="1"/>
  <c r="CR232" i="1"/>
  <c r="CS232" i="1" l="1"/>
  <c r="CT230" i="1"/>
  <c r="CW165" i="1"/>
  <c r="CW167" i="1"/>
  <c r="CV169" i="1"/>
  <c r="CT229" i="1"/>
  <c r="CW166" i="1"/>
  <c r="CS233" i="1"/>
  <c r="CT228" i="1"/>
  <c r="CX166" i="1" l="1"/>
  <c r="CU228" i="1"/>
  <c r="CT233" i="1"/>
  <c r="CU229" i="1"/>
  <c r="CX167" i="1"/>
  <c r="CW169" i="1"/>
  <c r="CX165" i="1"/>
  <c r="CT232" i="1"/>
  <c r="CU230" i="1"/>
  <c r="CU232" i="1" l="1"/>
  <c r="CV230" i="1"/>
  <c r="CY166" i="1"/>
  <c r="CY165" i="1"/>
  <c r="CX169" i="1"/>
  <c r="CY167" i="1"/>
  <c r="CV229" i="1"/>
  <c r="CV228" i="1"/>
  <c r="CU233" i="1"/>
  <c r="CV233" i="1" l="1"/>
  <c r="CW228" i="1"/>
  <c r="CY169" i="1"/>
  <c r="CZ167" i="1"/>
  <c r="CZ165" i="1"/>
  <c r="CZ166" i="1"/>
  <c r="CW229" i="1"/>
  <c r="CV232" i="1"/>
  <c r="CW230" i="1"/>
  <c r="DA166" i="1" l="1"/>
  <c r="CX230" i="1"/>
  <c r="CW232" i="1"/>
  <c r="CX229" i="1"/>
  <c r="DA165" i="1"/>
  <c r="DA167" i="1"/>
  <c r="CZ169" i="1"/>
  <c r="CX228" i="1"/>
  <c r="CW233" i="1"/>
  <c r="CX233" i="1" l="1"/>
  <c r="CY228" i="1"/>
  <c r="DB167" i="1"/>
  <c r="DA169" i="1"/>
  <c r="DB165" i="1"/>
  <c r="DB166" i="1"/>
  <c r="DC166" i="1" s="1"/>
  <c r="CY229" i="1"/>
  <c r="CX232" i="1"/>
  <c r="CY230" i="1"/>
  <c r="CY232" i="1" l="1"/>
  <c r="CZ230" i="1"/>
  <c r="CZ229" i="1"/>
  <c r="DC165" i="1"/>
  <c r="DC167" i="1"/>
  <c r="DB169" i="1"/>
  <c r="CZ228" i="1"/>
  <c r="CY233" i="1"/>
  <c r="CZ233" i="1" l="1"/>
  <c r="DA228" i="1"/>
  <c r="DC169" i="1"/>
  <c r="DD167" i="1"/>
  <c r="DD165" i="1"/>
  <c r="DA229" i="1"/>
  <c r="CZ232" i="1"/>
  <c r="DA230" i="1"/>
  <c r="DD166" i="1"/>
  <c r="DE166" i="1" s="1"/>
  <c r="DB230" i="1" l="1"/>
  <c r="DA232" i="1"/>
  <c r="DB229" i="1"/>
  <c r="DE165" i="1"/>
  <c r="DE167" i="1"/>
  <c r="DD169" i="1"/>
  <c r="DA233" i="1"/>
  <c r="DB228" i="1"/>
  <c r="DB233" i="1" l="1"/>
  <c r="DC228" i="1"/>
  <c r="DE169" i="1"/>
  <c r="DF167" i="1"/>
  <c r="DF165" i="1"/>
  <c r="DC229" i="1"/>
  <c r="DC230" i="1"/>
  <c r="DB232" i="1"/>
  <c r="DF166" i="1"/>
  <c r="DG166" i="1" s="1"/>
  <c r="DC232" i="1" l="1"/>
  <c r="DD230" i="1"/>
  <c r="DD232" i="1" s="1"/>
  <c r="DD229" i="1"/>
  <c r="DG165" i="1"/>
  <c r="DG167" i="1"/>
  <c r="DF169" i="1"/>
  <c r="DD228" i="1"/>
  <c r="DD233" i="1" s="1"/>
  <c r="D234" i="1" s="1"/>
  <c r="DC233" i="1"/>
  <c r="D239" i="1" l="1"/>
  <c r="D237" i="1"/>
  <c r="D235" i="1"/>
  <c r="D236" i="1" s="1"/>
  <c r="D238" i="1"/>
  <c r="DG169" i="1"/>
  <c r="DH167" i="1"/>
  <c r="DH165" i="1"/>
  <c r="DH166" i="1"/>
  <c r="DI166" i="1" l="1"/>
  <c r="DI165" i="1"/>
  <c r="DI167" i="1"/>
  <c r="DH169" i="1"/>
  <c r="DI169" i="1" l="1"/>
  <c r="DJ167" i="1"/>
  <c r="DJ165" i="1"/>
  <c r="DJ166" i="1"/>
  <c r="DK166" i="1" l="1"/>
  <c r="DK165" i="1"/>
  <c r="DJ169" i="1"/>
  <c r="DK167" i="1"/>
  <c r="DK169" i="1" l="1"/>
  <c r="DL167" i="1"/>
  <c r="DL165" i="1"/>
  <c r="DL166" i="1"/>
  <c r="DM166" i="1" l="1"/>
  <c r="DM165" i="1"/>
  <c r="DL169" i="1"/>
  <c r="DM167" i="1"/>
  <c r="DM169" i="1" l="1"/>
  <c r="DN167" i="1"/>
  <c r="DN166" i="1"/>
  <c r="DN165" i="1"/>
  <c r="DO165" i="1" l="1"/>
  <c r="DO166" i="1"/>
  <c r="DO167" i="1"/>
  <c r="DN169" i="1"/>
  <c r="DO169" i="1" l="1"/>
  <c r="DP167" i="1"/>
  <c r="DP166" i="1"/>
  <c r="DP165" i="1"/>
  <c r="DQ165" i="1" s="1"/>
  <c r="DQ166" i="1" l="1"/>
  <c r="DP169" i="1"/>
  <c r="DQ167" i="1"/>
  <c r="DQ169" i="1" l="1"/>
  <c r="DR167" i="1"/>
  <c r="DR166" i="1"/>
  <c r="DR165" i="1"/>
  <c r="DS165" i="1" l="1"/>
  <c r="DS166" i="1"/>
  <c r="DS167" i="1"/>
  <c r="DR169" i="1"/>
  <c r="DS169" i="1" l="1"/>
  <c r="DT167" i="1"/>
  <c r="DT166" i="1"/>
  <c r="DT165" i="1"/>
  <c r="DU165" i="1" l="1"/>
  <c r="DU166" i="1"/>
  <c r="DT169" i="1"/>
  <c r="DU167" i="1"/>
  <c r="DV167" i="1" l="1"/>
  <c r="DU169" i="1"/>
  <c r="DV166" i="1"/>
  <c r="DV165" i="1"/>
  <c r="DW165" i="1" l="1"/>
  <c r="DW166" i="1"/>
  <c r="DV169" i="1"/>
  <c r="DW167" i="1"/>
  <c r="DW169" i="1" l="1"/>
  <c r="DX167" i="1"/>
  <c r="DX166" i="1"/>
  <c r="DX165" i="1"/>
  <c r="DY165" i="1" s="1"/>
  <c r="DY166" i="1" l="1"/>
  <c r="DY167" i="1"/>
  <c r="DX169" i="1"/>
  <c r="DZ167" i="1" l="1"/>
  <c r="DY169" i="1"/>
  <c r="DZ166" i="1"/>
  <c r="DZ165" i="1"/>
  <c r="EA165" i="1" l="1"/>
  <c r="EA166" i="1"/>
  <c r="DZ169" i="1"/>
  <c r="EA167" i="1"/>
  <c r="EB167" i="1" l="1"/>
  <c r="EA169" i="1"/>
  <c r="EB166" i="1"/>
  <c r="EB165" i="1"/>
  <c r="EC165" i="1" l="1"/>
  <c r="EC166" i="1"/>
  <c r="EB169" i="1"/>
  <c r="EC167" i="1"/>
  <c r="EC169" i="1" l="1"/>
  <c r="ED167" i="1"/>
  <c r="ED166" i="1"/>
  <c r="ED165" i="1"/>
  <c r="EE165" i="1" l="1"/>
  <c r="EE166" i="1"/>
  <c r="ED169" i="1"/>
  <c r="EE167" i="1"/>
  <c r="EE169" i="1" l="1"/>
  <c r="EF167" i="1"/>
  <c r="EF166" i="1"/>
  <c r="EF165" i="1"/>
  <c r="EG165" i="1" l="1"/>
  <c r="EG166" i="1"/>
  <c r="EG167" i="1"/>
  <c r="EF169" i="1"/>
  <c r="EG169" i="1" l="1"/>
  <c r="EH167" i="1"/>
  <c r="EH166" i="1"/>
  <c r="EH165" i="1"/>
  <c r="EI165" i="1" s="1"/>
  <c r="EI166" i="1" l="1"/>
  <c r="EH169" i="1"/>
  <c r="EI167" i="1"/>
  <c r="EI169" i="1" l="1"/>
  <c r="EJ167" i="1"/>
  <c r="EJ166" i="1"/>
  <c r="EJ165" i="1"/>
  <c r="EK165" i="1" l="1"/>
  <c r="EK166" i="1"/>
  <c r="EK167" i="1"/>
  <c r="EJ169" i="1"/>
  <c r="EL167" i="1" l="1"/>
  <c r="EK169" i="1"/>
  <c r="EL166" i="1"/>
  <c r="EL165" i="1"/>
  <c r="EM165" i="1" l="1"/>
  <c r="EM166" i="1"/>
  <c r="EL169" i="1"/>
  <c r="EM167" i="1"/>
  <c r="EM169" i="1" l="1"/>
  <c r="EN167" i="1"/>
  <c r="EN166" i="1"/>
  <c r="EN165" i="1"/>
  <c r="EO165" i="1" s="1"/>
  <c r="EO166" i="1" l="1"/>
  <c r="EN169" i="1"/>
  <c r="EO167" i="1"/>
  <c r="EO169" i="1" l="1"/>
  <c r="EP167" i="1"/>
  <c r="EP166" i="1"/>
  <c r="EP165" i="1"/>
  <c r="EQ165" i="1" l="1"/>
  <c r="EQ166" i="1"/>
  <c r="EP169" i="1"/>
  <c r="EQ167" i="1"/>
  <c r="EQ169" i="1" l="1"/>
  <c r="ER167" i="1"/>
  <c r="ER166" i="1"/>
  <c r="ER165" i="1"/>
  <c r="ES165" i="1" s="1"/>
  <c r="ES166" i="1" l="1"/>
  <c r="ER169" i="1"/>
  <c r="ES167" i="1"/>
  <c r="ES169" i="1" l="1"/>
  <c r="ET167" i="1"/>
  <c r="ET166" i="1"/>
  <c r="ET165" i="1"/>
  <c r="EU165" i="1" s="1"/>
  <c r="EU166" i="1" l="1"/>
  <c r="ET169" i="1"/>
  <c r="EU167" i="1"/>
  <c r="EU169" i="1" l="1"/>
  <c r="EV167" i="1"/>
  <c r="EV166" i="1"/>
  <c r="EV165" i="1"/>
  <c r="EW165" i="1" l="1"/>
  <c r="EW166" i="1"/>
  <c r="EV169" i="1"/>
  <c r="EW167" i="1"/>
  <c r="EX167" i="1" l="1"/>
  <c r="EW169" i="1"/>
  <c r="EX166" i="1"/>
  <c r="EX165" i="1"/>
  <c r="EY165" i="1" l="1"/>
  <c r="EY166" i="1"/>
  <c r="EX169" i="1"/>
  <c r="EY167" i="1"/>
  <c r="EY169" i="1" l="1"/>
  <c r="EZ167" i="1"/>
  <c r="EZ166" i="1"/>
  <c r="EZ165" i="1"/>
  <c r="FA165" i="1" s="1"/>
  <c r="FA166" i="1" l="1"/>
  <c r="EZ169" i="1"/>
  <c r="FA167" i="1"/>
  <c r="FA169" i="1" l="1"/>
  <c r="FB167" i="1"/>
  <c r="FB165" i="1"/>
  <c r="FB166" i="1"/>
  <c r="FC166" i="1" l="1"/>
  <c r="FC165" i="1"/>
  <c r="FC167" i="1"/>
  <c r="FB169" i="1"/>
  <c r="FC169" i="1" l="1"/>
  <c r="FD167" i="1"/>
  <c r="FD165" i="1"/>
  <c r="FD166" i="1"/>
  <c r="FE166" i="1" l="1"/>
  <c r="FE165" i="1"/>
  <c r="FE167" i="1"/>
  <c r="FD169" i="1"/>
  <c r="FE169" i="1" l="1"/>
  <c r="FF167" i="1"/>
  <c r="FF165" i="1"/>
  <c r="FF166" i="1"/>
  <c r="FG166" i="1" l="1"/>
  <c r="FG165" i="1"/>
  <c r="FF169" i="1"/>
  <c r="FG167" i="1"/>
  <c r="FG169" i="1" l="1"/>
  <c r="FH167" i="1"/>
  <c r="FH165" i="1"/>
  <c r="FH166" i="1"/>
  <c r="FI166" i="1" l="1"/>
  <c r="FI165" i="1"/>
  <c r="FH169" i="1"/>
  <c r="FI167" i="1"/>
  <c r="FI169" i="1" l="1"/>
  <c r="FJ167" i="1"/>
  <c r="FJ165" i="1"/>
  <c r="FJ166" i="1"/>
  <c r="FK166" i="1" s="1"/>
  <c r="FK165" i="1" l="1"/>
  <c r="FK167" i="1"/>
  <c r="FJ169" i="1"/>
  <c r="FK169" i="1" l="1"/>
  <c r="FL167" i="1"/>
  <c r="FL165" i="1"/>
  <c r="FL166" i="1"/>
  <c r="FM166" i="1" l="1"/>
  <c r="FM165" i="1"/>
  <c r="FM167" i="1"/>
  <c r="FL169" i="1"/>
  <c r="FM169" i="1" l="1"/>
  <c r="FN167" i="1"/>
  <c r="FN165" i="1"/>
  <c r="FN166" i="1"/>
  <c r="FO166" i="1" s="1"/>
  <c r="FO165" i="1" l="1"/>
  <c r="FO167" i="1"/>
  <c r="FN169" i="1"/>
  <c r="FO169" i="1" l="1"/>
  <c r="FP167" i="1"/>
  <c r="FP166" i="1"/>
  <c r="FP165" i="1"/>
  <c r="FQ165" i="1" s="1"/>
  <c r="FQ166" i="1" l="1"/>
  <c r="FQ167" i="1"/>
  <c r="FP169" i="1"/>
  <c r="FQ169" i="1" l="1"/>
  <c r="FR167" i="1"/>
  <c r="FR166" i="1"/>
  <c r="FR165" i="1"/>
  <c r="FS165" i="1" l="1"/>
  <c r="FS166" i="1"/>
  <c r="FR169" i="1"/>
  <c r="FS167" i="1"/>
  <c r="FS169" i="1" l="1"/>
  <c r="FT167" i="1"/>
  <c r="FT166" i="1"/>
  <c r="FT165" i="1"/>
  <c r="FU165" i="1" l="1"/>
  <c r="FU166" i="1"/>
  <c r="FU167" i="1"/>
  <c r="FT169" i="1"/>
  <c r="FU169" i="1" l="1"/>
  <c r="FV167" i="1"/>
  <c r="FV166" i="1"/>
  <c r="FV165" i="1"/>
  <c r="FW165" i="1" l="1"/>
  <c r="FW166" i="1"/>
  <c r="FW167" i="1"/>
  <c r="FV169" i="1"/>
  <c r="FW169" i="1" l="1"/>
  <c r="FX167" i="1"/>
  <c r="FX166" i="1"/>
  <c r="FX165" i="1"/>
  <c r="FY165" i="1" l="1"/>
  <c r="FY166" i="1"/>
  <c r="FY167" i="1"/>
  <c r="FX169" i="1"/>
  <c r="FY169" i="1" l="1"/>
  <c r="FZ167" i="1"/>
  <c r="FZ166" i="1"/>
  <c r="FZ165" i="1"/>
  <c r="GA165" i="1" s="1"/>
  <c r="GA166" i="1" l="1"/>
  <c r="GA167" i="1"/>
  <c r="FZ169" i="1"/>
  <c r="GA169" i="1" l="1"/>
  <c r="GB167" i="1"/>
  <c r="GB166" i="1"/>
  <c r="GB165" i="1"/>
  <c r="GC165" i="1" s="1"/>
  <c r="GC166" i="1" l="1"/>
  <c r="GC167" i="1"/>
  <c r="GB169" i="1"/>
  <c r="GC169" i="1" l="1"/>
  <c r="GD167" i="1"/>
  <c r="GD166" i="1"/>
  <c r="GD165" i="1"/>
  <c r="GE165" i="1" l="1"/>
  <c r="GE166" i="1"/>
  <c r="GD169" i="1"/>
  <c r="GE167" i="1"/>
  <c r="GE169" i="1" l="1"/>
  <c r="GF167" i="1"/>
  <c r="GF166" i="1"/>
  <c r="GF165" i="1"/>
  <c r="GG165" i="1" l="1"/>
  <c r="GG166" i="1"/>
  <c r="GG167" i="1"/>
  <c r="GF169" i="1"/>
  <c r="GH167" i="1" l="1"/>
  <c r="GG169" i="1"/>
  <c r="GH165" i="1"/>
  <c r="GH166" i="1"/>
  <c r="GI166" i="1" l="1"/>
  <c r="GI165" i="1"/>
  <c r="GH169" i="1"/>
  <c r="GI167" i="1"/>
  <c r="GI169" i="1" l="1"/>
  <c r="GJ167" i="1"/>
  <c r="GJ165" i="1"/>
  <c r="GJ166" i="1"/>
  <c r="GK166" i="1" l="1"/>
  <c r="GK165" i="1"/>
  <c r="GK167" i="1"/>
  <c r="GJ169" i="1"/>
  <c r="GK169" i="1" l="1"/>
  <c r="GL167" i="1"/>
  <c r="GL165" i="1"/>
  <c r="GL166" i="1"/>
  <c r="GM166" i="1" l="1"/>
  <c r="GM165" i="1"/>
  <c r="GM167" i="1"/>
  <c r="GL169" i="1"/>
  <c r="GM169" i="1" l="1"/>
  <c r="GN167" i="1"/>
  <c r="GN165" i="1"/>
  <c r="GN166" i="1"/>
  <c r="GO166" i="1" s="1"/>
  <c r="GO165" i="1" l="1"/>
  <c r="GO167" i="1"/>
  <c r="GN169" i="1"/>
  <c r="GO169" i="1" l="1"/>
  <c r="GP167" i="1"/>
  <c r="GP165" i="1"/>
  <c r="GP166" i="1"/>
  <c r="GQ166" i="1" l="1"/>
  <c r="GQ165" i="1"/>
  <c r="GQ167" i="1"/>
  <c r="GQ169" i="1" s="1"/>
  <c r="GP169" i="1"/>
</calcChain>
</file>

<file path=xl/sharedStrings.xml><?xml version="1.0" encoding="utf-8"?>
<sst xmlns="http://schemas.openxmlformats.org/spreadsheetml/2006/main" count="1493" uniqueCount="945">
  <si>
    <t>N stages required</t>
  </si>
  <si>
    <t>Maximum steady state output current</t>
  </si>
  <si>
    <t>Maximum diode current pulse</t>
  </si>
  <si>
    <t>Maximum diode current pulse with safety factor</t>
  </si>
  <si>
    <t>Safety factor</t>
  </si>
  <si>
    <t>Capacitance per stage</t>
  </si>
  <si>
    <t>Energy stored in single fully charged capacitor</t>
  </si>
  <si>
    <t>Diode steady state forward voltage</t>
  </si>
  <si>
    <t>Maximum total diode steady state power loss</t>
  </si>
  <si>
    <t>Maximum diode steady state power loss (assuming conducting all the time)</t>
  </si>
  <si>
    <t>Maximum discharged capacitor voltage</t>
  </si>
  <si>
    <t>Maximum resistance required for desired discharge time or less</t>
  </si>
  <si>
    <t>Total power loss through discharge resistors</t>
  </si>
  <si>
    <t>Actual distcharge resistance</t>
  </si>
  <si>
    <t>Maximum voltage per stage</t>
  </si>
  <si>
    <t>Total steady state power losses</t>
  </si>
  <si>
    <t>Units</t>
  </si>
  <si>
    <t>A</t>
  </si>
  <si>
    <t>V</t>
  </si>
  <si>
    <t>W</t>
  </si>
  <si>
    <t>F</t>
  </si>
  <si>
    <t>Ω</t>
  </si>
  <si>
    <t>J</t>
  </si>
  <si>
    <t>Maximum full mltiplier voltage after discharge</t>
  </si>
  <si>
    <t>Maximum energy into each resistor from sudden short circuit (ignoring diode voltage drop)</t>
  </si>
  <si>
    <t>Diode power losses</t>
  </si>
  <si>
    <t>Maximum allowed capacitor discharge time</t>
  </si>
  <si>
    <t>Capacitor discharge resistor</t>
  </si>
  <si>
    <t>Peak current DCM</t>
  </si>
  <si>
    <t>V_in_min</t>
  </si>
  <si>
    <t>V_in_max</t>
  </si>
  <si>
    <t>D_max</t>
  </si>
  <si>
    <t>I_p_peak</t>
  </si>
  <si>
    <t>Maximum voltage to drive primary of transformer</t>
  </si>
  <si>
    <t>Minimum voltage to drive primary of transformer</t>
  </si>
  <si>
    <t>Switching frequency</t>
  </si>
  <si>
    <t>f_sw</t>
  </si>
  <si>
    <t>A_l</t>
  </si>
  <si>
    <t>nano henries per turn squared</t>
  </si>
  <si>
    <t>Maximum flux density</t>
  </si>
  <si>
    <t>A_e</t>
  </si>
  <si>
    <t>B_sat</t>
  </si>
  <si>
    <t>Saturation flux density</t>
  </si>
  <si>
    <t>V_out_min</t>
  </si>
  <si>
    <t>I_s_peak</t>
  </si>
  <si>
    <t>I_o</t>
  </si>
  <si>
    <t>Value</t>
  </si>
  <si>
    <t>Enough stages</t>
  </si>
  <si>
    <t>Hz</t>
  </si>
  <si>
    <t>Minimum desired output voltage at full power</t>
  </si>
  <si>
    <t>Maximum desired output voltage at full power</t>
  </si>
  <si>
    <t>V_out_max</t>
  </si>
  <si>
    <t>Maximum power output desired</t>
  </si>
  <si>
    <t>Iopmax</t>
  </si>
  <si>
    <t>maximum output current</t>
  </si>
  <si>
    <t>Rout</t>
  </si>
  <si>
    <t xml:space="preserve">output resistance required </t>
  </si>
  <si>
    <t>I_vomaxpmax</t>
  </si>
  <si>
    <t>continuous output current for desired output power at maximum voltage</t>
  </si>
  <si>
    <t>I_vominpmax</t>
  </si>
  <si>
    <t>continuous output current for desired output power at minimum voltage</t>
  </si>
  <si>
    <t>voltage drop at max output voltage</t>
  </si>
  <si>
    <t>voltage drop at minimum output voltage</t>
  </si>
  <si>
    <t>resistor power at max output voltage</t>
  </si>
  <si>
    <t>resistor power at minimum output voltage</t>
  </si>
  <si>
    <t>Voltage ripple</t>
  </si>
  <si>
    <t>Y5T tanδ best case</t>
  </si>
  <si>
    <t>Y5T tanδ worst case</t>
  </si>
  <si>
    <t>N4700 best case</t>
  </si>
  <si>
    <t>N4700 worst case</t>
  </si>
  <si>
    <t>Y6P best case</t>
  </si>
  <si>
    <t>Y6P worst case</t>
  </si>
  <si>
    <t>Y5P best case</t>
  </si>
  <si>
    <t>I_FSM</t>
  </si>
  <si>
    <t>Diode Average output current</t>
  </si>
  <si>
    <t>Villard Diode</t>
  </si>
  <si>
    <t>N Stages Actual</t>
  </si>
  <si>
    <t>N_v</t>
  </si>
  <si>
    <t>N_v_r</t>
  </si>
  <si>
    <t>Power wasted per stage while running from discharge resistor</t>
  </si>
  <si>
    <t>Discharges quickly enough</t>
  </si>
  <si>
    <t>Villard capacitor</t>
  </si>
  <si>
    <t>Y5T worst case power loss per capacitor</t>
  </si>
  <si>
    <t>N4700 worst case loss per capacitor</t>
  </si>
  <si>
    <t>Y6P worst case power loss per capacitor</t>
  </si>
  <si>
    <t>Y5P worst case</t>
  </si>
  <si>
    <t>Y5P worst case power loss per capacitor</t>
  </si>
  <si>
    <t>Y5T worst case power loss total</t>
  </si>
  <si>
    <t>N4700 worst case loss total</t>
  </si>
  <si>
    <t>Y6P worst case power loss total</t>
  </si>
  <si>
    <t>Y5P worst case power loss total</t>
  </si>
  <si>
    <t>V_c_rms</t>
  </si>
  <si>
    <t>Capacitor RMS voltage ripple</t>
  </si>
  <si>
    <t>Capacitor reactive power</t>
  </si>
  <si>
    <t xml:space="preserve">P_c_rms </t>
  </si>
  <si>
    <t>dV_c</t>
  </si>
  <si>
    <t>E_c_max</t>
  </si>
  <si>
    <t>Minimum total series resistance required</t>
  </si>
  <si>
    <t>Actual individual series resistor value</t>
  </si>
  <si>
    <t>N series resistors</t>
  </si>
  <si>
    <t>Description</t>
  </si>
  <si>
    <t>Variable</t>
  </si>
  <si>
    <t>Subsystem/Component</t>
  </si>
  <si>
    <t>Output current limiting composite series resistor</t>
  </si>
  <si>
    <t>Actual series resistance</t>
  </si>
  <si>
    <t>Minimum steady state output current at maximum voltage</t>
  </si>
  <si>
    <t>Total energy stored in all fully charged capacitors at maximum voltage</t>
  </si>
  <si>
    <t>Tolerance</t>
  </si>
  <si>
    <t>Inches to mm</t>
  </si>
  <si>
    <t>L</t>
  </si>
  <si>
    <t>mm</t>
  </si>
  <si>
    <t>L_max</t>
  </si>
  <si>
    <t>d</t>
  </si>
  <si>
    <t>d_max</t>
  </si>
  <si>
    <t>D</t>
  </si>
  <si>
    <t>Space between case and pcb</t>
  </si>
  <si>
    <t>Bend radius</t>
  </si>
  <si>
    <t>Pad spacing distance</t>
  </si>
  <si>
    <t>Minimum hole size</t>
  </si>
  <si>
    <t>Maximum hole size</t>
  </si>
  <si>
    <t>Pad Size Smallest Pad (Standard)</t>
  </si>
  <si>
    <t>More Reliable Pad (Recommended)</t>
  </si>
  <si>
    <t>Extra Strong (Power Applications)</t>
  </si>
  <si>
    <t>Actual hole size using</t>
  </si>
  <si>
    <t>Actual pad size using</t>
  </si>
  <si>
    <t>T_max</t>
  </si>
  <si>
    <t>AXCT81D20KV102K</t>
  </si>
  <si>
    <t>F_max</t>
  </si>
  <si>
    <t>Silkscreen clearance</t>
  </si>
  <si>
    <t>Silkscreen ractangle Width</t>
  </si>
  <si>
    <t>Siklscreen rectangle Height</t>
  </si>
  <si>
    <t>H</t>
  </si>
  <si>
    <t>H_max</t>
  </si>
  <si>
    <t>P</t>
  </si>
  <si>
    <t>P_max</t>
  </si>
  <si>
    <t>Pad spacing</t>
  </si>
  <si>
    <t>Space between pads</t>
  </si>
  <si>
    <t>HVR82MZ1005</t>
  </si>
  <si>
    <t>PCB Footprint Calculations</t>
  </si>
  <si>
    <t>%</t>
  </si>
  <si>
    <t>Maximum series resistance</t>
  </si>
  <si>
    <t>Minimum series resistance</t>
  </si>
  <si>
    <t>Maximum possible power loss with maximum flyback secondary current (limited to protect diodes)</t>
  </si>
  <si>
    <t>HVR82MY5010</t>
  </si>
  <si>
    <t>N_s</t>
  </si>
  <si>
    <t>Number of secondary turns required</t>
  </si>
  <si>
    <t>N bobbin segments</t>
  </si>
  <si>
    <t>Turns per bobbin segment</t>
  </si>
  <si>
    <t>Actual length for windings</t>
  </si>
  <si>
    <t>Segment length</t>
  </si>
  <si>
    <t>Wire thickness</t>
  </si>
  <si>
    <t>Winding space tolerance</t>
  </si>
  <si>
    <t>Winding thickness with tolerance</t>
  </si>
  <si>
    <t>N turns along segment length</t>
  </si>
  <si>
    <t>N 2mm dividers required not counting air gap one</t>
  </si>
  <si>
    <t>Bobin length for windings not counting air gap</t>
  </si>
  <si>
    <t>Average turn radius</t>
  </si>
  <si>
    <t>inner bobbin diameter</t>
  </si>
  <si>
    <t>Wire length meters</t>
  </si>
  <si>
    <t>Wire radius meters</t>
  </si>
  <si>
    <t>Wire volume</t>
  </si>
  <si>
    <t>Density of wire</t>
  </si>
  <si>
    <t>kg/m^3</t>
  </si>
  <si>
    <t>Mass of wire required</t>
  </si>
  <si>
    <t>Winding height</t>
  </si>
  <si>
    <t>N windings high</t>
  </si>
  <si>
    <t>Average turn radius primary</t>
  </si>
  <si>
    <t>Wire conductive core thickness</t>
  </si>
  <si>
    <t>Resistance</t>
  </si>
  <si>
    <t>Resistivity</t>
  </si>
  <si>
    <t>Power loss</t>
  </si>
  <si>
    <t>Primary wire connections total length</t>
  </si>
  <si>
    <t>Primary winding wire length meters</t>
  </si>
  <si>
    <t>mm (included skin effect from 2mm, take this out put in proper equations)</t>
  </si>
  <si>
    <t>skin depth</t>
  </si>
  <si>
    <t>skin depth mm</t>
  </si>
  <si>
    <t>wire cross sectional area</t>
  </si>
  <si>
    <t>Wire conductive radius</t>
  </si>
  <si>
    <t>non conducting area due to skin effect</t>
  </si>
  <si>
    <t>conducting cross sectional area</t>
  </si>
  <si>
    <t>m</t>
  </si>
  <si>
    <t>m^2</t>
  </si>
  <si>
    <t>Total length</t>
  </si>
  <si>
    <t>Total surface area windng excluding ends</t>
  </si>
  <si>
    <t>Resistance winding</t>
  </si>
  <si>
    <t>Resistance connection wire length</t>
  </si>
  <si>
    <t>Total resistance</t>
  </si>
  <si>
    <t>Power loss connecton wire</t>
  </si>
  <si>
    <t>Total Power loss</t>
  </si>
  <si>
    <t>Heat flux winding</t>
  </si>
  <si>
    <t>Wire cross sectonal area</t>
  </si>
  <si>
    <t>watts</t>
  </si>
  <si>
    <t xml:space="preserve">Turns per segment. </t>
  </si>
  <si>
    <t>I_peak</t>
  </si>
  <si>
    <t>Multiple V_in_max should tollerate</t>
  </si>
  <si>
    <t>Maximum input voltage for range</t>
  </si>
  <si>
    <t>P_on</t>
  </si>
  <si>
    <t>R_DS(on)</t>
  </si>
  <si>
    <t>I_d_required</t>
  </si>
  <si>
    <t>V_ds_required</t>
  </si>
  <si>
    <t>Q_gs</t>
  </si>
  <si>
    <t>Q_gd</t>
  </si>
  <si>
    <t>Q_g</t>
  </si>
  <si>
    <t>Total gate charge</t>
  </si>
  <si>
    <t>I_g</t>
  </si>
  <si>
    <t>R_drive</t>
  </si>
  <si>
    <t>Maximum drive current rating of gate driver</t>
  </si>
  <si>
    <t>Maximum drive current can safely use</t>
  </si>
  <si>
    <t>V_ds_actual</t>
  </si>
  <si>
    <t>R_pulldown</t>
  </si>
  <si>
    <t>t_off_pulldown</t>
  </si>
  <si>
    <t>Passive off time without gate driver from pulldown resistor. For example on loss of power</t>
  </si>
  <si>
    <t>V_gs(th)</t>
  </si>
  <si>
    <t>I_DM</t>
  </si>
  <si>
    <t>I_D25</t>
  </si>
  <si>
    <t>Pulldown great (less or equal to I_D25)</t>
  </si>
  <si>
    <t>Pulldown acceptible (less or equal to I_DM)</t>
  </si>
  <si>
    <t>P_Rpd</t>
  </si>
  <si>
    <t>Pulldown resistor power</t>
  </si>
  <si>
    <t>P_TOTAL</t>
  </si>
  <si>
    <t>s</t>
  </si>
  <si>
    <t>C</t>
  </si>
  <si>
    <t>V_ds high enough</t>
  </si>
  <si>
    <t>Max current reached in passive gate-off scenario (at peak current)</t>
  </si>
  <si>
    <t>Power for switching (power required to drive gate on and off)</t>
  </si>
  <si>
    <t>Q_c</t>
  </si>
  <si>
    <t>Charge per cycle</t>
  </si>
  <si>
    <t>Peak primary current at end of t_on</t>
  </si>
  <si>
    <t>Duty cycle at peak primary current</t>
  </si>
  <si>
    <t>ΔV_max</t>
  </si>
  <si>
    <t>Scaling factor for burst handling and ripple smoothing</t>
  </si>
  <si>
    <t>f_c</t>
  </si>
  <si>
    <t>cutoff frequency for good attenuation</t>
  </si>
  <si>
    <t>L_lp</t>
  </si>
  <si>
    <t>C_lp_tank_desired</t>
  </si>
  <si>
    <t>C_lp_tank_min</t>
  </si>
  <si>
    <t>L_lp_min</t>
  </si>
  <si>
    <t>Minimum desired low-pass filter inductance</t>
  </si>
  <si>
    <t>f_c_desired</t>
  </si>
  <si>
    <t>Actual cutoff frequency</t>
  </si>
  <si>
    <t>C_lp</t>
  </si>
  <si>
    <t>Actual tank capacitance</t>
  </si>
  <si>
    <t>Attenuation(dB)</t>
  </si>
  <si>
    <t>E_C_lp_max</t>
  </si>
  <si>
    <t>Power Conditioning</t>
  </si>
  <si>
    <t>R_ir</t>
  </si>
  <si>
    <t>Inrush current limiting resistance</t>
  </si>
  <si>
    <t>Minimum power rating for inrush current limiting resistor</t>
  </si>
  <si>
    <t>s1</t>
  </si>
  <si>
    <t>s2</t>
  </si>
  <si>
    <t>t_peak</t>
  </si>
  <si>
    <t>P_R_ir_max</t>
  </si>
  <si>
    <t>Circuit is underdamped</t>
  </si>
  <si>
    <t>Underdamped</t>
  </si>
  <si>
    <t>α</t>
  </si>
  <si>
    <t>ω0</t>
  </si>
  <si>
    <t>ωd​</t>
  </si>
  <si>
    <t>Percent overshoot</t>
  </si>
  <si>
    <t>t_99%</t>
  </si>
  <si>
    <t>V_c_rating_min</t>
  </si>
  <si>
    <t>Minimum voltage rating of capacitor(s)</t>
  </si>
  <si>
    <t>C_lp_individual</t>
  </si>
  <si>
    <t>N_C_lp</t>
  </si>
  <si>
    <t>C_lp tolerance</t>
  </si>
  <si>
    <t>C_lp_min</t>
  </si>
  <si>
    <t>ESR_C_lp_individual</t>
  </si>
  <si>
    <t>ESR of individual capacitor</t>
  </si>
  <si>
    <t>ESR_C_lp_total</t>
  </si>
  <si>
    <t>P_C_lp_loss</t>
  </si>
  <si>
    <t>P_C_lp_loss_individual</t>
  </si>
  <si>
    <t>Actual low-pass filter  inductance</t>
  </si>
  <si>
    <t>I_avg_max</t>
  </si>
  <si>
    <t>I_L_lp_min</t>
  </si>
  <si>
    <t>Relay coil resistance</t>
  </si>
  <si>
    <t>Relay coil resistance tolerance</t>
  </si>
  <si>
    <t>R_re_coil_min</t>
  </si>
  <si>
    <t>R_re_coil</t>
  </si>
  <si>
    <t>R_re_coil_max</t>
  </si>
  <si>
    <t>V_re_nom</t>
  </si>
  <si>
    <t>I_re_nom</t>
  </si>
  <si>
    <t>Relay R,V and I nominal match up</t>
  </si>
  <si>
    <t>V_re_max</t>
  </si>
  <si>
    <t>Maximum relay voltage</t>
  </si>
  <si>
    <t>V_re_min</t>
  </si>
  <si>
    <t>Minimum relay voltage</t>
  </si>
  <si>
    <t>I_re_min_required</t>
  </si>
  <si>
    <t>I_re_max_required</t>
  </si>
  <si>
    <t>V_in_nom</t>
  </si>
  <si>
    <t>Nominal input voltage</t>
  </si>
  <si>
    <t>Typical current using suggested resistor value with nominal input voltage</t>
  </si>
  <si>
    <t>Minimum current (with minimum input voltage and  R_re_coil_max)</t>
  </si>
  <si>
    <t>Maximum current (with maximum input voltage and  R_re_coil_min)</t>
  </si>
  <si>
    <t>R_re_ext</t>
  </si>
  <si>
    <t>Suitable R_ext value</t>
  </si>
  <si>
    <t>P_R_re_ext_max</t>
  </si>
  <si>
    <t>P_R_re_ext_min</t>
  </si>
  <si>
    <t>R_re_ext tolerance</t>
  </si>
  <si>
    <t>R_re_ext_min</t>
  </si>
  <si>
    <t>R_re_ext_max</t>
  </si>
  <si>
    <t>P_R_re_EXT_nom</t>
  </si>
  <si>
    <t>ΔV_ESR</t>
  </si>
  <si>
    <t>ΔV_C</t>
  </si>
  <si>
    <t>ΔV_total</t>
  </si>
  <si>
    <t xml:space="preserve"> </t>
  </si>
  <si>
    <t>k</t>
  </si>
  <si>
    <t>n_s</t>
  </si>
  <si>
    <t>n_r</t>
  </si>
  <si>
    <t>I_max</t>
  </si>
  <si>
    <t>I_min</t>
  </si>
  <si>
    <t>V_g</t>
  </si>
  <si>
    <t>C_2</t>
  </si>
  <si>
    <t>V_max</t>
  </si>
  <si>
    <t>Z_os</t>
  </si>
  <si>
    <t>V_o</t>
  </si>
  <si>
    <t>I_lk_min</t>
  </si>
  <si>
    <t>I_c2_pkR</t>
  </si>
  <si>
    <t>Ids_pk</t>
  </si>
  <si>
    <t>I_c2_pkS</t>
  </si>
  <si>
    <t>L_lk</t>
  </si>
  <si>
    <t>Change Vmax</t>
  </si>
  <si>
    <t>v_ max/V_g</t>
  </si>
  <si>
    <t>Power Supply Voltage Feedback</t>
  </si>
  <si>
    <t>Inductor energy</t>
  </si>
  <si>
    <t>I_in_typical</t>
  </si>
  <si>
    <t>V_in_typical</t>
  </si>
  <si>
    <t>Capacitor voltage change from nominal for inductor energy</t>
  </si>
  <si>
    <t>PCB Track Thickness  IPC-2221</t>
  </si>
  <si>
    <t>Current (I)</t>
  </si>
  <si>
    <t>Thickness oz/ft</t>
  </si>
  <si>
    <t>T_rise</t>
  </si>
  <si>
    <t>Track</t>
  </si>
  <si>
    <t>Inputs from batteries</t>
  </si>
  <si>
    <t>Connection to both external 3A max PSU's</t>
  </si>
  <si>
    <t>To fiber optics</t>
  </si>
  <si>
    <t>22 amp peak circuit</t>
  </si>
  <si>
    <t>Length of track</t>
  </si>
  <si>
    <t>Actual Width Chosen</t>
  </si>
  <si>
    <t>External Layer Width Required (mm)</t>
  </si>
  <si>
    <t>Internal Layer Width Required (mm)</t>
  </si>
  <si>
    <t>Power</t>
  </si>
  <si>
    <t>Actual Expected Trise Internal</t>
  </si>
  <si>
    <t>Actual Expected Trise External</t>
  </si>
  <si>
    <t>Voltage Drop</t>
  </si>
  <si>
    <t>Mineral oil volume</t>
  </si>
  <si>
    <t>m^3</t>
  </si>
  <si>
    <t>Vessel ID</t>
  </si>
  <si>
    <t>Height</t>
  </si>
  <si>
    <t>Maximum heat power</t>
  </si>
  <si>
    <t>kJ/kg·K</t>
  </si>
  <si>
    <t>Allowed temperture rise above ambient</t>
  </si>
  <si>
    <t>K</t>
  </si>
  <si>
    <t>Mineral oil density</t>
  </si>
  <si>
    <t>Mineral oil Specific heat capacity oil</t>
  </si>
  <si>
    <t>kg/m³</t>
  </si>
  <si>
    <t>m³</t>
  </si>
  <si>
    <t>Total mass of mineral oil in vessel</t>
  </si>
  <si>
    <t>kg</t>
  </si>
  <si>
    <t>Total energy capacity for specified temperture rise</t>
  </si>
  <si>
    <t>KJ</t>
  </si>
  <si>
    <t>Maximum time for single turnover</t>
  </si>
  <si>
    <t>Desired maximum time for single turnover including safety factor</t>
  </si>
  <si>
    <t>Flow rate required</t>
  </si>
  <si>
    <t>m³/s</t>
  </si>
  <si>
    <t>ml/s</t>
  </si>
  <si>
    <t>Safe flow speed portal</t>
  </si>
  <si>
    <t>m/s</t>
  </si>
  <si>
    <t>Portal area required</t>
  </si>
  <si>
    <t>Portal sizing (diameter)</t>
  </si>
  <si>
    <t>Portal diameter minimum (mm)</t>
  </si>
  <si>
    <t>Minimum portal diameter</t>
  </si>
  <si>
    <t>Desired reynalds number</t>
  </si>
  <si>
    <t>Kinemetic viscosity</t>
  </si>
  <si>
    <t>Dyanmic viscosity</t>
  </si>
  <si>
    <t>Actual reynolds number</t>
  </si>
  <si>
    <t>Actual Portal diameter</t>
  </si>
  <si>
    <t>Actual portal diameter (m)</t>
  </si>
  <si>
    <t>Reynolds number acceptible</t>
  </si>
  <si>
    <t>M4</t>
  </si>
  <si>
    <t>Length</t>
  </si>
  <si>
    <t>Diameter</t>
  </si>
  <si>
    <t>Number</t>
  </si>
  <si>
    <t>M3</t>
  </si>
  <si>
    <t>30mm</t>
  </si>
  <si>
    <t>M2.5</t>
  </si>
  <si>
    <t>M8</t>
  </si>
  <si>
    <t>20mm</t>
  </si>
  <si>
    <t>30mm 40 more desirable</t>
  </si>
  <si>
    <t>https://www.aliexpress.com/item/1005005480826442.html?spm=a2g0o.cart.0.0.10e238dawUu18S&amp;mp=1&amp;pdp_npi=5%40dis%21GBP%21GBP%201.52%21GBP%201.26%21%21GBP%201.26%21%21%21%4021038da617489300338885085ef51d%2112000033254538100%21ct%21UK%214911257576%21%211%210</t>
  </si>
  <si>
    <t>https://www.aliexpress.com/item/1005005489704779.html?spm=a2g0o.cart.0.0.3af938daqF893N&amp;mp=1&amp;pdp_npi=5%40dis%21GBP%21GBP%202.11%21GBP%201.84%21%21GBP%201.84%21%21%21%4021038da617489300680525622ef51d%2112000033284825011%21ct%21UK%214911257576%21%211%210</t>
  </si>
  <si>
    <t>https://www.aliexpress.com/item/1005005480826442.html?spm=a2g0o.cart.0.0.560938daHEcyqE&amp;mp=1&amp;pdp_npi=5%40dis%21GBP%21GBP%200.82%21GBP%200.68%21%21GBP%200.68%21%21%21%4021038da617489300775685831ef51d%2112000033254379950%21ct%21UK%214911257576%21%211%210</t>
  </si>
  <si>
    <t>https://www.aliexpress.com/item/32979035684.html?spm=a2g0o.productlist.main.1.43315cf9lFXo4v&amp;algo_pvid=1ae9e8c1-7a0f-4aec-b376-9270d2db3078&amp;algo_exp_id=1ae9e8c1-7a0f-4aec-b376-9270d2db3078-0&amp;pdp_ext_f=%7B%22order%22%3A%2249%22%2C%22eval%22%3A%221%22%7D&amp;pdp_npi=4%40dis%21GBP%211.02%210.96%21%21%211.34%211.26%21%402103956b17489301282611606e8cf3%2112000037695417645%21sea%21UK%214911257576%21X&amp;curPageLogUid=ecdD7wgyjiJL&amp;utparam-url=scene%3Asearch%7Cquery_from%3A</t>
  </si>
  <si>
    <t>https://www.aliexpress.com/item/1005005489704779.html?spm=a2g0o.cart.0.0.184338dahPk8Kk&amp;mp=1&amp;pdp_npi=5%40dis%21GBP%21GBP%202.11%21GBP%201.84%21%21GBP%201.84%21%21%21%40211b807017489305761224505eeaf6%2112000033284825011%21ct%21UK%214911257576%21%211%210</t>
  </si>
  <si>
    <t>25mm (20mm just enough I think)</t>
  </si>
  <si>
    <t>https://www.aliexpress.com/item/1005005747262698.html?spm=a2g0o.cart.0.0.4cc038daQAAcCh&amp;mp=1&amp;pdp_npi=5%40dis%21GBP%21GBP%205.88%21GBP%202.94%21%21GBP%202.94%21%21%21%40211b807017489305983274816eeaf6%2112000034202358244%21ct%21UK%214911257576%21%211%210</t>
  </si>
  <si>
    <t xml:space="preserve">Washer kit varying sizes m2.5 + </t>
  </si>
  <si>
    <t xml:space="preserve">25mm </t>
  </si>
  <si>
    <t>Driver MOSFET Heat sinking</t>
  </si>
  <si>
    <t>Thermal conductivity of insulator layer</t>
  </si>
  <si>
    <t>W/m-K</t>
  </si>
  <si>
    <t>Thickness of insulator layer (mm)</t>
  </si>
  <si>
    <t>Contact Area</t>
  </si>
  <si>
    <t>Total thermal resistance</t>
  </si>
  <si>
    <t>RθCS</t>
  </si>
  <si>
    <t>Case-to-Sink Thermal resistance of insulator layer</t>
  </si>
  <si>
    <t>RθJC</t>
  </si>
  <si>
    <t>Junction-to-Case</t>
  </si>
  <si>
    <t>RθSA​</t>
  </si>
  <si>
    <t>Sink-to-Ambient Thermal resistance of heatsink max</t>
  </si>
  <si>
    <t>Delta T</t>
  </si>
  <si>
    <t>ΔT</t>
  </si>
  <si>
    <t>Maximum ambient temperature</t>
  </si>
  <si>
    <t>Maximum junction temperature</t>
  </si>
  <si>
    <t>Maximum allowed junction temperature</t>
  </si>
  <si>
    <t>Acceptible</t>
  </si>
  <si>
    <t>N individual resistors in composite high voltage resistor</t>
  </si>
  <si>
    <t>Ratio required</t>
  </si>
  <si>
    <t>Low leg resistance required</t>
  </si>
  <si>
    <t>Current at maximum output voltage</t>
  </si>
  <si>
    <t>Power per individual composite resistor</t>
  </si>
  <si>
    <t>Total power</t>
  </si>
  <si>
    <t>Power in lower leg resistor</t>
  </si>
  <si>
    <t>Cooling fan</t>
  </si>
  <si>
    <t>Number of heatsinks (identicle in this case)</t>
  </si>
  <si>
    <t>Desired flow rate for each heatsink</t>
  </si>
  <si>
    <t>cross sectional area</t>
  </si>
  <si>
    <t>LFM</t>
  </si>
  <si>
    <t>Cubic meters per minute per heatsink</t>
  </si>
  <si>
    <t>Cubic meters per hour</t>
  </si>
  <si>
    <t>Inrush resistor temperature change</t>
  </si>
  <si>
    <t>Total energy into inrush current limiting resistor</t>
  </si>
  <si>
    <t>E_R_ir</t>
  </si>
  <si>
    <t>V_R_ir</t>
  </si>
  <si>
    <t>Volume of inrush resistor metal</t>
  </si>
  <si>
    <t>c_p</t>
  </si>
  <si>
    <t>Inrush resistor metal specific heat capacity (probably aluminium alloy)</t>
  </si>
  <si>
    <t>ρ</t>
  </si>
  <si>
    <t>Inrush resistor metal density</t>
  </si>
  <si>
    <t>kPETG</t>
  </si>
  <si>
    <t>heff​</t>
  </si>
  <si>
    <t>Effective thermal dissipation rate</t>
  </si>
  <si>
    <t>Thermal time constant</t>
  </si>
  <si>
    <t>Thermal capacitance</t>
  </si>
  <si>
    <t>Cth​</t>
  </si>
  <si>
    <t>t99%​</t>
  </si>
  <si>
    <t>Thermal conductivity petg</t>
  </si>
  <si>
    <t>RPETG​</t>
  </si>
  <si>
    <t>Thermal resistance PETG</t>
  </si>
  <si>
    <t>Area PETG insulator</t>
  </si>
  <si>
    <t>A_insulator</t>
  </si>
  <si>
    <t>L_insulator</t>
  </si>
  <si>
    <t>Length insulator</t>
  </si>
  <si>
    <t>Q(t)</t>
  </si>
  <si>
    <t>ΔTfar side</t>
  </si>
  <si>
    <t>Actual low leg resistance</t>
  </si>
  <si>
    <t>Active cooling by oil circulation</t>
  </si>
  <si>
    <t>Power loss discharge resistors</t>
  </si>
  <si>
    <t>Steady state power loss diodes</t>
  </si>
  <si>
    <t>Flyback power loss</t>
  </si>
  <si>
    <t>Total power loss into mineral oil</t>
  </si>
  <si>
    <t>Individual current limiting resistor power rating</t>
  </si>
  <si>
    <t>Minimum output voltage acceptible (doesn’t cause too high loss)</t>
  </si>
  <si>
    <t>Maximum steady state power loss at highest rated output voltage</t>
  </si>
  <si>
    <t>Dummy Loads For Testing Primary</t>
  </si>
  <si>
    <t>Minimum current required to test above lower bound of ADC</t>
  </si>
  <si>
    <t>Max resistance required</t>
  </si>
  <si>
    <t>Min resistance required</t>
  </si>
  <si>
    <t>Nominal resistance required</t>
  </si>
  <si>
    <t>Actual resistance for minimum current test</t>
  </si>
  <si>
    <t>Maximum output power</t>
  </si>
  <si>
    <t>Actual individual resistor value</t>
  </si>
  <si>
    <t>N in series</t>
  </si>
  <si>
    <t>Series resistance</t>
  </si>
  <si>
    <t>Minimum resistance for 200w test required</t>
  </si>
  <si>
    <t>Maximum current reached</t>
  </si>
  <si>
    <t>Maximum peak current</t>
  </si>
  <si>
    <t>Minimum peak current</t>
  </si>
  <si>
    <t>Maximum average power</t>
  </si>
  <si>
    <t>Maximum Peak power</t>
  </si>
  <si>
    <t>Minimum Peak Power</t>
  </si>
  <si>
    <t>Minimum average power</t>
  </si>
  <si>
    <t>1, 1, 1, 1, 1</t>
  </si>
  <si>
    <t>Resistor combination for maximum supply voltage</t>
  </si>
  <si>
    <t>1, 1, 1, 1, 1, 1</t>
  </si>
  <si>
    <t>1, 1, 1, 2, 2</t>
  </si>
  <si>
    <t>1, 1, 1, 1, 2, 2</t>
  </si>
  <si>
    <t>1, 1, 1, 1, 1, 2, 2</t>
  </si>
  <si>
    <t>1, 1, 1, 1, 1, 1, 2, 2</t>
  </si>
  <si>
    <t>1, 1, 1, 2, 2, 4</t>
  </si>
  <si>
    <t>1, 2, 2, 4, 4</t>
  </si>
  <si>
    <t>1, 1, 1, 1, 2, 2, 4 OR 2, 4, 4</t>
  </si>
  <si>
    <t>1, 1, 2, 2, 4, 4</t>
  </si>
  <si>
    <t>f</t>
  </si>
  <si>
    <t>drive frequency (Hz) (16 kHz nominal)</t>
  </si>
  <si>
    <t>N</t>
  </si>
  <si>
    <t>CT turns ratio (e.g. 1000:1 ⇒ N=1000)</t>
  </si>
  <si>
    <t>Vadc_fs</t>
  </si>
  <si>
    <t>Vf</t>
  </si>
  <si>
    <t>forward drop of one rectifier diode at your CT secondary current (V)</t>
  </si>
  <si>
    <t>Burden resistor resistance = Vtarget_pk / Isec_pk</t>
  </si>
  <si>
    <t>Rb_suggested</t>
  </si>
  <si>
    <t>Rb_actual</t>
  </si>
  <si>
    <t>Actual value chosen</t>
  </si>
  <si>
    <t>Primary peak current (A) under typical operating conditions</t>
  </si>
  <si>
    <t>Maximum peak current to ever be potentially seen</t>
  </si>
  <si>
    <t>I_pri_pk_max</t>
  </si>
  <si>
    <t>Expected RMS at the maximum operating point</t>
  </si>
  <si>
    <t>I_pri_rms_max</t>
  </si>
  <si>
    <t>I_sec_pk_max</t>
  </si>
  <si>
    <t>I_sec_rms_max</t>
  </si>
  <si>
    <t>ADC full-scale you want to use at the maximum primary peak current</t>
  </si>
  <si>
    <t>Peak power in Rb at maximum primary current</t>
  </si>
  <si>
    <t>Peak power seen in a bridge rectifier diode at maximum primary current</t>
  </si>
  <si>
    <t>Actual peak voltage seen by ADC at maximum primary current</t>
  </si>
  <si>
    <t>Vadc_actual_pk_max</t>
  </si>
  <si>
    <t>P_D_peak_max</t>
  </si>
  <si>
    <t>P_Rb_peak_max</t>
  </si>
  <si>
    <t>Peak power in Rb at typical peak primary current</t>
  </si>
  <si>
    <t>P_Rb_peak_typ</t>
  </si>
  <si>
    <t>I_sec_pk_typ</t>
  </si>
  <si>
    <t>P_D_peak_typ</t>
  </si>
  <si>
    <t>Peak power seen in a bridge rectifier diode at typical peak primary current</t>
  </si>
  <si>
    <t>V_adc_peak_typ</t>
  </si>
  <si>
    <t>Typical Peak voltage seen by ADC</t>
  </si>
  <si>
    <t>P_Rb_average_max</t>
  </si>
  <si>
    <t>P_Rb_average_typ</t>
  </si>
  <si>
    <t>Average power in Rb at typical primary current</t>
  </si>
  <si>
    <t>Average power in Rb at maximum primary current</t>
  </si>
  <si>
    <t>I_sec_rms_typ</t>
  </si>
  <si>
    <t>I_pri_rms_typ</t>
  </si>
  <si>
    <t>I_pri_pk_typ</t>
  </si>
  <si>
    <t>Rb_peak_max</t>
  </si>
  <si>
    <t>Maximum peak burden seen by current transformer</t>
  </si>
  <si>
    <t>Id_pk</t>
  </si>
  <si>
    <t>Minimum diode current rating (comfortably rated for repetitive peak current)</t>
  </si>
  <si>
    <t>Id_actual</t>
  </si>
  <si>
    <t>Actual diode repetitive peak current rating</t>
  </si>
  <si>
    <t>V_zener_min_actual</t>
  </si>
  <si>
    <t>Minimum ADC input protection zener diode voltage</t>
  </si>
  <si>
    <t>R_series_min</t>
  </si>
  <si>
    <t>Minimum resistor value between Rb node and ADC input node</t>
  </si>
  <si>
    <t>t_half_cycle</t>
  </si>
  <si>
    <t>N_ts</t>
  </si>
  <si>
    <t>N time steps for integrating volt-time-product</t>
  </si>
  <si>
    <t>Time step</t>
  </si>
  <si>
    <t>Interval</t>
  </si>
  <si>
    <t>I_primary</t>
  </si>
  <si>
    <t>I_primary_pk</t>
  </si>
  <si>
    <t>I_secondary</t>
  </si>
  <si>
    <t>Vs_step</t>
  </si>
  <si>
    <t>Vs</t>
  </si>
  <si>
    <t>Vs_max_actual</t>
  </si>
  <si>
    <t>Vs acceptible</t>
  </si>
  <si>
    <t>Desired output voltage</t>
  </si>
  <si>
    <t>Vout</t>
  </si>
  <si>
    <t>R2</t>
  </si>
  <si>
    <t>R1</t>
  </si>
  <si>
    <t>Do not change</t>
  </si>
  <si>
    <t>Required R2 value</t>
  </si>
  <si>
    <t>Minimum desired output voltage</t>
  </si>
  <si>
    <t>Vout_min</t>
  </si>
  <si>
    <t>Vout_max</t>
  </si>
  <si>
    <t>Maximum desired output voltage</t>
  </si>
  <si>
    <t>Required R2 value for minimum output voltage</t>
  </si>
  <si>
    <t>Requried R2 value for maximum output voltage</t>
  </si>
  <si>
    <t>R2_max</t>
  </si>
  <si>
    <t>R2_min</t>
  </si>
  <si>
    <t>Cff</t>
  </si>
  <si>
    <t>LM2956HV-adj for 3.3v</t>
  </si>
  <si>
    <t>LM2956HV-adj for 5v</t>
  </si>
  <si>
    <t>LM2956HV-adj for 2-30v</t>
  </si>
  <si>
    <t>LM2956HV-adj for 9-15v</t>
  </si>
  <si>
    <t>LM2956HV-adj for 10v</t>
  </si>
  <si>
    <t>Feedforward capacitor given by equations on https://e2e.ti.com/support/power-management-group/power-management/f/power-management-forum/898296/lm2596-feedforward-capacitor-selection#:~:text=Andy%20Chen%20over%206%20years,performance%20in%20the%20actual%20application.</t>
  </si>
  <si>
    <t>V_supply_max</t>
  </si>
  <si>
    <t>Maximum supply voltage</t>
  </si>
  <si>
    <t>I_DS_pk</t>
  </si>
  <si>
    <t>V_DS_max</t>
  </si>
  <si>
    <t>Time to switch on lower MOSFET's</t>
  </si>
  <si>
    <t>Time to switch off lower MOSFET's</t>
  </si>
  <si>
    <t>V_drive_lower</t>
  </si>
  <si>
    <t>Voltage gate being driven to for upper MOSFET'S</t>
  </si>
  <si>
    <t>Voltage gate being driven to for lower MOSFETSS</t>
  </si>
  <si>
    <t>t_s_lower</t>
  </si>
  <si>
    <t>t_s_on_lower</t>
  </si>
  <si>
    <t>t_s_off_lower</t>
  </si>
  <si>
    <t>t_s_upper</t>
  </si>
  <si>
    <t>t_s_on_upper</t>
  </si>
  <si>
    <t>t_s_off_upper</t>
  </si>
  <si>
    <t>Switching time upper MOSFET's</t>
  </si>
  <si>
    <t>Switching time lower MOSFET's</t>
  </si>
  <si>
    <t>Time to switch on upper MOSFET's</t>
  </si>
  <si>
    <t>Time to switch off upper MOSFET's</t>
  </si>
  <si>
    <t>P_sw_max_single_mosfet</t>
  </si>
  <si>
    <t>P_gate_single_mosfet</t>
  </si>
  <si>
    <t>P_total_max_single_mosfet</t>
  </si>
  <si>
    <t>Maximum total power that can be dissipated as heat in a single MOSFET</t>
  </si>
  <si>
    <t>P_total_max_bridge</t>
  </si>
  <si>
    <t>Maximum total power that can be dissipated as heat in all four H Bridge MOSFET's combined</t>
  </si>
  <si>
    <t>Maximum pulsed drain current rating of MOSFET</t>
  </si>
  <si>
    <t>L_load</t>
  </si>
  <si>
    <t>Inductance of load</t>
  </si>
  <si>
    <t>Maximum desired voltage ripple on high side boot capacitance</t>
  </si>
  <si>
    <t>ΔV_desired_max</t>
  </si>
  <si>
    <t>C_boot_actual</t>
  </si>
  <si>
    <t>C_boot_required</t>
  </si>
  <si>
    <t>ΔV_actual_max</t>
  </si>
  <si>
    <t>Minimum high side boot capacitance required for high side</t>
  </si>
  <si>
    <t>Actual high side boot capacitance</t>
  </si>
  <si>
    <t>Actual voltage ripple on high side boot capacitance</t>
  </si>
  <si>
    <t>VBSUV</t>
  </si>
  <si>
    <t>I use VBSUV+, max because I am not someone who flirts with failure</t>
  </si>
  <si>
    <t xml:space="preserve"> =(VB−VS)min,actual​ − ("VBSUV−​" but I choose to use VBSUV+,max here)</t>
  </si>
  <si>
    <t>V_F_max_diode</t>
  </si>
  <si>
    <t>Maximum forward voltage drop of diode to high side from Vcc</t>
  </si>
  <si>
    <t>V_drive_upper_min</t>
  </si>
  <si>
    <t>V_cc</t>
  </si>
  <si>
    <t>V_cc to gate driver</t>
  </si>
  <si>
    <t>C_boot large enough</t>
  </si>
  <si>
    <t>UVLO_margin_desired</t>
  </si>
  <si>
    <t>Acceptable margin. DO NOT CHANGE</t>
  </si>
  <si>
    <t>VLS​</t>
  </si>
  <si>
    <t xml:space="preserve"> =VCC−COM</t>
  </si>
  <si>
    <t>VCCUV+,max</t>
  </si>
  <si>
    <t>UVLO_u_margin_actual</t>
  </si>
  <si>
    <t>UVLO_l_margin_actual</t>
  </si>
  <si>
    <t>Actual low side under voltage lock out margin</t>
  </si>
  <si>
    <t>UVLO_u_margin_actual big enough</t>
  </si>
  <si>
    <t>UVLO_l_margin_actual big enough</t>
  </si>
  <si>
    <t xml:space="preserve">Q_refill </t>
  </si>
  <si>
    <t>charge to refill boot capacitor on each cycle</t>
  </si>
  <si>
    <t>I_d_boot_avg</t>
  </si>
  <si>
    <t>Average current through boot diode</t>
  </si>
  <si>
    <t>Effective resistance for refilling boot capacitor</t>
  </si>
  <si>
    <t>R_eff_boot</t>
  </si>
  <si>
    <t>R_diode_boot</t>
  </si>
  <si>
    <t>Peak current through boot diode on refill C_boot</t>
  </si>
  <si>
    <t>V_boot_initial</t>
  </si>
  <si>
    <t>The lowest voltage drive can happen theoretically =  VBSUV+,min</t>
  </si>
  <si>
    <t>Diode suitable to handle maximum peak current on boostrap</t>
  </si>
  <si>
    <t>I_boot_diode_peak_max</t>
  </si>
  <si>
    <t>I_boot_diode_peak_from_ΔV</t>
  </si>
  <si>
    <t>V_boot_diode_RRM</t>
  </si>
  <si>
    <t>I_FSM_boot_diode</t>
  </si>
  <si>
    <t>ESR_c_boot</t>
  </si>
  <si>
    <t>Boot diode V_RRM big enough</t>
  </si>
  <si>
    <t>Estimated current step for bootstrap diode</t>
  </si>
  <si>
    <t>Δi_boot_diode</t>
  </si>
  <si>
    <t>L_boot_loop</t>
  </si>
  <si>
    <t>Δt</t>
  </si>
  <si>
    <t xml:space="preserve">Estimated: Δt is the time over which the current in that specific loop changes, not the total MOSFET gate charge time </t>
  </si>
  <si>
    <t>Estimated loop inductance. Being over conservative and using a bad design value</t>
  </si>
  <si>
    <t>Estimated Inductive spike caused by the forward current step when the bootstrap diode turns ON</t>
  </si>
  <si>
    <t>Irr</t>
  </si>
  <si>
    <t>trr​</t>
  </si>
  <si>
    <t>Reverse recovery time</t>
  </si>
  <si>
    <t>Voltage spike when the gate driver turns off the MOSFET. Qrr matters when the diode turns OFF, not when it turns on.</t>
  </si>
  <si>
    <t>V_spike_Qrr_desired</t>
  </si>
  <si>
    <t>V_spike_Qrr_acceptable</t>
  </si>
  <si>
    <t>V_spike_Qrr</t>
  </si>
  <si>
    <t>Maximum voltage spike desired when boostrap diode turns on</t>
  </si>
  <si>
    <t>Maximum voltage spike due to Qrr of boostrap diode when it turns off</t>
  </si>
  <si>
    <t>V_spike_boot_on</t>
  </si>
  <si>
    <t>V_spike_boot_on_desired</t>
  </si>
  <si>
    <t>V_spike_boot_on_acceptable</t>
  </si>
  <si>
    <t>I_d_actual</t>
  </si>
  <si>
    <t>I_d high enough</t>
  </si>
  <si>
    <t>Driver MOSFET H-Bridge</t>
  </si>
  <si>
    <t>0.5 xIrrxtrr is a good approximation. The reverse current because the diode stores charge</t>
  </si>
  <si>
    <t>Kee boot loop tight</t>
  </si>
  <si>
    <t>Had to approximate this. Over estimated</t>
  </si>
  <si>
    <t>Had to approximate this but can update later</t>
  </si>
  <si>
    <t>Actual continuous drain current of MOSFET</t>
  </si>
  <si>
    <t>Continuous Drain Current required for MOSFET</t>
  </si>
  <si>
    <t>T</t>
  </si>
  <si>
    <t>V_stage_max</t>
  </si>
  <si>
    <t>Ω⋅m</t>
  </si>
  <si>
    <t>W/m^2</t>
  </si>
  <si>
    <t>N turns</t>
  </si>
  <si>
    <t>N_p_actual</t>
  </si>
  <si>
    <t>Power loss winding (triangle wave)</t>
  </si>
  <si>
    <t>N_bob_seg</t>
  </si>
  <si>
    <t>N_per_seg</t>
  </si>
  <si>
    <t>P_secondary</t>
  </si>
  <si>
    <t>Transformer primary design (thick turns no bobin)</t>
  </si>
  <si>
    <t>Transformer secondary design (fine wire many turns on bobin)</t>
  </si>
  <si>
    <t>Primary Current Feedback V2 (Current transformer with rectifier bridge and burden resistor and ADC)</t>
  </si>
  <si>
    <t>N Turns</t>
  </si>
  <si>
    <t>Air gap length</t>
  </si>
  <si>
    <t>Inductance</t>
  </si>
  <si>
    <t>A_L</t>
  </si>
  <si>
    <t>UY30 PC40</t>
  </si>
  <si>
    <t>L_p_actual</t>
  </si>
  <si>
    <t>I_zener_leak_max</t>
  </si>
  <si>
    <t>Divider multiple desired</t>
  </si>
  <si>
    <t>R_L</t>
  </si>
  <si>
    <t>R_H_required</t>
  </si>
  <si>
    <t>R_H_actual</t>
  </si>
  <si>
    <t>R_eq</t>
  </si>
  <si>
    <t>V_tap at maximum input voltage with zener</t>
  </si>
  <si>
    <t>V_tap at maximum input voltage without zener</t>
  </si>
  <si>
    <t>V_tap at minimum input voltage with zener</t>
  </si>
  <si>
    <t>V_tap votlage error at maximum input voltage</t>
  </si>
  <si>
    <t>Error</t>
  </si>
  <si>
    <t>P_H</t>
  </si>
  <si>
    <t>P_L</t>
  </si>
  <si>
    <t>Tolerance on resistors</t>
  </si>
  <si>
    <t>Maximum voltage error reflected to input due to zener</t>
  </si>
  <si>
    <t>Maximum divider ratio possible with tolerances</t>
  </si>
  <si>
    <t>Nominal divider ratio</t>
  </si>
  <si>
    <t>Minimum divider ratio possible with tolerances</t>
  </si>
  <si>
    <t>Positive error</t>
  </si>
  <si>
    <t>Negative error</t>
  </si>
  <si>
    <t>Positive error percent</t>
  </si>
  <si>
    <t>Negative error percent</t>
  </si>
  <si>
    <t>Maximum percent error</t>
  </si>
  <si>
    <t>Maximum Total Error</t>
  </si>
  <si>
    <t>τ</t>
  </si>
  <si>
    <t>Time constant for charging capacitor</t>
  </si>
  <si>
    <t>τ_99</t>
  </si>
  <si>
    <t>Resistors tolerance as proportion</t>
  </si>
  <si>
    <t>ΔV_tap at minimum input voltage without zener</t>
  </si>
  <si>
    <t>ΔV_tap</t>
  </si>
  <si>
    <t>ΔV_tap voltage error at minimum input voltage</t>
  </si>
  <si>
    <t>Maximum ADC voltage</t>
  </si>
  <si>
    <t>Maximum voltage corresponding to ADC voltage</t>
  </si>
  <si>
    <t>Individual composite resistor resistance</t>
  </si>
  <si>
    <t>Individual composite resistor voltage rating</t>
  </si>
  <si>
    <t>Minimum number of resistors required for safe voltage on each</t>
  </si>
  <si>
    <t>Individual composite resistor power rating</t>
  </si>
  <si>
    <t>Individual composite resistor safe power</t>
  </si>
  <si>
    <t>Individual composite resistor safe voltage</t>
  </si>
  <si>
    <t>Individual composite resistor power safe</t>
  </si>
  <si>
    <t>Individual composite resistor voltage safe</t>
  </si>
  <si>
    <t>Individual composite resistor voltage</t>
  </si>
  <si>
    <t>R_boot</t>
  </si>
  <si>
    <t>Boot resistor value or trace value</t>
  </si>
  <si>
    <t>τ_boot</t>
  </si>
  <si>
    <t>t_boot_99</t>
  </si>
  <si>
    <t>t_boot_99 short enough</t>
  </si>
  <si>
    <t>Induced Voltages PCB</t>
  </si>
  <si>
    <t>μ0</t>
  </si>
  <si>
    <t>𝑙</t>
  </si>
  <si>
    <t>w</t>
  </si>
  <si>
    <t>M</t>
  </si>
  <si>
    <t>Mutual inductance</t>
  </si>
  <si>
    <t>di/dt</t>
  </si>
  <si>
    <t>Approximate maximum di/dt</t>
  </si>
  <si>
    <t>Induced voltage</t>
  </si>
  <si>
    <t>V_induced​</t>
  </si>
  <si>
    <t>θ</t>
  </si>
  <si>
    <t>Angle between tracks</t>
  </si>
  <si>
    <t>Name</t>
  </si>
  <si>
    <t>Example</t>
  </si>
  <si>
    <t>Two 10cm 0.25mm traces</t>
  </si>
  <si>
    <t>ζ</t>
  </si>
  <si>
    <t>R_g</t>
  </si>
  <si>
    <t>Gate drive resistance</t>
  </si>
  <si>
    <t>C_iss</t>
  </si>
  <si>
    <t>This is the total capacitance seen at the gate pin relative to the source when the drain is AC grounded. It is primarily the gate-to-source capacitance (\(C_{GS}\)) in parallel with the gate-to-drain capacitance (\(C_{GD}\)). This is the value that dominates the charging/discharging time and is the correct value to use in your RLC circuit calculation.</t>
  </si>
  <si>
    <t>L_trace</t>
  </si>
  <si>
    <t>Worst estimate trace inductance</t>
  </si>
  <si>
    <t>Inductance of trace above ground plane</t>
  </si>
  <si>
    <t>l</t>
  </si>
  <si>
    <t>Trace Length</t>
  </si>
  <si>
    <t>Trace width</t>
  </si>
  <si>
    <t>t</t>
  </si>
  <si>
    <t>Trace thickness</t>
  </si>
  <si>
    <t>L_microstrip</t>
  </si>
  <si>
    <t>R_g_int</t>
  </si>
  <si>
    <t>Internal gate resistance of MOSFET</t>
  </si>
  <si>
    <t>R_g_ext</t>
  </si>
  <si>
    <t>External gate resistance provided</t>
  </si>
  <si>
    <t>R_driver</t>
  </si>
  <si>
    <t>Gate driver output impedance</t>
  </si>
  <si>
    <t>I_drive_max_all_impedances</t>
  </si>
  <si>
    <t>Maximum drive current to gate using all impedances</t>
  </si>
  <si>
    <t>I_drive_g_ext_only</t>
  </si>
  <si>
    <t>Maximum drive current to gate using only the external provided resistor (Safe if no other impedance known)</t>
  </si>
  <si>
    <t>^^Lower mosfet voltage was used as this is higher due to boostrap diode drop</t>
  </si>
  <si>
    <t>Tolerance R_g_ext</t>
  </si>
  <si>
    <t>R_g_ext_min</t>
  </si>
  <si>
    <t>Minimum value of R_g_ext due to tolerance</t>
  </si>
  <si>
    <t>Maximum drive current safe</t>
  </si>
  <si>
    <t>Gate resistor approximate inductance</t>
  </si>
  <si>
    <t>L_resistor</t>
  </si>
  <si>
    <t>L_total</t>
  </si>
  <si>
    <t>Trace Separation (m)</t>
  </si>
  <si>
    <t>Parallel Trace Length (m)</t>
  </si>
  <si>
    <t>2l/d</t>
  </si>
  <si>
    <t>d/(2l)</t>
  </si>
  <si>
    <t>(2l/d)^2</t>
  </si>
  <si>
    <t>(d/(2l))^2</t>
  </si>
  <si>
    <t>IPC-2221 Track Thickness Calculation</t>
  </si>
  <si>
    <t>Internal else External</t>
  </si>
  <si>
    <t>I</t>
  </si>
  <si>
    <t>Allowable rise in temperature</t>
  </si>
  <si>
    <t xml:space="preserve">Cross-Sectional Area </t>
  </si>
  <si>
    <t>mil^2</t>
  </si>
  <si>
    <t>Thickness</t>
  </si>
  <si>
    <t>RMS Current</t>
  </si>
  <si>
    <t>Width</t>
  </si>
  <si>
    <t>Actual ratio</t>
  </si>
  <si>
    <t>All capacitors total energy change per cycle required</t>
  </si>
  <si>
    <t>Transformer (Bipolar DCM)</t>
  </si>
  <si>
    <t>Maximum average diode current with safety factor</t>
  </si>
  <si>
    <t xml:space="preserve">Maximum sudden short circuit current </t>
  </si>
  <si>
    <t>Power per resistor at lowest rated output voltage (maximum steady state output current)</t>
  </si>
  <si>
    <t>Maximum steady state power loss at lowest rated output voltage (maximum steady state output current)</t>
  </si>
  <si>
    <t>Can handle maximum designed output power</t>
  </si>
  <si>
    <t>Designed maximum output power</t>
  </si>
  <si>
    <t>Maximum composite resistor average power</t>
  </si>
  <si>
    <t>Capacitor discharge to per cycle</t>
  </si>
  <si>
    <t>Lower voltage per cycle</t>
  </si>
  <si>
    <t>i</t>
  </si>
  <si>
    <t>R_s'</t>
  </si>
  <si>
    <t>R_s</t>
  </si>
  <si>
    <t>Ns/Np</t>
  </si>
  <si>
    <t>C'</t>
  </si>
  <si>
    <t xml:space="preserve">C </t>
  </si>
  <si>
    <t>Time</t>
  </si>
  <si>
    <t>V_bus</t>
  </si>
  <si>
    <t>Source voltage</t>
  </si>
  <si>
    <t>Source current</t>
  </si>
  <si>
    <t>i_m</t>
  </si>
  <si>
    <t>magnetising current</t>
  </si>
  <si>
    <t>V'_C</t>
  </si>
  <si>
    <t>Reflected capacitor voltage</t>
  </si>
  <si>
    <t>L_leak</t>
  </si>
  <si>
    <t>R_P</t>
  </si>
  <si>
    <t>L_mag</t>
  </si>
  <si>
    <t>Magnetising inductance</t>
  </si>
  <si>
    <t>Iteration</t>
  </si>
  <si>
    <t>V_C</t>
  </si>
  <si>
    <t>L_mag_actual</t>
  </si>
  <si>
    <t>R_p_actual</t>
  </si>
  <si>
    <t>Primary resistance</t>
  </si>
  <si>
    <t>L_p_leak_actual</t>
  </si>
  <si>
    <t>R_s_actual</t>
  </si>
  <si>
    <t>Secondary resistance</t>
  </si>
  <si>
    <t>Actual number of primary turns</t>
  </si>
  <si>
    <t>N_s_actual</t>
  </si>
  <si>
    <t>Actual number of secondary turns</t>
  </si>
  <si>
    <t>n=N_s/N_p</t>
  </si>
  <si>
    <t>Actual turns ratio</t>
  </si>
  <si>
    <t>Actual transformer values</t>
  </si>
  <si>
    <t>Iteration number</t>
  </si>
  <si>
    <t>First capacitor voltage</t>
  </si>
  <si>
    <t>F_sw</t>
  </si>
  <si>
    <t>V_drive_max</t>
  </si>
  <si>
    <t>Column where primary current exceeds threshold</t>
  </si>
  <si>
    <t>Primary current threshold reached</t>
  </si>
  <si>
    <t>i_max</t>
  </si>
  <si>
    <t>I_p_max</t>
  </si>
  <si>
    <t>Maximum primary current allowed</t>
  </si>
  <si>
    <t>Maximum allowed primary current</t>
  </si>
  <si>
    <t>Voltage reached on capacitor referred</t>
  </si>
  <si>
    <t>Maximum energy transfer to capacitor during first quarter cycle drive. This is with a single capacitor and diode (ignored) and is a gross overestimate for a multi stage villard</t>
  </si>
  <si>
    <t>i_end_first_quarter_cycle_drive</t>
  </si>
  <si>
    <t>V_C_end_first_quarter_drive</t>
  </si>
  <si>
    <t>V'_C_end_first_quarter_drive</t>
  </si>
  <si>
    <t>i_m_end_first_quarter_cycle_drive</t>
  </si>
  <si>
    <t>t_end_first_quarter_cycle</t>
  </si>
  <si>
    <t>T99</t>
  </si>
  <si>
    <t>Time constant for lower leg smoothing capacitor (should never slew faster than a single switching cycle). Using t99</t>
  </si>
  <si>
    <t>C_L_smooth</t>
  </si>
  <si>
    <t>Smoothing capacitor value</t>
  </si>
  <si>
    <t>First Stage Voltage Feedback</t>
  </si>
  <si>
    <t>nH/turn^2</t>
  </si>
  <si>
    <t>Primary current from raw</t>
  </si>
  <si>
    <t>Output Voltage Feedback</t>
  </si>
  <si>
    <t>Output voltage from raw</t>
  </si>
  <si>
    <t>First stage voltage from raw</t>
  </si>
  <si>
    <t>VillardCapacitorsBleedTimeConstantSeconds</t>
  </si>
  <si>
    <t>Capacitance tolerance percentage</t>
  </si>
  <si>
    <t>Capacitance tolerance</t>
  </si>
  <si>
    <t>Bleet time tolerance percent</t>
  </si>
  <si>
    <t xml:space="preserve">Maximum individual stage voltage after discharge </t>
  </si>
  <si>
    <t>Discharge time with bleed time tolerance and capacitance tolerance</t>
  </si>
  <si>
    <t>Villard capacitors bleed time constant including bleed time tolerance and capacitance tolerance</t>
  </si>
  <si>
    <t>Actual discharge time assuming capacitance tolerance averages out</t>
  </si>
  <si>
    <t>FirstStageVoltageFromRaw</t>
  </si>
  <si>
    <t>OutputVoltageFromRaw</t>
  </si>
  <si>
    <t>MaxOutputVoltageVolts</t>
  </si>
  <si>
    <t>MinOutputVoltageVolts</t>
  </si>
  <si>
    <t>PowerSupplyVoltageFeedbackPotentialDividerRatio</t>
  </si>
  <si>
    <t>PrimaryCurrentFromRaw</t>
  </si>
  <si>
    <t>Maximum total heat power in mosfet</t>
  </si>
  <si>
    <t>t_s_max = t_j_max - ( p* (R_j_c + R_c_s) )</t>
  </si>
  <si>
    <t>MaxFirstStageVoltage</t>
  </si>
  <si>
    <t>MaxSupplyVoltage</t>
  </si>
  <si>
    <t>MaxPrimaryCurrent</t>
  </si>
  <si>
    <t>TransformerLeakageInductance</t>
  </si>
  <si>
    <t>Variable Name</t>
  </si>
  <si>
    <t>MaxMosfetTemperatureDegreesC</t>
  </si>
  <si>
    <t>Rounded Up</t>
  </si>
  <si>
    <t>Simulation Parameter Name</t>
  </si>
  <si>
    <t>R_p</t>
  </si>
  <si>
    <t>N_p/N_s</t>
  </si>
  <si>
    <t>n</t>
  </si>
  <si>
    <t>i_p_threshold</t>
  </si>
  <si>
    <t>AD7822_Delay</t>
  </si>
  <si>
    <t>V_out_threshold</t>
  </si>
  <si>
    <t>V_first_threshold</t>
  </si>
  <si>
    <t>Max ADC Conversion Time</t>
  </si>
  <si>
    <t>MaxADCConversionTime</t>
  </si>
  <si>
    <t>Required Ns/Np to comfortably drive power</t>
  </si>
  <si>
    <t>n=N_p/N_s</t>
  </si>
  <si>
    <t>N_s/N_p</t>
  </si>
  <si>
    <t>Required N_p/N_s to comfortably drive power</t>
  </si>
  <si>
    <t>n_actual</t>
  </si>
  <si>
    <t>Actual N_p/N_s</t>
  </si>
  <si>
    <t>Maximum allowed I_s</t>
  </si>
  <si>
    <t>I_s_max</t>
  </si>
  <si>
    <t>I_p_peak_max</t>
  </si>
  <si>
    <t>Maximum allowed peak primary current to protect diodes</t>
  </si>
  <si>
    <t>Minimum number of adc conversations required before max primary current reached</t>
  </si>
  <si>
    <t>L_leak_p_min</t>
  </si>
  <si>
    <t>V_min_tank</t>
  </si>
  <si>
    <t>V_max_tank</t>
  </si>
  <si>
    <t>Maximum drive voltage from H-Bridge</t>
  </si>
  <si>
    <t>Minimum drive voltage from H-Bridge</t>
  </si>
  <si>
    <t>Minimum leakage inductance required to slow current ramp on short circuit output (when begins charging)</t>
  </si>
  <si>
    <t>ADC conversion period</t>
  </si>
  <si>
    <t>Maximum percent leakage inductance</t>
  </si>
  <si>
    <t xml:space="preserve">Maximum proportion leakage inductance </t>
  </si>
  <si>
    <t>Minimum magnetising inductance</t>
  </si>
  <si>
    <t>Actual primary leakage inductance</t>
  </si>
  <si>
    <t>L_p_mag_actual</t>
  </si>
  <si>
    <t>L_p_mag_min</t>
  </si>
  <si>
    <t>Actual primary magnetising inductance</t>
  </si>
  <si>
    <t>L_p_total</t>
  </si>
  <si>
    <t>Total primary indutance required</t>
  </si>
  <si>
    <t>Approximate primary turns required</t>
  </si>
  <si>
    <t>NOW TRY TO MATCH L_p_mag and L_p_leak. Some will be deferred secondary leakage inductance</t>
  </si>
  <si>
    <t>B_max_for_recommended</t>
  </si>
  <si>
    <t>Maximum flux density for recommended</t>
  </si>
  <si>
    <t>B_max_actual</t>
  </si>
  <si>
    <t>I_p_peak_max_actual</t>
  </si>
  <si>
    <t>Actual maximum peak primary current allowed</t>
  </si>
  <si>
    <t>Actual total primary inductance</t>
  </si>
  <si>
    <t>N_p_recommended</t>
  </si>
  <si>
    <t>N_s_recommended</t>
  </si>
  <si>
    <t>Actual proportion leakage inductance</t>
  </si>
  <si>
    <t>Note. Leakage inductance has to be considered to get true N_p/N_s</t>
  </si>
  <si>
    <t>n_actual=N_p_actual/N_s_actual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</si>
</sst>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rgb="FF333333"/>
      <name val="Arial"/>
      <family val="2"/>
    </font>
    <font>
      <sz val="11"/>
      <color rgb="FFFF0000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Arial"/>
      <family val="2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5">
    <xf numFmtId="0" fontId="0" fillId="0" borderId="0" xfId="0"/>
    <xf numFmtId="11" fontId="0" fillId="0" borderId="0" xfId="0" applyNumberFormat="1"/>
    <xf numFmtId="0" fontId="0" fillId="2" borderId="0" xfId="0" applyFill="1"/>
    <xf numFmtId="11" fontId="0" fillId="2" borderId="0" xfId="0" applyNumberFormat="1" applyFill="1"/>
    <xf numFmtId="0" fontId="3" fillId="0" borderId="0" xfId="1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1" fillId="0" borderId="0" xfId="0" applyFont="1" applyFill="1"/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/>
    <xf numFmtId="0" fontId="0" fillId="0" borderId="2" xfId="0" applyBorder="1"/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0" borderId="1" xfId="0" applyFill="1" applyBorder="1"/>
    <xf numFmtId="0" fontId="0" fillId="0" borderId="0" xfId="0" applyAlignment="1">
      <alignment horizontal="center" vertical="center" wrapText="1"/>
    </xf>
    <xf numFmtId="0" fontId="1" fillId="0" borderId="0" xfId="0" applyFont="1"/>
    <xf numFmtId="11" fontId="5" fillId="0" borderId="0" xfId="0" applyNumberFormat="1" applyFont="1"/>
    <xf numFmtId="0" fontId="0" fillId="0" borderId="0" xfId="0" applyAlignment="1">
      <alignment vertical="center" wrapText="1"/>
    </xf>
    <xf numFmtId="0" fontId="7" fillId="0" borderId="0" xfId="0" applyFont="1"/>
    <xf numFmtId="0" fontId="0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6" fillId="0" borderId="0" xfId="0" applyFont="1"/>
    <xf numFmtId="0" fontId="0" fillId="0" borderId="0" xfId="0" applyAlignment="1">
      <alignment textRotation="45"/>
    </xf>
    <xf numFmtId="0" fontId="0" fillId="0" borderId="1" xfId="0" applyBorder="1" applyAlignment="1">
      <alignment textRotation="45"/>
    </xf>
    <xf numFmtId="0" fontId="0" fillId="0" borderId="0" xfId="0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1" fontId="1" fillId="0" borderId="0" xfId="0" applyNumberFormat="1" applyFont="1"/>
    <xf numFmtId="0" fontId="10" fillId="0" borderId="0" xfId="0" applyFont="1"/>
    <xf numFmtId="11" fontId="0" fillId="0" borderId="0" xfId="0" applyNumberFormat="1" applyFont="1"/>
    <xf numFmtId="11" fontId="10" fillId="0" borderId="0" xfId="0" applyNumberFormat="1" applyFont="1"/>
    <xf numFmtId="0" fontId="1" fillId="0" borderId="0" xfId="0" applyNumberFormat="1" applyFont="1"/>
    <xf numFmtId="0" fontId="10" fillId="0" borderId="0" xfId="0" applyNumberFormat="1" applyFont="1"/>
    <xf numFmtId="0" fontId="10" fillId="0" borderId="0" xfId="0" applyFont="1" applyFill="1"/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4" fillId="0" borderId="0" xfId="0" applyFont="1" applyFill="1"/>
    <xf numFmtId="11" fontId="4" fillId="0" borderId="0" xfId="0" applyNumberFormat="1" applyFont="1" applyFill="1"/>
    <xf numFmtId="0" fontId="0" fillId="0" borderId="0" xfId="0" applyAlignment="1">
      <alignment horizontal="center" vertical="center" wrapText="1"/>
    </xf>
    <xf numFmtId="0" fontId="0" fillId="0" borderId="0" xfId="0" applyNumberFormat="1" applyFill="1"/>
    <xf numFmtId="0" fontId="0" fillId="0" borderId="0" xfId="0" applyFont="1" applyFill="1"/>
    <xf numFmtId="0" fontId="4" fillId="0" borderId="0" xfId="1" applyFont="1" applyFill="1"/>
    <xf numFmtId="0" fontId="6" fillId="0" borderId="0" xfId="0" applyFont="1" applyFill="1"/>
    <xf numFmtId="11" fontId="1" fillId="0" borderId="0" xfId="0" applyNumberFormat="1" applyFont="1" applyFill="1"/>
    <xf numFmtId="11" fontId="10" fillId="0" borderId="0" xfId="0" applyNumberFormat="1" applyFont="1" applyFill="1"/>
    <xf numFmtId="11" fontId="1" fillId="3" borderId="0" xfId="0" applyNumberFormat="1" applyFont="1" applyFill="1"/>
    <xf numFmtId="0" fontId="0" fillId="2" borderId="0" xfId="0" applyFont="1" applyFill="1"/>
    <xf numFmtId="0" fontId="0" fillId="2" borderId="0" xfId="0" applyNumberFormat="1" applyFill="1"/>
    <xf numFmtId="0" fontId="2" fillId="2" borderId="0" xfId="0" applyFont="1" applyFill="1"/>
    <xf numFmtId="0" fontId="0" fillId="2" borderId="0" xfId="0" applyFill="1" applyBorder="1"/>
    <xf numFmtId="0" fontId="12" fillId="0" borderId="0" xfId="0" applyFont="1"/>
    <xf numFmtId="11" fontId="0" fillId="2" borderId="0" xfId="0" applyNumberFormat="1" applyFont="1" applyFill="1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11" fontId="0" fillId="0" borderId="0" xfId="0" applyNumberFormat="1" applyFill="1"/>
    <xf numFmtId="11" fontId="10" fillId="2" borderId="0" xfId="0" applyNumberFormat="1" applyFont="1" applyFill="1"/>
    <xf numFmtId="0" fontId="6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190501</xdr:colOff>
      <xdr:row>2</xdr:row>
      <xdr:rowOff>15750</xdr:rowOff>
    </xdr:from>
    <xdr:to>
      <xdr:col>12</xdr:col>
      <xdr:colOff>122601</xdr:colOff>
      <xdr:row>17</xdr:row>
      <xdr:rowOff>53191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13430" y="396750"/>
          <a:ext cx="5238885" cy="2894941"/>
        </a:xfrm>
        <a:prstGeom prst="rect">
          <a:avLst/>
        </a:prstGeom>
      </xdr:spPr>
    </xdr:pic>
    <xdr:clientData/>
  </xdr:twoCellAnchor>
  <xdr:twoCellAnchor editAs="oneCell">
    <xdr:from>
      <xdr:col>7</xdr:col>
      <xdr:colOff>148442</xdr:colOff>
      <xdr:row>22</xdr:row>
      <xdr:rowOff>69273</xdr:rowOff>
    </xdr:from>
    <xdr:to>
      <xdr:col>12</xdr:col>
      <xdr:colOff>258945</xdr:colOff>
      <xdr:row>28</xdr:row>
      <xdr:rowOff>177458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71371" y="4260273"/>
          <a:ext cx="5417288" cy="1251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304800</xdr:colOff>
      <xdr:row>261</xdr:row>
      <xdr:rowOff>114300</xdr:rowOff>
    </xdr:to>
    <xdr:sp macro="" textlink="">
      <xdr:nvSpPr>
        <xdr:cNvPr id="1066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1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260</xdr:row>
      <xdr:rowOff>0</xdr:rowOff>
    </xdr:from>
    <xdr:to>
      <xdr:col>4</xdr:col>
      <xdr:colOff>304800</xdr:colOff>
      <xdr:row>261</xdr:row>
      <xdr:rowOff>114300</xdr:rowOff>
    </xdr:to>
    <xdr:sp macro="" textlink="">
      <xdr:nvSpPr>
        <xdr:cNvPr id="1067" name="AutoShape 43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8972550" y="4477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304800</xdr:colOff>
      <xdr:row>261</xdr:row>
      <xdr:rowOff>114300</xdr:rowOff>
    </xdr:to>
    <xdr:sp macro="" textlink="">
      <xdr:nvSpPr>
        <xdr:cNvPr id="18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1781175" y="457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707570</xdr:colOff>
      <xdr:row>582</xdr:row>
      <xdr:rowOff>122464</xdr:rowOff>
    </xdr:from>
    <xdr:to>
      <xdr:col>9</xdr:col>
      <xdr:colOff>553984</xdr:colOff>
      <xdr:row>604</xdr:row>
      <xdr:rowOff>142102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430499" y="110884607"/>
          <a:ext cx="2921628" cy="42106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304800</xdr:colOff>
      <xdr:row>299</xdr:row>
      <xdr:rowOff>114300</xdr:rowOff>
    </xdr:to>
    <xdr:sp macro="" textlink="">
      <xdr:nvSpPr>
        <xdr:cNvPr id="12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2027464" y="484006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304800</xdr:colOff>
      <xdr:row>302</xdr:row>
      <xdr:rowOff>114300</xdr:rowOff>
    </xdr:to>
    <xdr:sp macro="" textlink="">
      <xdr:nvSpPr>
        <xdr:cNvPr id="19" name="AutoShape 42" descr="Topology of the Flyback converter with energy regenerative snubber. "/>
        <xdr:cNvSpPr>
          <a:spLocks noChangeAspect="1" noChangeArrowheads="1"/>
        </xdr:cNvSpPr>
      </xdr:nvSpPr>
      <xdr:spPr bwMode="auto">
        <a:xfrm>
          <a:off x="2027464" y="6268810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68038</xdr:colOff>
      <xdr:row>391</xdr:row>
      <xdr:rowOff>68036</xdr:rowOff>
    </xdr:from>
    <xdr:to>
      <xdr:col>10</xdr:col>
      <xdr:colOff>57720</xdr:colOff>
      <xdr:row>392</xdr:row>
      <xdr:rowOff>153800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90967" y="74757643"/>
          <a:ext cx="3786074" cy="276264"/>
        </a:xfrm>
        <a:prstGeom prst="rect">
          <a:avLst/>
        </a:prstGeom>
      </xdr:spPr>
    </xdr:pic>
    <xdr:clientData/>
  </xdr:twoCellAnchor>
  <xdr:twoCellAnchor editAs="oneCell">
    <xdr:from>
      <xdr:col>7</xdr:col>
      <xdr:colOff>231324</xdr:colOff>
      <xdr:row>393</xdr:row>
      <xdr:rowOff>13606</xdr:rowOff>
    </xdr:from>
    <xdr:to>
      <xdr:col>8</xdr:col>
      <xdr:colOff>1527386</xdr:colOff>
      <xdr:row>396</xdr:row>
      <xdr:rowOff>99423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954253" y="75084213"/>
          <a:ext cx="2643169" cy="657317"/>
        </a:xfrm>
        <a:prstGeom prst="rect">
          <a:avLst/>
        </a:prstGeom>
      </xdr:spPr>
    </xdr:pic>
    <xdr:clientData/>
  </xdr:twoCellAnchor>
  <xdr:twoCellAnchor editAs="oneCell">
    <xdr:from>
      <xdr:col>7</xdr:col>
      <xdr:colOff>367390</xdr:colOff>
      <xdr:row>360</xdr:row>
      <xdr:rowOff>122462</xdr:rowOff>
    </xdr:from>
    <xdr:to>
      <xdr:col>12</xdr:col>
      <xdr:colOff>154229</xdr:colOff>
      <xdr:row>366</xdr:row>
      <xdr:rowOff>189306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090319" y="68906569"/>
          <a:ext cx="5093624" cy="1209844"/>
        </a:xfrm>
        <a:prstGeom prst="rect">
          <a:avLst/>
        </a:prstGeom>
      </xdr:spPr>
    </xdr:pic>
    <xdr:clientData/>
  </xdr:twoCellAnchor>
  <xdr:twoCellAnchor editAs="oneCell">
    <xdr:from>
      <xdr:col>7</xdr:col>
      <xdr:colOff>204105</xdr:colOff>
      <xdr:row>368</xdr:row>
      <xdr:rowOff>108858</xdr:rowOff>
    </xdr:from>
    <xdr:to>
      <xdr:col>8</xdr:col>
      <xdr:colOff>1652334</xdr:colOff>
      <xdr:row>376</xdr:row>
      <xdr:rowOff>42386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927034" y="70416965"/>
          <a:ext cx="2795336" cy="1457528"/>
        </a:xfrm>
        <a:prstGeom prst="rect">
          <a:avLst/>
        </a:prstGeom>
      </xdr:spPr>
    </xdr:pic>
    <xdr:clientData/>
  </xdr:twoCellAnchor>
  <xdr:twoCellAnchor editAs="oneCell">
    <xdr:from>
      <xdr:col>7</xdr:col>
      <xdr:colOff>136070</xdr:colOff>
      <xdr:row>377</xdr:row>
      <xdr:rowOff>40821</xdr:rowOff>
    </xdr:from>
    <xdr:to>
      <xdr:col>10</xdr:col>
      <xdr:colOff>97173</xdr:colOff>
      <xdr:row>396</xdr:row>
      <xdr:rowOff>98484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58999" y="72063428"/>
          <a:ext cx="3757495" cy="3677163"/>
        </a:xfrm>
        <a:prstGeom prst="rect">
          <a:avLst/>
        </a:prstGeom>
      </xdr:spPr>
    </xdr:pic>
    <xdr:clientData/>
  </xdr:twoCellAnchor>
  <xdr:twoCellAnchor editAs="oneCell">
    <xdr:from>
      <xdr:col>9</xdr:col>
      <xdr:colOff>653143</xdr:colOff>
      <xdr:row>377</xdr:row>
      <xdr:rowOff>27215</xdr:rowOff>
    </xdr:from>
    <xdr:to>
      <xdr:col>15</xdr:col>
      <xdr:colOff>185762</xdr:colOff>
      <xdr:row>396</xdr:row>
      <xdr:rowOff>65826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015607" y="82717822"/>
          <a:ext cx="3972479" cy="3658111"/>
        </a:xfrm>
        <a:prstGeom prst="rect">
          <a:avLst/>
        </a:prstGeom>
      </xdr:spPr>
    </xdr:pic>
    <xdr:clientData/>
  </xdr:twoCellAnchor>
  <xdr:twoCellAnchor editAs="oneCell">
    <xdr:from>
      <xdr:col>7</xdr:col>
      <xdr:colOff>312964</xdr:colOff>
      <xdr:row>341</xdr:row>
      <xdr:rowOff>13608</xdr:rowOff>
    </xdr:from>
    <xdr:to>
      <xdr:col>8</xdr:col>
      <xdr:colOff>1008868</xdr:colOff>
      <xdr:row>344</xdr:row>
      <xdr:rowOff>147056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66321" y="76417715"/>
          <a:ext cx="2010056" cy="704948"/>
        </a:xfrm>
        <a:prstGeom prst="rect">
          <a:avLst/>
        </a:prstGeom>
      </xdr:spPr>
    </xdr:pic>
    <xdr:clientData/>
  </xdr:twoCellAnchor>
  <xdr:twoCellAnchor editAs="oneCell">
    <xdr:from>
      <xdr:col>2</xdr:col>
      <xdr:colOff>2514600</xdr:colOff>
      <xdr:row>731</xdr:row>
      <xdr:rowOff>180975</xdr:rowOff>
    </xdr:from>
    <xdr:to>
      <xdr:col>3</xdr:col>
      <xdr:colOff>1375586</xdr:colOff>
      <xdr:row>735</xdr:row>
      <xdr:rowOff>57150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81403625"/>
          <a:ext cx="3686479" cy="638175"/>
        </a:xfrm>
        <a:prstGeom prst="rect">
          <a:avLst/>
        </a:prstGeom>
      </xdr:spPr>
    </xdr:pic>
    <xdr:clientData/>
  </xdr:twoCellAnchor>
  <xdr:twoCellAnchor editAs="oneCell">
    <xdr:from>
      <xdr:col>2</xdr:col>
      <xdr:colOff>3829050</xdr:colOff>
      <xdr:row>746</xdr:row>
      <xdr:rowOff>171450</xdr:rowOff>
    </xdr:from>
    <xdr:to>
      <xdr:col>3</xdr:col>
      <xdr:colOff>1202902</xdr:colOff>
      <xdr:row>752</xdr:row>
      <xdr:rowOff>136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410450" y="184251600"/>
          <a:ext cx="2219635" cy="971686"/>
        </a:xfrm>
        <a:prstGeom prst="rect">
          <a:avLst/>
        </a:prstGeom>
      </xdr:spPr>
    </xdr:pic>
    <xdr:clientData/>
  </xdr:twoCellAnchor>
  <xdr:twoCellAnchor editAs="oneCell">
    <xdr:from>
      <xdr:col>2</xdr:col>
      <xdr:colOff>3800475</xdr:colOff>
      <xdr:row>752</xdr:row>
      <xdr:rowOff>47625</xdr:rowOff>
    </xdr:from>
    <xdr:to>
      <xdr:col>3</xdr:col>
      <xdr:colOff>374115</xdr:colOff>
      <xdr:row>756</xdr:row>
      <xdr:rowOff>95363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81875" y="185270775"/>
          <a:ext cx="1419423" cy="80973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304800</xdr:colOff>
      <xdr:row>408</xdr:row>
      <xdr:rowOff>114300</xdr:rowOff>
    </xdr:to>
    <xdr:sp macro="" textlink="">
      <xdr:nvSpPr>
        <xdr:cNvPr id="1025" name="AutoShape 1" descr="Preview of 1777208058323_image.png"/>
        <xdr:cNvSpPr>
          <a:spLocks noChangeAspect="1" noChangeArrowheads="1"/>
        </xdr:cNvSpPr>
      </xdr:nvSpPr>
      <xdr:spPr bwMode="auto">
        <a:xfrm>
          <a:off x="2028825" y="10841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407</xdr:row>
      <xdr:rowOff>0</xdr:rowOff>
    </xdr:from>
    <xdr:to>
      <xdr:col>2</xdr:col>
      <xdr:colOff>304800</xdr:colOff>
      <xdr:row>408</xdr:row>
      <xdr:rowOff>114300</xdr:rowOff>
    </xdr:to>
    <xdr:sp macro="" textlink="">
      <xdr:nvSpPr>
        <xdr:cNvPr id="1026" name="AutoShape 2" descr="Preview of 1777208058323_image.png"/>
        <xdr:cNvSpPr>
          <a:spLocks noChangeAspect="1" noChangeArrowheads="1"/>
        </xdr:cNvSpPr>
      </xdr:nvSpPr>
      <xdr:spPr bwMode="auto">
        <a:xfrm>
          <a:off x="3581400" y="1086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407</xdr:row>
      <xdr:rowOff>0</xdr:rowOff>
    </xdr:from>
    <xdr:to>
      <xdr:col>3</xdr:col>
      <xdr:colOff>304800</xdr:colOff>
      <xdr:row>408</xdr:row>
      <xdr:rowOff>114300</xdr:rowOff>
    </xdr:to>
    <xdr:sp macro="" textlink="">
      <xdr:nvSpPr>
        <xdr:cNvPr id="1027" name="AutoShape 3" descr="Preview of 1777208058323_image.png"/>
        <xdr:cNvSpPr>
          <a:spLocks noChangeAspect="1" noChangeArrowheads="1"/>
        </xdr:cNvSpPr>
      </xdr:nvSpPr>
      <xdr:spPr bwMode="auto">
        <a:xfrm>
          <a:off x="8124825" y="10860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383166</xdr:colOff>
      <xdr:row>150</xdr:row>
      <xdr:rowOff>166689</xdr:rowOff>
    </xdr:from>
    <xdr:to>
      <xdr:col>13</xdr:col>
      <xdr:colOff>495724</xdr:colOff>
      <xdr:row>161</xdr:row>
      <xdr:rowOff>157455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099291" y="34837689"/>
          <a:ext cx="6113308" cy="2086266"/>
        </a:xfrm>
        <a:prstGeom prst="rect">
          <a:avLst/>
        </a:prstGeom>
      </xdr:spPr>
    </xdr:pic>
    <xdr:clientData/>
  </xdr:twoCellAnchor>
  <xdr:twoCellAnchor editAs="oneCell">
    <xdr:from>
      <xdr:col>7</xdr:col>
      <xdr:colOff>217715</xdr:colOff>
      <xdr:row>212</xdr:row>
      <xdr:rowOff>112565</xdr:rowOff>
    </xdr:from>
    <xdr:to>
      <xdr:col>10</xdr:col>
      <xdr:colOff>263775</xdr:colOff>
      <xdr:row>223</xdr:row>
      <xdr:rowOff>17594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940644" y="40702672"/>
          <a:ext cx="3842452" cy="2000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0</xdr:row>
      <xdr:rowOff>0</xdr:rowOff>
    </xdr:from>
    <xdr:to>
      <xdr:col>16</xdr:col>
      <xdr:colOff>96214</xdr:colOff>
      <xdr:row>19</xdr:row>
      <xdr:rowOff>67189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1025" y="0"/>
          <a:ext cx="6906589" cy="36866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1</xdr:row>
      <xdr:rowOff>9525</xdr:rowOff>
    </xdr:from>
    <xdr:to>
      <xdr:col>10</xdr:col>
      <xdr:colOff>267710</xdr:colOff>
      <xdr:row>15</xdr:row>
      <xdr:rowOff>67055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200025"/>
          <a:ext cx="7240010" cy="27245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180975</xdr:rowOff>
    </xdr:from>
    <xdr:to>
      <xdr:col>8</xdr:col>
      <xdr:colOff>105611</xdr:colOff>
      <xdr:row>14</xdr:row>
      <xdr:rowOff>143215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71475"/>
          <a:ext cx="5992061" cy="2438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1</xdr:row>
      <xdr:rowOff>0</xdr:rowOff>
    </xdr:from>
    <xdr:to>
      <xdr:col>6</xdr:col>
      <xdr:colOff>324803</xdr:colOff>
      <xdr:row>15</xdr:row>
      <xdr:rowOff>155164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" y="190500"/>
          <a:ext cx="5058728" cy="28221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74543</xdr:colOff>
      <xdr:row>0</xdr:row>
      <xdr:rowOff>74543</xdr:rowOff>
    </xdr:from>
    <xdr:to>
      <xdr:col>25</xdr:col>
      <xdr:colOff>64859</xdr:colOff>
      <xdr:row>2</xdr:row>
      <xdr:rowOff>160333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9108" y="74543"/>
          <a:ext cx="1829055" cy="466790"/>
        </a:xfrm>
        <a:prstGeom prst="rect">
          <a:avLst/>
        </a:prstGeom>
      </xdr:spPr>
    </xdr:pic>
    <xdr:clientData/>
  </xdr:twoCellAnchor>
  <xdr:twoCellAnchor editAs="oneCell">
    <xdr:from>
      <xdr:col>22</xdr:col>
      <xdr:colOff>91109</xdr:colOff>
      <xdr:row>3</xdr:row>
      <xdr:rowOff>16565</xdr:rowOff>
    </xdr:from>
    <xdr:to>
      <xdr:col>23</xdr:col>
      <xdr:colOff>316513</xdr:colOff>
      <xdr:row>5</xdr:row>
      <xdr:rowOff>121408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5674" y="588065"/>
          <a:ext cx="838317" cy="485843"/>
        </a:xfrm>
        <a:prstGeom prst="rect">
          <a:avLst/>
        </a:prstGeom>
      </xdr:spPr>
    </xdr:pic>
    <xdr:clientData/>
  </xdr:twoCellAnchor>
  <xdr:twoCellAnchor>
    <xdr:from>
      <xdr:col>24</xdr:col>
      <xdr:colOff>165651</xdr:colOff>
      <xdr:row>5</xdr:row>
      <xdr:rowOff>140804</xdr:rowOff>
    </xdr:from>
    <xdr:to>
      <xdr:col>28</xdr:col>
      <xdr:colOff>331304</xdr:colOff>
      <xdr:row>16</xdr:row>
      <xdr:rowOff>190499</xdr:rowOff>
    </xdr:to>
    <xdr:sp macro="" textlink="">
      <xdr:nvSpPr>
        <xdr:cNvPr id="4" name="TextBox 3"/>
        <xdr:cNvSpPr txBox="1"/>
      </xdr:nvSpPr>
      <xdr:spPr>
        <a:xfrm>
          <a:off x="4456042" y="1093304"/>
          <a:ext cx="2617305" cy="21451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Deriving equation for V_max so n_r = V_max/V_g </a:t>
          </a:r>
        </a:p>
        <a:p>
          <a:r>
            <a:rPr lang="en-GB" sz="1100"/>
            <a:t>ns = V_g/V_max for no vmin</a:t>
          </a:r>
        </a:p>
        <a:p>
          <a:r>
            <a:rPr lang="en-GB" sz="1100"/>
            <a:t>V_max  = (V_o*V_max/V_g)+(Zos*Imax)</a:t>
          </a:r>
        </a:p>
        <a:p>
          <a:r>
            <a:rPr lang="en-GB" sz="1100"/>
            <a:t>1 = (V_o/V_g)+(Z_ox*I_max/V_max)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1 - (V_o/V_g)=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(Z_ox*I_max/V_max)</a:t>
          </a:r>
        </a:p>
        <a:p>
          <a:endParaRPr lang="en-GB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V_max</a:t>
          </a:r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=(Z_ox*I_max)/(1 - (V_o/V_g))</a:t>
          </a:r>
          <a:endParaRPr lang="en-GB">
            <a:effectLst/>
          </a:endParaRPr>
        </a:p>
        <a:p>
          <a:endParaRPr lang="en-GB" sz="1100"/>
        </a:p>
        <a:p>
          <a:endParaRPr lang="en-GB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161925</xdr:colOff>
      <xdr:row>17</xdr:row>
      <xdr:rowOff>66675</xdr:rowOff>
    </xdr:from>
    <xdr:to>
      <xdr:col>5</xdr:col>
      <xdr:colOff>257273</xdr:colOff>
      <xdr:row>19</xdr:row>
      <xdr:rowOff>133412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5425" y="3305175"/>
          <a:ext cx="704948" cy="447737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285750</xdr:colOff>
      <xdr:row>20</xdr:row>
      <xdr:rowOff>95250</xdr:rowOff>
    </xdr:from>
    <xdr:to>
      <xdr:col>10</xdr:col>
      <xdr:colOff>48102</xdr:colOff>
      <xdr:row>31</xdr:row>
      <xdr:rowOff>57437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29250" y="3905250"/>
          <a:ext cx="3419952" cy="2057687"/>
        </a:xfrm>
        <a:prstGeom prst="rect">
          <a:avLst/>
        </a:prstGeom>
      </xdr:spPr>
    </xdr:pic>
    <xdr:clientData/>
  </xdr:twoCellAnchor>
  <xdr:twoCellAnchor editAs="oneCell">
    <xdr:from>
      <xdr:col>4</xdr:col>
      <xdr:colOff>276225</xdr:colOff>
      <xdr:row>31</xdr:row>
      <xdr:rowOff>114300</xdr:rowOff>
    </xdr:from>
    <xdr:to>
      <xdr:col>10</xdr:col>
      <xdr:colOff>57630</xdr:colOff>
      <xdr:row>41</xdr:row>
      <xdr:rowOff>171724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9725" y="6019800"/>
          <a:ext cx="3439005" cy="196242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0</xdr:row>
      <xdr:rowOff>0</xdr:rowOff>
    </xdr:from>
    <xdr:to>
      <xdr:col>18</xdr:col>
      <xdr:colOff>591652</xdr:colOff>
      <xdr:row>24</xdr:row>
      <xdr:rowOff>86375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0"/>
          <a:ext cx="7897327" cy="4658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754"/>
  <sheetViews>
    <sheetView tabSelected="1" topLeftCell="A573" zoomScale="55" zoomScaleNormal="55" workbookViewId="0">
      <selection activeCell="D580" sqref="D580"/>
    </sheetView>
  </sheetViews>
  <sheetFormatPr defaultRowHeight="15" x14ac:dyDescent="0.25"/>
  <cols>
    <col min="1" max="1" width="30.42578125" customWidth="1"/>
    <col min="2" max="2" width="23.28515625" customWidth="1"/>
    <col min="3" max="3" width="72.42578125" customWidth="1"/>
    <col min="4" max="4" width="41" customWidth="1"/>
    <col min="5" max="5" width="23.28515625" customWidth="1"/>
    <col min="6" max="6" width="14" customWidth="1"/>
    <col min="7" max="7" width="16.28515625" customWidth="1"/>
    <col min="8" max="8" width="20.140625" customWidth="1"/>
    <col min="9" max="9" width="25.85546875" customWidth="1"/>
    <col min="10" max="10" width="10.7109375" customWidth="1"/>
    <col min="11" max="11" width="11" customWidth="1"/>
    <col min="12" max="12" width="11.5703125" customWidth="1"/>
    <col min="13" max="13" width="11" customWidth="1"/>
    <col min="14" max="14" width="10.42578125" customWidth="1"/>
    <col min="15" max="16" width="10.7109375" customWidth="1"/>
    <col min="17" max="17" width="55.85546875" customWidth="1"/>
    <col min="18" max="18" width="27.28515625" customWidth="1"/>
    <col min="40" max="40" width="10.7109375" customWidth="1"/>
    <col min="100" max="100" width="11" customWidth="1"/>
    <col min="106" max="106" width="10.42578125" customWidth="1"/>
    <col min="111" max="111" width="13.7109375" customWidth="1"/>
    <col min="115" max="115" width="11" customWidth="1"/>
  </cols>
  <sheetData>
    <row r="1" spans="1:7" x14ac:dyDescent="0.25">
      <c r="A1" t="s">
        <v>102</v>
      </c>
      <c r="B1" t="s">
        <v>101</v>
      </c>
      <c r="C1" t="s">
        <v>100</v>
      </c>
      <c r="D1" t="s">
        <v>46</v>
      </c>
      <c r="E1" s="6" t="s">
        <v>16</v>
      </c>
      <c r="F1" t="s">
        <v>892</v>
      </c>
      <c r="G1" t="s">
        <v>895</v>
      </c>
    </row>
    <row r="2" spans="1:7" x14ac:dyDescent="0.25">
      <c r="B2" s="6"/>
      <c r="C2" s="6" t="s">
        <v>52</v>
      </c>
      <c r="D2" s="39">
        <v>200</v>
      </c>
      <c r="E2" s="6" t="s">
        <v>19</v>
      </c>
    </row>
    <row r="3" spans="1:7" x14ac:dyDescent="0.25">
      <c r="B3" s="63" t="s">
        <v>36</v>
      </c>
      <c r="C3" s="6" t="s">
        <v>35</v>
      </c>
      <c r="D3" s="39">
        <v>16000</v>
      </c>
      <c r="E3" s="6" t="s">
        <v>48</v>
      </c>
      <c r="G3" t="s">
        <v>36</v>
      </c>
    </row>
    <row r="4" spans="1:7" x14ac:dyDescent="0.25">
      <c r="B4" s="63"/>
      <c r="C4" s="6" t="s">
        <v>4</v>
      </c>
      <c r="D4" s="39">
        <v>1.2</v>
      </c>
      <c r="E4" s="6"/>
    </row>
    <row r="5" spans="1:7" x14ac:dyDescent="0.25">
      <c r="B5" s="6" t="s">
        <v>29</v>
      </c>
      <c r="C5" s="6" t="s">
        <v>34</v>
      </c>
      <c r="D5" s="6">
        <f>11.8*3</f>
        <v>35.400000000000006</v>
      </c>
      <c r="E5" s="6" t="s">
        <v>18</v>
      </c>
    </row>
    <row r="6" spans="1:7" x14ac:dyDescent="0.25">
      <c r="B6" s="6" t="s">
        <v>287</v>
      </c>
      <c r="C6" s="6" t="s">
        <v>288</v>
      </c>
      <c r="D6" s="6">
        <f>12.7*3</f>
        <v>38.099999999999994</v>
      </c>
      <c r="E6" s="6" t="s">
        <v>18</v>
      </c>
    </row>
    <row r="7" spans="1:7" x14ac:dyDescent="0.25">
      <c r="B7" s="63" t="s">
        <v>30</v>
      </c>
      <c r="C7" s="6" t="s">
        <v>33</v>
      </c>
      <c r="D7" s="6">
        <v>44.1</v>
      </c>
      <c r="E7" s="6" t="s">
        <v>18</v>
      </c>
      <c r="F7" t="s">
        <v>889</v>
      </c>
      <c r="G7" t="s">
        <v>820</v>
      </c>
    </row>
    <row r="8" spans="1:7" x14ac:dyDescent="0.25">
      <c r="B8" s="6" t="s">
        <v>51</v>
      </c>
      <c r="C8" s="6" t="s">
        <v>50</v>
      </c>
      <c r="D8" s="6">
        <v>4000</v>
      </c>
      <c r="E8" s="6" t="s">
        <v>18</v>
      </c>
      <c r="F8" t="s">
        <v>882</v>
      </c>
      <c r="G8" t="s">
        <v>901</v>
      </c>
    </row>
    <row r="9" spans="1:7" x14ac:dyDescent="0.25">
      <c r="B9" s="6" t="s">
        <v>43</v>
      </c>
      <c r="C9" s="6" t="s">
        <v>49</v>
      </c>
      <c r="D9" s="6">
        <v>2000</v>
      </c>
      <c r="E9" s="6" t="s">
        <v>18</v>
      </c>
      <c r="F9" s="6" t="s">
        <v>883</v>
      </c>
    </row>
    <row r="10" spans="1:7" x14ac:dyDescent="0.25">
      <c r="B10" s="6"/>
      <c r="C10" s="6" t="s">
        <v>1</v>
      </c>
      <c r="D10" s="6">
        <f>D2/D9</f>
        <v>0.1</v>
      </c>
      <c r="E10" s="6" t="s">
        <v>17</v>
      </c>
    </row>
    <row r="11" spans="1:7" x14ac:dyDescent="0.25">
      <c r="B11" s="6"/>
      <c r="C11" s="6" t="s">
        <v>105</v>
      </c>
      <c r="D11" s="6">
        <f>D2/D8</f>
        <v>0.05</v>
      </c>
      <c r="E11" s="6" t="s">
        <v>17</v>
      </c>
    </row>
    <row r="12" spans="1:7" x14ac:dyDescent="0.25">
      <c r="B12" s="6"/>
      <c r="C12" s="6" t="s">
        <v>14</v>
      </c>
      <c r="D12" s="47">
        <v>400</v>
      </c>
      <c r="E12" s="6" t="s">
        <v>18</v>
      </c>
      <c r="F12" t="s">
        <v>888</v>
      </c>
      <c r="G12" t="s">
        <v>902</v>
      </c>
    </row>
    <row r="13" spans="1:7" x14ac:dyDescent="0.25">
      <c r="B13" s="6" t="s">
        <v>78</v>
      </c>
      <c r="C13" s="6" t="s">
        <v>0</v>
      </c>
      <c r="D13" s="6">
        <f>ROUND(D8/D12, 0)</f>
        <v>10</v>
      </c>
      <c r="E13" s="6"/>
    </row>
    <row r="14" spans="1:7" x14ac:dyDescent="0.25">
      <c r="B14" s="6" t="s">
        <v>77</v>
      </c>
      <c r="C14" s="6" t="s">
        <v>76</v>
      </c>
      <c r="D14" s="39">
        <v>10</v>
      </c>
      <c r="E14" s="6"/>
    </row>
    <row r="15" spans="1:7" x14ac:dyDescent="0.25">
      <c r="B15" s="6"/>
      <c r="C15" s="6" t="s">
        <v>47</v>
      </c>
      <c r="D15" s="5" t="b">
        <f>D14&gt;=D13</f>
        <v>1</v>
      </c>
      <c r="E15" s="6"/>
    </row>
    <row r="16" spans="1:7" x14ac:dyDescent="0.25">
      <c r="B16" s="6"/>
      <c r="C16" s="6" t="s">
        <v>5</v>
      </c>
      <c r="D16" s="1">
        <v>1.1999999999999999E-6</v>
      </c>
      <c r="E16" s="6" t="s">
        <v>20</v>
      </c>
      <c r="G16" t="s">
        <v>221</v>
      </c>
    </row>
    <row r="17" spans="1:11" x14ac:dyDescent="0.25">
      <c r="C17" s="6" t="s">
        <v>873</v>
      </c>
      <c r="D17">
        <v>10</v>
      </c>
      <c r="E17" t="s">
        <v>139</v>
      </c>
    </row>
    <row r="18" spans="1:11" x14ac:dyDescent="0.25">
      <c r="A18" s="6"/>
      <c r="B18" s="6" t="s">
        <v>852</v>
      </c>
      <c r="C18" s="6" t="s">
        <v>853</v>
      </c>
      <c r="D18" s="6">
        <f>20</f>
        <v>20</v>
      </c>
      <c r="E18" s="6" t="s">
        <v>17</v>
      </c>
    </row>
    <row r="19" spans="1:11" x14ac:dyDescent="0.25">
      <c r="A19" s="6"/>
      <c r="B19" s="6" t="s">
        <v>900</v>
      </c>
      <c r="C19" s="6" t="s">
        <v>903</v>
      </c>
      <c r="D19" s="6">
        <f>33 / 50000000</f>
        <v>6.6000000000000003E-7</v>
      </c>
      <c r="E19" s="6"/>
      <c r="F19" t="s">
        <v>904</v>
      </c>
      <c r="G19" s="6" t="s">
        <v>900</v>
      </c>
    </row>
    <row r="20" spans="1:11" x14ac:dyDescent="0.25">
      <c r="A20" s="6"/>
      <c r="E20" s="6"/>
      <c r="G20" s="66"/>
      <c r="H20" s="66"/>
      <c r="I20" s="66"/>
      <c r="J20" s="66"/>
    </row>
    <row r="21" spans="1:11" x14ac:dyDescent="0.25">
      <c r="A21" s="68" t="s">
        <v>75</v>
      </c>
      <c r="B21" s="6" t="s">
        <v>73</v>
      </c>
      <c r="C21" s="6" t="s">
        <v>2</v>
      </c>
      <c r="D21" s="25">
        <v>0.3</v>
      </c>
      <c r="E21" t="s">
        <v>17</v>
      </c>
      <c r="G21" s="66"/>
      <c r="H21" s="66"/>
      <c r="I21" s="66"/>
      <c r="J21" s="66"/>
    </row>
    <row r="22" spans="1:11" x14ac:dyDescent="0.25">
      <c r="A22" s="68"/>
      <c r="B22" s="6"/>
      <c r="C22" s="6" t="s">
        <v>3</v>
      </c>
      <c r="D22" s="50">
        <f>D21/D4</f>
        <v>0.25</v>
      </c>
      <c r="E22" s="6" t="s">
        <v>17</v>
      </c>
      <c r="G22" s="66"/>
      <c r="H22" s="66"/>
      <c r="I22" s="66"/>
      <c r="J22" s="66"/>
    </row>
    <row r="23" spans="1:11" x14ac:dyDescent="0.25">
      <c r="A23" s="68"/>
      <c r="B23" s="6" t="s">
        <v>45</v>
      </c>
      <c r="C23" s="6" t="s">
        <v>74</v>
      </c>
      <c r="D23" s="39">
        <v>3</v>
      </c>
      <c r="E23" s="6"/>
      <c r="G23" s="66"/>
      <c r="H23" s="66"/>
      <c r="I23" s="66"/>
      <c r="J23" s="66"/>
    </row>
    <row r="24" spans="1:11" x14ac:dyDescent="0.25">
      <c r="A24" s="68"/>
      <c r="B24" s="6"/>
      <c r="C24" s="8" t="s">
        <v>804</v>
      </c>
      <c r="D24" s="6">
        <f>D23/D4</f>
        <v>2.5</v>
      </c>
      <c r="E24" s="6"/>
    </row>
    <row r="25" spans="1:11" x14ac:dyDescent="0.25">
      <c r="A25" s="68"/>
      <c r="B25" s="6"/>
      <c r="C25" s="6" t="s">
        <v>7</v>
      </c>
      <c r="D25" s="39">
        <v>1.2</v>
      </c>
      <c r="E25" s="6"/>
    </row>
    <row r="26" spans="1:11" x14ac:dyDescent="0.25">
      <c r="A26" s="68"/>
      <c r="B26" s="6"/>
      <c r="C26" s="6" t="s">
        <v>25</v>
      </c>
      <c r="D26" s="6"/>
      <c r="E26" s="6"/>
    </row>
    <row r="27" spans="1:11" x14ac:dyDescent="0.25">
      <c r="A27" s="68"/>
      <c r="B27" s="6"/>
      <c r="C27" s="6" t="s">
        <v>9</v>
      </c>
      <c r="D27" s="50">
        <f>D25*D10</f>
        <v>0.12</v>
      </c>
      <c r="E27" s="6" t="s">
        <v>19</v>
      </c>
    </row>
    <row r="28" spans="1:11" x14ac:dyDescent="0.25">
      <c r="A28" s="68"/>
      <c r="B28" s="6"/>
      <c r="C28" s="6" t="s">
        <v>8</v>
      </c>
      <c r="D28" s="6">
        <f>D27*D14</f>
        <v>1.2</v>
      </c>
      <c r="E28" s="6" t="s">
        <v>19</v>
      </c>
    </row>
    <row r="29" spans="1:11" x14ac:dyDescent="0.25">
      <c r="A29" s="20"/>
      <c r="B29" s="6"/>
      <c r="C29" s="6"/>
    </row>
    <row r="30" spans="1:11" ht="15" customHeight="1" x14ac:dyDescent="0.25">
      <c r="A30" s="68" t="s">
        <v>103</v>
      </c>
      <c r="B30" s="2"/>
      <c r="C30" s="2" t="s">
        <v>809</v>
      </c>
      <c r="D30" s="2">
        <f>D2</f>
        <v>200</v>
      </c>
      <c r="E30" s="2"/>
    </row>
    <row r="31" spans="1:11" x14ac:dyDescent="0.25">
      <c r="A31" s="68"/>
      <c r="B31" s="2"/>
      <c r="C31" s="2" t="s">
        <v>4</v>
      </c>
      <c r="D31" s="54">
        <f>D4</f>
        <v>1.2</v>
      </c>
      <c r="E31" s="2"/>
      <c r="G31" s="66"/>
      <c r="H31" s="67"/>
      <c r="I31" s="67"/>
      <c r="J31" s="67"/>
      <c r="K31" s="67"/>
    </row>
    <row r="32" spans="1:11" x14ac:dyDescent="0.25">
      <c r="A32" s="68"/>
      <c r="B32" s="2"/>
      <c r="C32" s="2" t="s">
        <v>106</v>
      </c>
      <c r="D32" s="3">
        <f>D90</f>
        <v>1.92</v>
      </c>
      <c r="E32" s="2" t="s">
        <v>22</v>
      </c>
      <c r="G32" s="66"/>
      <c r="H32" s="67"/>
      <c r="I32" s="67"/>
      <c r="J32" s="67"/>
      <c r="K32" s="67"/>
    </row>
    <row r="33" spans="1:11" x14ac:dyDescent="0.25">
      <c r="A33" s="68"/>
      <c r="B33" s="2"/>
      <c r="C33" s="2" t="s">
        <v>105</v>
      </c>
      <c r="D33" s="2">
        <f>D11</f>
        <v>0.05</v>
      </c>
      <c r="E33" s="2" t="s">
        <v>17</v>
      </c>
      <c r="G33" s="66"/>
      <c r="H33" s="67"/>
      <c r="I33" s="67"/>
      <c r="J33" s="67"/>
      <c r="K33" s="67"/>
    </row>
    <row r="34" spans="1:11" x14ac:dyDescent="0.25">
      <c r="A34" s="68"/>
      <c r="B34" s="2"/>
      <c r="C34" s="2" t="s">
        <v>1</v>
      </c>
      <c r="D34" s="2">
        <f>D10</f>
        <v>0.1</v>
      </c>
      <c r="E34" s="2" t="s">
        <v>17</v>
      </c>
      <c r="G34" s="66"/>
      <c r="H34" s="67"/>
      <c r="I34" s="67"/>
      <c r="J34" s="67"/>
      <c r="K34" s="67"/>
    </row>
    <row r="35" spans="1:11" x14ac:dyDescent="0.25">
      <c r="A35" s="68"/>
      <c r="B35" s="2" t="s">
        <v>51</v>
      </c>
      <c r="C35" s="2" t="s">
        <v>50</v>
      </c>
      <c r="D35" s="3">
        <f>D8</f>
        <v>4000</v>
      </c>
      <c r="E35" s="2" t="s">
        <v>18</v>
      </c>
      <c r="G35" s="67"/>
      <c r="H35" s="67"/>
      <c r="I35" s="67"/>
      <c r="J35" s="67"/>
      <c r="K35" s="67"/>
    </row>
    <row r="36" spans="1:11" ht="15" customHeight="1" x14ac:dyDescent="0.25">
      <c r="A36" s="68"/>
      <c r="B36" s="2"/>
      <c r="C36" s="2" t="s">
        <v>804</v>
      </c>
      <c r="D36" s="2">
        <f>D24</f>
        <v>2.5</v>
      </c>
      <c r="E36" s="56" t="s">
        <v>17</v>
      </c>
      <c r="G36" s="67"/>
      <c r="H36" s="67"/>
      <c r="I36" s="67"/>
      <c r="J36" s="67"/>
      <c r="K36" s="67"/>
    </row>
    <row r="37" spans="1:11" x14ac:dyDescent="0.25">
      <c r="A37" s="68"/>
      <c r="B37" s="6"/>
      <c r="C37" s="6" t="s">
        <v>97</v>
      </c>
      <c r="D37" s="51">
        <f>D35/D36</f>
        <v>1600</v>
      </c>
      <c r="E37" s="7" t="s">
        <v>21</v>
      </c>
      <c r="G37" s="67"/>
      <c r="H37" s="67"/>
      <c r="I37" s="67"/>
      <c r="J37" s="67"/>
      <c r="K37" s="67"/>
    </row>
    <row r="38" spans="1:11" x14ac:dyDescent="0.25">
      <c r="A38" s="68"/>
      <c r="B38" s="6"/>
      <c r="C38" s="6" t="s">
        <v>98</v>
      </c>
      <c r="D38" s="39">
        <v>500</v>
      </c>
      <c r="E38" s="7" t="s">
        <v>21</v>
      </c>
      <c r="G38" s="67"/>
      <c r="H38" s="67"/>
      <c r="I38" s="67"/>
      <c r="J38" s="67"/>
      <c r="K38" s="67"/>
    </row>
    <row r="39" spans="1:11" x14ac:dyDescent="0.25">
      <c r="A39" s="68"/>
      <c r="B39" s="6"/>
      <c r="C39" s="6" t="s">
        <v>99</v>
      </c>
      <c r="D39" s="39">
        <v>4</v>
      </c>
      <c r="E39" s="7"/>
      <c r="G39" s="67"/>
      <c r="H39" s="67"/>
      <c r="I39" s="67"/>
      <c r="J39" s="67"/>
      <c r="K39" s="67"/>
    </row>
    <row r="40" spans="1:11" x14ac:dyDescent="0.25">
      <c r="A40" s="68"/>
      <c r="C40" t="s">
        <v>104</v>
      </c>
      <c r="D40" s="18">
        <f>D38*D39</f>
        <v>2000</v>
      </c>
      <c r="E40" s="7" t="s">
        <v>21</v>
      </c>
    </row>
    <row r="41" spans="1:11" x14ac:dyDescent="0.25">
      <c r="A41" s="68"/>
      <c r="C41" t="s">
        <v>107</v>
      </c>
      <c r="D41" s="34">
        <v>5</v>
      </c>
      <c r="E41" t="s">
        <v>139</v>
      </c>
    </row>
    <row r="42" spans="1:11" x14ac:dyDescent="0.25">
      <c r="A42" s="68"/>
      <c r="C42" t="s">
        <v>140</v>
      </c>
      <c r="D42" s="18">
        <f>(1+(D41/200))*D40</f>
        <v>2050</v>
      </c>
      <c r="E42" s="7" t="s">
        <v>21</v>
      </c>
    </row>
    <row r="43" spans="1:11" x14ac:dyDescent="0.25">
      <c r="A43" s="68"/>
      <c r="B43" s="6"/>
      <c r="C43" s="6" t="s">
        <v>141</v>
      </c>
      <c r="D43" s="8">
        <f>(1-(D41/200))*D40</f>
        <v>1950</v>
      </c>
      <c r="E43" s="7" t="s">
        <v>21</v>
      </c>
    </row>
    <row r="44" spans="1:11" x14ac:dyDescent="0.25">
      <c r="A44" s="68"/>
      <c r="B44" s="6"/>
      <c r="C44" s="6" t="s">
        <v>805</v>
      </c>
      <c r="D44" s="51">
        <f>D35/D43</f>
        <v>2.0512820512820511</v>
      </c>
      <c r="E44" s="6" t="s">
        <v>17</v>
      </c>
    </row>
    <row r="45" spans="1:11" x14ac:dyDescent="0.25">
      <c r="A45" s="68"/>
      <c r="B45" s="6"/>
      <c r="C45" s="6" t="s">
        <v>807</v>
      </c>
      <c r="D45" s="8">
        <f>POWER(D34, 2)*D42</f>
        <v>20.500000000000004</v>
      </c>
      <c r="E45" s="6" t="s">
        <v>19</v>
      </c>
    </row>
    <row r="46" spans="1:11" x14ac:dyDescent="0.25">
      <c r="A46" s="68"/>
      <c r="B46" s="6"/>
      <c r="C46" s="6" t="s">
        <v>806</v>
      </c>
      <c r="D46" s="8">
        <f>D45/D39</f>
        <v>5.1250000000000009</v>
      </c>
      <c r="E46" s="6" t="s">
        <v>19</v>
      </c>
    </row>
    <row r="47" spans="1:11" x14ac:dyDescent="0.25">
      <c r="A47" s="68"/>
      <c r="B47" s="6"/>
      <c r="C47" s="44" t="s">
        <v>142</v>
      </c>
      <c r="D47" s="44" t="e">
        <f>D38*POWER(#REF!, 2)/(2*3)</f>
        <v>#REF!</v>
      </c>
      <c r="E47" s="6"/>
    </row>
    <row r="48" spans="1:11" x14ac:dyDescent="0.25">
      <c r="A48" s="68"/>
      <c r="B48" s="6"/>
      <c r="C48" s="6" t="s">
        <v>461</v>
      </c>
      <c r="D48" s="8">
        <f>POWER(D33, 2)*D42</f>
        <v>5.1250000000000009</v>
      </c>
      <c r="E48" s="6" t="s">
        <v>19</v>
      </c>
    </row>
    <row r="49" spans="1:5" x14ac:dyDescent="0.25">
      <c r="A49" s="68"/>
      <c r="B49" s="6"/>
      <c r="C49" s="6" t="s">
        <v>24</v>
      </c>
      <c r="D49" s="51">
        <f>D32/D39</f>
        <v>0.48</v>
      </c>
      <c r="E49" s="6" t="s">
        <v>22</v>
      </c>
    </row>
    <row r="50" spans="1:5" x14ac:dyDescent="0.25">
      <c r="A50" s="68"/>
      <c r="B50" s="6"/>
      <c r="C50" s="6" t="s">
        <v>459</v>
      </c>
      <c r="D50" s="52">
        <v>100</v>
      </c>
      <c r="E50" s="6" t="s">
        <v>19</v>
      </c>
    </row>
    <row r="51" spans="1:5" x14ac:dyDescent="0.25">
      <c r="A51" s="68"/>
      <c r="B51" s="6"/>
      <c r="C51" s="6" t="s">
        <v>460</v>
      </c>
      <c r="D51" s="18" t="b">
        <f>D50/D31&gt;=D46</f>
        <v>1</v>
      </c>
      <c r="E51" s="6"/>
    </row>
    <row r="52" spans="1:5" x14ac:dyDescent="0.25">
      <c r="A52" s="68"/>
      <c r="B52" s="6"/>
      <c r="C52" s="6" t="s">
        <v>810</v>
      </c>
      <c r="D52" s="51">
        <f>D50*D39/D31</f>
        <v>333.33333333333337</v>
      </c>
      <c r="E52" s="6" t="s">
        <v>19</v>
      </c>
    </row>
    <row r="53" spans="1:5" x14ac:dyDescent="0.25">
      <c r="A53" s="68"/>
      <c r="B53" s="6"/>
      <c r="C53" s="6" t="s">
        <v>808</v>
      </c>
      <c r="D53" s="18" t="b">
        <f>D52&gt;=D30</f>
        <v>1</v>
      </c>
      <c r="E53" s="6"/>
    </row>
    <row r="54" spans="1:5" x14ac:dyDescent="0.25">
      <c r="A54" s="20"/>
      <c r="B54" s="6"/>
      <c r="C54" s="44"/>
      <c r="D54" s="45"/>
      <c r="E54" s="44"/>
    </row>
    <row r="55" spans="1:5" x14ac:dyDescent="0.25">
      <c r="A55" s="20"/>
      <c r="B55" s="6"/>
      <c r="C55" s="44"/>
      <c r="D55" s="45"/>
      <c r="E55" s="44"/>
    </row>
    <row r="56" spans="1:5" x14ac:dyDescent="0.25">
      <c r="A56" s="20"/>
      <c r="B56" s="6"/>
      <c r="C56" s="44"/>
      <c r="D56" s="45"/>
      <c r="E56" s="44"/>
    </row>
    <row r="57" spans="1:5" x14ac:dyDescent="0.25">
      <c r="A57" s="20"/>
      <c r="B57" s="6"/>
      <c r="C57" s="44"/>
      <c r="D57" s="45"/>
      <c r="E57" s="44"/>
    </row>
    <row r="58" spans="1:5" x14ac:dyDescent="0.25">
      <c r="A58" s="20"/>
      <c r="B58" s="48"/>
      <c r="C58" s="44"/>
      <c r="D58" s="45"/>
      <c r="E58" s="44"/>
    </row>
    <row r="59" spans="1:5" x14ac:dyDescent="0.25">
      <c r="A59" s="20"/>
      <c r="B59" s="6"/>
      <c r="C59" s="44"/>
      <c r="D59" s="45"/>
      <c r="E59" s="44"/>
    </row>
    <row r="60" spans="1:5" x14ac:dyDescent="0.25">
      <c r="A60" s="20"/>
      <c r="B60" s="6"/>
      <c r="C60" s="44"/>
      <c r="D60" s="45"/>
      <c r="E60" s="49"/>
    </row>
    <row r="61" spans="1:5" x14ac:dyDescent="0.25">
      <c r="A61" s="20"/>
      <c r="B61" s="6"/>
      <c r="C61" s="44"/>
      <c r="D61" s="45"/>
      <c r="E61" s="44"/>
    </row>
    <row r="62" spans="1:5" x14ac:dyDescent="0.25">
      <c r="A62" s="20"/>
      <c r="B62" s="6"/>
      <c r="C62" s="44"/>
      <c r="D62" s="45"/>
      <c r="E62" s="44"/>
    </row>
    <row r="63" spans="1:5" x14ac:dyDescent="0.25">
      <c r="A63" s="68" t="s">
        <v>27</v>
      </c>
      <c r="B63" s="2"/>
      <c r="C63" s="2" t="s">
        <v>14</v>
      </c>
      <c r="D63" s="55">
        <f>D12</f>
        <v>400</v>
      </c>
      <c r="E63" s="2" t="s">
        <v>18</v>
      </c>
    </row>
    <row r="64" spans="1:5" x14ac:dyDescent="0.25">
      <c r="A64" s="68"/>
      <c r="B64" s="2"/>
      <c r="C64" s="2" t="s">
        <v>5</v>
      </c>
      <c r="D64" s="3">
        <f>D16</f>
        <v>1.1999999999999999E-6</v>
      </c>
      <c r="E64" s="2" t="s">
        <v>20</v>
      </c>
    </row>
    <row r="65" spans="1:18" x14ac:dyDescent="0.25">
      <c r="A65" s="68"/>
      <c r="B65" s="2"/>
      <c r="C65" s="2" t="s">
        <v>874</v>
      </c>
      <c r="D65" s="65">
        <f>D17</f>
        <v>10</v>
      </c>
      <c r="E65" s="2"/>
    </row>
    <row r="66" spans="1:18" x14ac:dyDescent="0.25">
      <c r="A66" s="68"/>
      <c r="B66" s="2"/>
      <c r="C66" s="2" t="s">
        <v>875</v>
      </c>
      <c r="D66" s="3">
        <v>100</v>
      </c>
      <c r="E66" s="2"/>
    </row>
    <row r="67" spans="1:18" x14ac:dyDescent="0.25">
      <c r="A67" s="68"/>
      <c r="B67" s="2" t="s">
        <v>77</v>
      </c>
      <c r="C67" s="2" t="s">
        <v>76</v>
      </c>
      <c r="D67" s="54">
        <f>D14</f>
        <v>10</v>
      </c>
      <c r="E67" s="2"/>
      <c r="P67" t="s">
        <v>53</v>
      </c>
      <c r="Q67" t="s">
        <v>54</v>
      </c>
      <c r="R67">
        <v>0.1</v>
      </c>
    </row>
    <row r="68" spans="1:18" ht="15" customHeight="1" x14ac:dyDescent="0.25">
      <c r="A68" s="68"/>
      <c r="C68" s="6" t="s">
        <v>26</v>
      </c>
      <c r="D68" s="39">
        <v>180</v>
      </c>
      <c r="E68" s="6" t="s">
        <v>220</v>
      </c>
      <c r="P68" t="s">
        <v>55</v>
      </c>
      <c r="Q68" t="s">
        <v>56</v>
      </c>
      <c r="R68">
        <f xml:space="preserve"> D8/R67</f>
        <v>40000</v>
      </c>
    </row>
    <row r="69" spans="1:18" x14ac:dyDescent="0.25">
      <c r="A69" s="68"/>
      <c r="C69" s="6" t="s">
        <v>23</v>
      </c>
      <c r="D69" s="39">
        <v>30</v>
      </c>
      <c r="E69" s="6" t="s">
        <v>18</v>
      </c>
      <c r="P69" t="s">
        <v>57</v>
      </c>
      <c r="Q69" t="s">
        <v>58</v>
      </c>
      <c r="R69">
        <f>D2/D8</f>
        <v>0.05</v>
      </c>
    </row>
    <row r="70" spans="1:18" x14ac:dyDescent="0.25">
      <c r="A70" s="68"/>
      <c r="C70" s="6" t="s">
        <v>876</v>
      </c>
      <c r="D70" s="39">
        <f>D69/D67</f>
        <v>3</v>
      </c>
      <c r="E70" s="6" t="s">
        <v>18</v>
      </c>
    </row>
    <row r="71" spans="1:18" x14ac:dyDescent="0.25">
      <c r="A71" s="68"/>
      <c r="B71" s="6"/>
      <c r="C71" s="6" t="s">
        <v>10</v>
      </c>
      <c r="D71" s="8">
        <f>D69/D67</f>
        <v>3</v>
      </c>
      <c r="E71" s="6" t="s">
        <v>220</v>
      </c>
      <c r="P71" t="s">
        <v>59</v>
      </c>
      <c r="Q71" t="s">
        <v>60</v>
      </c>
      <c r="R71">
        <f xml:space="preserve"> D2/D9</f>
        <v>0.1</v>
      </c>
    </row>
    <row r="72" spans="1:18" x14ac:dyDescent="0.25">
      <c r="A72" s="68"/>
      <c r="B72" s="6"/>
      <c r="C72" s="6" t="s">
        <v>11</v>
      </c>
      <c r="D72" s="51">
        <f>D68/(D64*LN(D63/D71))</f>
        <v>30656964.910652909</v>
      </c>
      <c r="E72" s="7" t="s">
        <v>21</v>
      </c>
      <c r="Q72" t="s">
        <v>61</v>
      </c>
      <c r="R72">
        <f>R69*R68</f>
        <v>2000</v>
      </c>
    </row>
    <row r="73" spans="1:18" x14ac:dyDescent="0.25">
      <c r="A73" s="68"/>
      <c r="C73" s="6" t="s">
        <v>13</v>
      </c>
      <c r="D73" s="52">
        <f>5000000</f>
        <v>5000000</v>
      </c>
      <c r="E73" s="7" t="s">
        <v>21</v>
      </c>
      <c r="Q73" t="s">
        <v>62</v>
      </c>
      <c r="R73">
        <f>R71*R68</f>
        <v>4000</v>
      </c>
    </row>
    <row r="74" spans="1:18" x14ac:dyDescent="0.25">
      <c r="A74" s="68"/>
      <c r="B74" s="6"/>
      <c r="C74" s="6" t="s">
        <v>878</v>
      </c>
      <c r="D74" s="64">
        <f>(1 + ( D65/ 100))*D64* (1 + (D66 / 100))* D73</f>
        <v>13.200000000000001</v>
      </c>
      <c r="E74" s="6"/>
      <c r="Q74" t="s">
        <v>63</v>
      </c>
      <c r="R74">
        <f xml:space="preserve"> POWER(R72, 2)/R68</f>
        <v>100</v>
      </c>
    </row>
    <row r="75" spans="1:18" x14ac:dyDescent="0.25">
      <c r="A75" s="68"/>
      <c r="B75" s="6"/>
      <c r="C75" s="6" t="s">
        <v>894</v>
      </c>
      <c r="D75" s="64">
        <f>CEILING(D74, 1)</f>
        <v>14</v>
      </c>
      <c r="E75" s="6"/>
      <c r="F75" t="s">
        <v>872</v>
      </c>
    </row>
    <row r="76" spans="1:18" x14ac:dyDescent="0.25">
      <c r="A76" s="68"/>
      <c r="B76" s="6"/>
      <c r="C76" s="6" t="s">
        <v>79</v>
      </c>
      <c r="D76" s="51">
        <f>POWER(D63, 2)/D73</f>
        <v>3.2000000000000001E-2</v>
      </c>
      <c r="E76" s="6" t="s">
        <v>19</v>
      </c>
      <c r="Q76" t="s">
        <v>64</v>
      </c>
      <c r="R76">
        <f xml:space="preserve"> POWER(R73, 2)/R68</f>
        <v>400</v>
      </c>
    </row>
    <row r="77" spans="1:18" x14ac:dyDescent="0.25">
      <c r="A77" s="68"/>
      <c r="B77" s="6"/>
      <c r="C77" s="6" t="s">
        <v>12</v>
      </c>
      <c r="D77" s="51">
        <f>2*D76*D67</f>
        <v>0.64</v>
      </c>
      <c r="E77" s="6" t="s">
        <v>19</v>
      </c>
    </row>
    <row r="78" spans="1:18" x14ac:dyDescent="0.25">
      <c r="A78" s="68"/>
      <c r="B78" s="6"/>
      <c r="C78" s="6" t="s">
        <v>879</v>
      </c>
      <c r="D78" s="51">
        <f>D73*D64*LN(D63/D71)</f>
        <v>29.357113550639234</v>
      </c>
      <c r="E78" s="6" t="s">
        <v>220</v>
      </c>
    </row>
    <row r="79" spans="1:18" x14ac:dyDescent="0.25">
      <c r="A79" s="68"/>
      <c r="B79" s="6"/>
      <c r="C79" s="6" t="s">
        <v>877</v>
      </c>
      <c r="D79" s="64">
        <f>-D74*LN(D70/D63)</f>
        <v>64.585649811406327</v>
      </c>
      <c r="E79" s="6"/>
    </row>
    <row r="80" spans="1:18" x14ac:dyDescent="0.25">
      <c r="A80" s="68"/>
      <c r="B80" s="6"/>
      <c r="C80" s="6" t="s">
        <v>80</v>
      </c>
      <c r="D80" s="53" t="b">
        <f>D79&lt;=D68</f>
        <v>1</v>
      </c>
      <c r="E80" s="6"/>
    </row>
    <row r="81" spans="1:18" x14ac:dyDescent="0.25">
      <c r="A81" s="46"/>
      <c r="B81" s="6"/>
    </row>
    <row r="82" spans="1:18" x14ac:dyDescent="0.25">
      <c r="A82" s="46"/>
      <c r="B82" s="6"/>
      <c r="C82" s="6"/>
      <c r="D82" s="6"/>
      <c r="E82" s="6"/>
    </row>
    <row r="83" spans="1:18" x14ac:dyDescent="0.25">
      <c r="A83" s="69" t="s">
        <v>81</v>
      </c>
      <c r="B83" s="2" t="s">
        <v>78</v>
      </c>
      <c r="C83" s="2" t="s">
        <v>0</v>
      </c>
      <c r="D83" s="2">
        <f>D14</f>
        <v>10</v>
      </c>
      <c r="E83" s="2"/>
    </row>
    <row r="84" spans="1:18" x14ac:dyDescent="0.25">
      <c r="A84" s="69"/>
      <c r="B84" s="2"/>
      <c r="C84" s="2" t="s">
        <v>5</v>
      </c>
      <c r="D84" s="3">
        <f>D16</f>
        <v>1.1999999999999999E-6</v>
      </c>
      <c r="E84" s="2" t="s">
        <v>20</v>
      </c>
    </row>
    <row r="85" spans="1:18" x14ac:dyDescent="0.25">
      <c r="A85" s="69"/>
      <c r="B85" s="2"/>
      <c r="C85" s="2" t="s">
        <v>14</v>
      </c>
      <c r="D85" s="55">
        <f>D12</f>
        <v>400</v>
      </c>
      <c r="E85" s="2" t="s">
        <v>18</v>
      </c>
    </row>
    <row r="86" spans="1:18" x14ac:dyDescent="0.25">
      <c r="A86" s="69"/>
      <c r="B86" s="2"/>
      <c r="C86" s="2" t="s">
        <v>52</v>
      </c>
      <c r="D86" s="54">
        <f>D2</f>
        <v>200</v>
      </c>
      <c r="E86" s="2" t="s">
        <v>19</v>
      </c>
    </row>
    <row r="87" spans="1:18" x14ac:dyDescent="0.25">
      <c r="A87" s="69"/>
      <c r="B87" s="2" t="s">
        <v>36</v>
      </c>
      <c r="C87" s="2" t="s">
        <v>35</v>
      </c>
      <c r="D87" s="54">
        <f>D3</f>
        <v>16000</v>
      </c>
      <c r="E87" s="2" t="s">
        <v>48</v>
      </c>
    </row>
    <row r="88" spans="1:18" x14ac:dyDescent="0.25">
      <c r="A88" s="69"/>
      <c r="B88" s="6"/>
      <c r="C88" s="6" t="s">
        <v>802</v>
      </c>
      <c r="D88" s="8">
        <f>D86/D87</f>
        <v>1.2500000000000001E-2</v>
      </c>
      <c r="E88" s="6" t="s">
        <v>22</v>
      </c>
    </row>
    <row r="89" spans="1:18" x14ac:dyDescent="0.25">
      <c r="A89" s="69"/>
      <c r="B89" s="6" t="s">
        <v>96</v>
      </c>
      <c r="C89" s="6" t="s">
        <v>6</v>
      </c>
      <c r="D89" s="51">
        <f>POWER(D85, 2)*0.5*D84</f>
        <v>9.6000000000000002E-2</v>
      </c>
      <c r="E89" s="6" t="s">
        <v>22</v>
      </c>
    </row>
    <row r="90" spans="1:18" x14ac:dyDescent="0.25">
      <c r="A90" s="69"/>
      <c r="B90" s="6"/>
      <c r="C90" s="6" t="s">
        <v>106</v>
      </c>
      <c r="D90" s="51">
        <f>D89*2*D83</f>
        <v>1.92</v>
      </c>
      <c r="E90" s="6" t="s">
        <v>22</v>
      </c>
    </row>
    <row r="91" spans="1:18" x14ac:dyDescent="0.25">
      <c r="A91" s="69"/>
      <c r="B91" s="6"/>
      <c r="C91" s="6" t="s">
        <v>811</v>
      </c>
      <c r="D91" s="51">
        <f>D89-D88</f>
        <v>8.3500000000000005E-2</v>
      </c>
      <c r="E91" s="6" t="s">
        <v>18</v>
      </c>
      <c r="R91" s="1"/>
    </row>
    <row r="92" spans="1:18" x14ac:dyDescent="0.25">
      <c r="A92" s="69"/>
      <c r="B92" s="6"/>
      <c r="C92" s="6" t="s">
        <v>812</v>
      </c>
      <c r="D92" s="8">
        <f xml:space="preserve"> POWER(D91*2/D84, 0.5)</f>
        <v>373.05048809332322</v>
      </c>
      <c r="E92" s="6" t="s">
        <v>18</v>
      </c>
    </row>
    <row r="93" spans="1:18" x14ac:dyDescent="0.25">
      <c r="A93" s="69"/>
      <c r="B93" s="6" t="s">
        <v>95</v>
      </c>
      <c r="C93" s="6" t="s">
        <v>65</v>
      </c>
      <c r="D93" s="8">
        <f>D85-D92</f>
        <v>26.949511906676776</v>
      </c>
      <c r="E93" s="6" t="s">
        <v>18</v>
      </c>
    </row>
    <row r="94" spans="1:18" x14ac:dyDescent="0.25">
      <c r="A94" s="69"/>
      <c r="B94" s="6" t="s">
        <v>91</v>
      </c>
      <c r="C94" s="6" t="s">
        <v>92</v>
      </c>
      <c r="D94" s="8">
        <f>D93/POWER(2, 0.5)</f>
        <v>19.056182618878751</v>
      </c>
      <c r="E94" s="6" t="s">
        <v>18</v>
      </c>
    </row>
    <row r="95" spans="1:18" x14ac:dyDescent="0.25">
      <c r="A95" s="69"/>
      <c r="B95" s="6" t="s">
        <v>94</v>
      </c>
      <c r="C95" s="6" t="s">
        <v>93</v>
      </c>
      <c r="D95" s="51">
        <f>2 * PI() * D87* D84*POWER(D94, 2)</f>
        <v>43.807947826365279</v>
      </c>
      <c r="E95" s="6" t="s">
        <v>19</v>
      </c>
    </row>
    <row r="96" spans="1:18" x14ac:dyDescent="0.25">
      <c r="A96" s="69"/>
      <c r="C96" t="s">
        <v>66</v>
      </c>
      <c r="D96">
        <v>0.01</v>
      </c>
    </row>
    <row r="97" spans="1:7" x14ac:dyDescent="0.25">
      <c r="A97" s="69"/>
      <c r="C97" t="s">
        <v>67</v>
      </c>
      <c r="D97">
        <v>0.03</v>
      </c>
    </row>
    <row r="98" spans="1:7" x14ac:dyDescent="0.25">
      <c r="A98" s="69"/>
      <c r="C98" t="s">
        <v>68</v>
      </c>
      <c r="D98">
        <v>5.0000000000000001E-4</v>
      </c>
      <c r="G98" s="4"/>
    </row>
    <row r="99" spans="1:7" x14ac:dyDescent="0.25">
      <c r="A99" s="69"/>
      <c r="C99" t="s">
        <v>69</v>
      </c>
      <c r="D99">
        <v>1E-3</v>
      </c>
      <c r="G99" s="4"/>
    </row>
    <row r="100" spans="1:7" x14ac:dyDescent="0.25">
      <c r="A100" s="69"/>
      <c r="C100" t="s">
        <v>70</v>
      </c>
      <c r="D100">
        <v>5.0000000000000001E-3</v>
      </c>
    </row>
    <row r="101" spans="1:7" x14ac:dyDescent="0.25">
      <c r="A101" s="69"/>
      <c r="C101" t="s">
        <v>71</v>
      </c>
      <c r="D101">
        <v>1.4999999999999999E-2</v>
      </c>
    </row>
    <row r="102" spans="1:7" x14ac:dyDescent="0.25">
      <c r="A102" s="69"/>
      <c r="C102" t="s">
        <v>72</v>
      </c>
      <c r="D102">
        <v>0.01</v>
      </c>
    </row>
    <row r="103" spans="1:7" x14ac:dyDescent="0.25">
      <c r="A103" s="69"/>
      <c r="C103" t="s">
        <v>85</v>
      </c>
      <c r="D103">
        <v>0.02</v>
      </c>
    </row>
    <row r="104" spans="1:7" x14ac:dyDescent="0.25">
      <c r="A104" s="69"/>
      <c r="B104" s="6"/>
      <c r="C104" s="6" t="s">
        <v>82</v>
      </c>
      <c r="D104" s="8">
        <f>D95*D97</f>
        <v>1.3142384347909584</v>
      </c>
      <c r="E104" s="6" t="s">
        <v>19</v>
      </c>
    </row>
    <row r="105" spans="1:7" x14ac:dyDescent="0.25">
      <c r="A105" s="69"/>
      <c r="B105" s="6"/>
      <c r="C105" s="6" t="s">
        <v>83</v>
      </c>
      <c r="D105" s="8">
        <f>D95*D99</f>
        <v>4.3807947826365282E-2</v>
      </c>
      <c r="E105" s="6" t="s">
        <v>19</v>
      </c>
    </row>
    <row r="106" spans="1:7" x14ac:dyDescent="0.25">
      <c r="A106" s="69"/>
      <c r="B106" s="6"/>
      <c r="C106" s="6" t="s">
        <v>84</v>
      </c>
      <c r="D106" s="8">
        <f>D95*D101</f>
        <v>0.65711921739547918</v>
      </c>
      <c r="E106" s="6" t="s">
        <v>19</v>
      </c>
    </row>
    <row r="107" spans="1:7" x14ac:dyDescent="0.25">
      <c r="A107" s="69"/>
      <c r="B107" s="6"/>
      <c r="C107" s="6" t="s">
        <v>86</v>
      </c>
      <c r="D107" s="51">
        <f>D95*D103</f>
        <v>0.87615895652730558</v>
      </c>
      <c r="E107" s="6" t="s">
        <v>19</v>
      </c>
    </row>
    <row r="108" spans="1:7" x14ac:dyDescent="0.25">
      <c r="A108" s="69"/>
      <c r="B108" s="6"/>
      <c r="C108" s="6" t="s">
        <v>87</v>
      </c>
      <c r="D108" s="8">
        <f>D104*D83*2</f>
        <v>26.284768695819167</v>
      </c>
      <c r="E108" s="6" t="s">
        <v>19</v>
      </c>
    </row>
    <row r="109" spans="1:7" x14ac:dyDescent="0.25">
      <c r="A109" s="69"/>
      <c r="B109" s="6"/>
      <c r="C109" s="6" t="s">
        <v>88</v>
      </c>
      <c r="D109" s="8">
        <f>D105*D83*2</f>
        <v>0.87615895652730558</v>
      </c>
      <c r="E109" s="6" t="s">
        <v>19</v>
      </c>
    </row>
    <row r="110" spans="1:7" x14ac:dyDescent="0.25">
      <c r="A110" s="69"/>
      <c r="B110" s="6"/>
      <c r="C110" s="6" t="s">
        <v>89</v>
      </c>
      <c r="D110" s="8">
        <f>D106*D83*2</f>
        <v>13.142384347909584</v>
      </c>
      <c r="E110" s="6" t="s">
        <v>19</v>
      </c>
    </row>
    <row r="111" spans="1:7" x14ac:dyDescent="0.25">
      <c r="A111" s="69"/>
      <c r="B111" s="6"/>
      <c r="C111" s="6" t="s">
        <v>90</v>
      </c>
      <c r="D111" s="51">
        <f>D107*D83*2</f>
        <v>17.523179130546112</v>
      </c>
      <c r="E111" s="6" t="s">
        <v>19</v>
      </c>
    </row>
    <row r="113" spans="1:20" x14ac:dyDescent="0.25">
      <c r="C113" s="44" t="s">
        <v>15</v>
      </c>
      <c r="D113" s="45">
        <f>D48+D28+D77</f>
        <v>6.9650000000000007</v>
      </c>
    </row>
    <row r="114" spans="1:20" x14ac:dyDescent="0.25">
      <c r="A114" s="68" t="s">
        <v>803</v>
      </c>
      <c r="B114" s="6"/>
      <c r="C114" s="6" t="s">
        <v>4</v>
      </c>
      <c r="D114" s="6">
        <f>D4</f>
        <v>1.2</v>
      </c>
      <c r="E114" s="6"/>
    </row>
    <row r="115" spans="1:20" ht="15" customHeight="1" x14ac:dyDescent="0.25">
      <c r="A115" s="68"/>
      <c r="B115" s="6" t="s">
        <v>674</v>
      </c>
      <c r="C115" s="6" t="s">
        <v>14</v>
      </c>
      <c r="D115" s="6">
        <f>D12</f>
        <v>400</v>
      </c>
      <c r="E115" s="6" t="s">
        <v>18</v>
      </c>
      <c r="F115" s="6"/>
      <c r="O115" s="70" t="s">
        <v>690</v>
      </c>
      <c r="P115" s="70"/>
      <c r="Q115" s="70"/>
      <c r="R115" s="70"/>
      <c r="S115" s="70"/>
    </row>
    <row r="116" spans="1:20" ht="15" customHeight="1" x14ac:dyDescent="0.25">
      <c r="A116" s="68"/>
      <c r="B116" s="6" t="s">
        <v>917</v>
      </c>
      <c r="C116" s="6" t="s">
        <v>920</v>
      </c>
      <c r="D116" s="6">
        <f>D5</f>
        <v>35.400000000000006</v>
      </c>
      <c r="E116" s="6" t="s">
        <v>18</v>
      </c>
      <c r="F116" s="6"/>
      <c r="O116" s="43"/>
      <c r="P116" s="43"/>
      <c r="Q116" s="43"/>
      <c r="R116" s="43"/>
      <c r="S116" s="43"/>
    </row>
    <row r="117" spans="1:20" ht="15" customHeight="1" x14ac:dyDescent="0.25">
      <c r="A117" s="68"/>
      <c r="B117" s="6" t="s">
        <v>918</v>
      </c>
      <c r="C117" s="6" t="s">
        <v>919</v>
      </c>
      <c r="D117" s="6">
        <f>D7</f>
        <v>44.1</v>
      </c>
      <c r="E117" s="6"/>
      <c r="F117" s="6"/>
      <c r="O117" s="43"/>
      <c r="P117" s="43"/>
      <c r="Q117" s="43"/>
      <c r="R117" s="43"/>
      <c r="S117" s="43"/>
    </row>
    <row r="118" spans="1:20" ht="15" customHeight="1" x14ac:dyDescent="0.25">
      <c r="A118" s="68"/>
      <c r="B118" s="6" t="s">
        <v>912</v>
      </c>
      <c r="C118" s="6" t="s">
        <v>911</v>
      </c>
      <c r="D118" s="6">
        <f>D24</f>
        <v>2.5</v>
      </c>
      <c r="E118" s="6" t="s">
        <v>17</v>
      </c>
      <c r="F118" s="6"/>
      <c r="O118" s="40"/>
      <c r="P118" s="40"/>
      <c r="Q118" s="40"/>
      <c r="R118" s="40"/>
      <c r="S118" s="40"/>
    </row>
    <row r="119" spans="1:20" ht="15" customHeight="1" x14ac:dyDescent="0.25">
      <c r="A119" s="68"/>
      <c r="B119" s="6" t="s">
        <v>907</v>
      </c>
      <c r="C119" s="6" t="s">
        <v>905</v>
      </c>
      <c r="D119" s="8">
        <f>(D115/2)/D116</f>
        <v>5.6497175141242932</v>
      </c>
      <c r="E119" s="6"/>
      <c r="F119" s="6"/>
      <c r="O119" t="s">
        <v>686</v>
      </c>
      <c r="Q119">
        <v>6</v>
      </c>
      <c r="R119">
        <v>6</v>
      </c>
      <c r="S119">
        <v>6</v>
      </c>
      <c r="T119">
        <v>6</v>
      </c>
    </row>
    <row r="120" spans="1:20" x14ac:dyDescent="0.25">
      <c r="A120" s="68"/>
      <c r="B120" s="6" t="s">
        <v>906</v>
      </c>
      <c r="C120" s="6" t="s">
        <v>908</v>
      </c>
      <c r="D120" s="8">
        <f>1/D119</f>
        <v>0.17700000000000002</v>
      </c>
      <c r="E120" s="6"/>
      <c r="F120" s="6"/>
      <c r="O120" t="s">
        <v>687</v>
      </c>
      <c r="P120" t="s">
        <v>110</v>
      </c>
      <c r="Q120">
        <v>0</v>
      </c>
      <c r="R120">
        <v>1</v>
      </c>
      <c r="S120">
        <v>2</v>
      </c>
      <c r="T120">
        <v>3</v>
      </c>
    </row>
    <row r="121" spans="1:20" x14ac:dyDescent="0.25">
      <c r="A121" s="68"/>
      <c r="B121" s="6"/>
      <c r="C121" s="6" t="s">
        <v>943</v>
      </c>
      <c r="D121" s="8"/>
      <c r="E121" s="6"/>
      <c r="F121" s="6"/>
    </row>
    <row r="122" spans="1:20" x14ac:dyDescent="0.25">
      <c r="A122" s="68"/>
      <c r="B122" s="6" t="s">
        <v>909</v>
      </c>
      <c r="C122" s="6" t="s">
        <v>910</v>
      </c>
      <c r="D122" s="39"/>
      <c r="E122" s="6"/>
      <c r="F122" s="6"/>
    </row>
    <row r="123" spans="1:20" x14ac:dyDescent="0.25">
      <c r="A123" s="68"/>
      <c r="B123" s="6" t="s">
        <v>913</v>
      </c>
      <c r="C123" s="6" t="s">
        <v>914</v>
      </c>
      <c r="D123" s="8">
        <f>D118/D120</f>
        <v>14.124293785310734</v>
      </c>
      <c r="E123" s="6" t="s">
        <v>17</v>
      </c>
      <c r="O123" t="s">
        <v>688</v>
      </c>
      <c r="P123" t="s">
        <v>131</v>
      </c>
      <c r="Q123" s="1">
        <v>1.8770000000000001E-4</v>
      </c>
      <c r="R123" s="1">
        <v>2.4600000000000002E-5</v>
      </c>
      <c r="S123" s="1">
        <v>1.9899999999999999E-5</v>
      </c>
      <c r="T123" s="1">
        <v>1.7799999999999999E-5</v>
      </c>
    </row>
    <row r="124" spans="1:20" x14ac:dyDescent="0.25">
      <c r="A124" s="68"/>
      <c r="B124" s="6"/>
      <c r="C124" s="6" t="s">
        <v>922</v>
      </c>
      <c r="D124" s="8">
        <f>D19</f>
        <v>6.6000000000000003E-7</v>
      </c>
      <c r="E124" s="6"/>
      <c r="O124" t="s">
        <v>689</v>
      </c>
      <c r="Q124">
        <f>Q123/POWER(Q119, 2)</f>
        <v>5.2138888888888888E-6</v>
      </c>
      <c r="R124">
        <f>R123/POWER(R119, 2)</f>
        <v>6.8333333333333339E-7</v>
      </c>
      <c r="S124">
        <f>S123/POWER(S119, 2)</f>
        <v>5.5277777777777772E-7</v>
      </c>
      <c r="T124">
        <f>T123/POWER(T119, 2)</f>
        <v>4.9444444444444438E-7</v>
      </c>
    </row>
    <row r="125" spans="1:20" x14ac:dyDescent="0.25">
      <c r="A125" s="68"/>
      <c r="B125" s="6"/>
      <c r="C125" s="6" t="s">
        <v>915</v>
      </c>
      <c r="D125" s="8">
        <f>3</f>
        <v>3</v>
      </c>
      <c r="E125" s="6"/>
      <c r="F125" s="6"/>
    </row>
    <row r="126" spans="1:20" x14ac:dyDescent="0.25">
      <c r="A126" s="68"/>
      <c r="B126" s="6" t="s">
        <v>916</v>
      </c>
      <c r="C126" s="6" t="s">
        <v>921</v>
      </c>
      <c r="D126" s="8">
        <f>D117*(D125*D124)/D123</f>
        <v>6.1821144000000011E-6</v>
      </c>
      <c r="E126" s="6"/>
      <c r="F126" s="6"/>
    </row>
    <row r="127" spans="1:20" x14ac:dyDescent="0.25">
      <c r="A127" s="68"/>
      <c r="C127" s="6" t="s">
        <v>923</v>
      </c>
      <c r="D127" s="34">
        <v>10</v>
      </c>
      <c r="E127" s="6"/>
      <c r="F127" s="6"/>
    </row>
    <row r="128" spans="1:20" x14ac:dyDescent="0.25">
      <c r="A128" s="68"/>
      <c r="C128" s="6" t="s">
        <v>924</v>
      </c>
      <c r="D128" s="18">
        <f>1/D127</f>
        <v>0.1</v>
      </c>
      <c r="E128" s="6"/>
      <c r="F128" s="6"/>
    </row>
    <row r="129" spans="1:6" x14ac:dyDescent="0.25">
      <c r="A129" s="68"/>
      <c r="B129" t="s">
        <v>928</v>
      </c>
      <c r="C129" s="6" t="s">
        <v>925</v>
      </c>
      <c r="D129" s="18">
        <f>D126/D128</f>
        <v>6.1821144000000011E-5</v>
      </c>
      <c r="E129" s="6"/>
      <c r="F129" s="6"/>
    </row>
    <row r="130" spans="1:6" x14ac:dyDescent="0.25">
      <c r="A130" s="68"/>
      <c r="B130" t="s">
        <v>930</v>
      </c>
      <c r="C130" s="6" t="s">
        <v>931</v>
      </c>
      <c r="D130" s="18">
        <f>D126+D129</f>
        <v>6.8003258400000012E-5</v>
      </c>
      <c r="E130" s="6"/>
      <c r="F130" s="6"/>
    </row>
    <row r="131" spans="1:6" x14ac:dyDescent="0.25">
      <c r="A131" s="68"/>
      <c r="B131" t="s">
        <v>40</v>
      </c>
      <c r="D131" s="34">
        <v>6.9999999999999999E-4</v>
      </c>
      <c r="E131" t="s">
        <v>181</v>
      </c>
      <c r="F131" s="6"/>
    </row>
    <row r="132" spans="1:6" x14ac:dyDescent="0.25">
      <c r="A132" s="68"/>
      <c r="B132" t="s">
        <v>37</v>
      </c>
      <c r="C132" t="s">
        <v>38</v>
      </c>
      <c r="D132" s="36">
        <f>S124*10^9</f>
        <v>552.77777777777771</v>
      </c>
      <c r="E132" t="s">
        <v>867</v>
      </c>
      <c r="F132" s="6"/>
    </row>
    <row r="133" spans="1:6" x14ac:dyDescent="0.25">
      <c r="A133" s="68"/>
      <c r="B133" t="s">
        <v>41</v>
      </c>
      <c r="C133" s="6" t="s">
        <v>42</v>
      </c>
      <c r="D133" s="34">
        <v>0.38</v>
      </c>
      <c r="E133" t="s">
        <v>673</v>
      </c>
      <c r="F133" s="6"/>
    </row>
    <row r="134" spans="1:6" x14ac:dyDescent="0.25">
      <c r="A134" s="68"/>
      <c r="B134" t="s">
        <v>940</v>
      </c>
      <c r="C134" s="6" t="s">
        <v>932</v>
      </c>
      <c r="D134" s="34">
        <f>SQRT(D130/(D132/1000000000))</f>
        <v>11.091481865370797</v>
      </c>
      <c r="F134" s="6"/>
    </row>
    <row r="135" spans="1:6" x14ac:dyDescent="0.25">
      <c r="A135" s="68"/>
      <c r="B135" t="s">
        <v>941</v>
      </c>
      <c r="C135" s="6" t="s">
        <v>145</v>
      </c>
      <c r="D135" s="34">
        <f>D142/(D120*(1-D128))</f>
        <v>62.774639045825474</v>
      </c>
      <c r="F135" s="6"/>
    </row>
    <row r="136" spans="1:6" x14ac:dyDescent="0.25">
      <c r="A136" s="68"/>
      <c r="B136" t="s">
        <v>934</v>
      </c>
      <c r="C136" s="6" t="s">
        <v>935</v>
      </c>
      <c r="D136" s="34">
        <f>(D130*D123)/(D134*D131)</f>
        <v>0.1237111520944752</v>
      </c>
      <c r="E136" t="s">
        <v>673</v>
      </c>
      <c r="F136" s="6"/>
    </row>
    <row r="137" spans="1:6" x14ac:dyDescent="0.25">
      <c r="A137" s="68"/>
      <c r="C137" s="6" t="s">
        <v>933</v>
      </c>
      <c r="D137" s="34"/>
      <c r="F137" s="6"/>
    </row>
    <row r="138" spans="1:6" x14ac:dyDescent="0.25">
      <c r="A138" s="68"/>
      <c r="B138" t="s">
        <v>836</v>
      </c>
      <c r="C138" s="6" t="s">
        <v>926</v>
      </c>
      <c r="D138" s="34">
        <f>0.0000066</f>
        <v>6.6000000000000003E-6</v>
      </c>
      <c r="E138" s="6" t="s">
        <v>131</v>
      </c>
      <c r="F138" s="6"/>
    </row>
    <row r="139" spans="1:6" x14ac:dyDescent="0.25">
      <c r="A139" s="68"/>
      <c r="B139" t="s">
        <v>691</v>
      </c>
      <c r="C139" s="6" t="s">
        <v>939</v>
      </c>
      <c r="D139" s="18">
        <f>0.00006</f>
        <v>6.0000000000000002E-5</v>
      </c>
      <c r="E139" s="6" t="s">
        <v>131</v>
      </c>
      <c r="F139" s="6"/>
    </row>
    <row r="140" spans="1:6" x14ac:dyDescent="0.25">
      <c r="A140" s="68"/>
      <c r="B140" t="s">
        <v>927</v>
      </c>
      <c r="C140" s="6" t="s">
        <v>929</v>
      </c>
      <c r="D140" s="34">
        <f>D139-D138</f>
        <v>5.3400000000000004E-5</v>
      </c>
      <c r="E140" s="6" t="s">
        <v>131</v>
      </c>
      <c r="F140" s="6"/>
    </row>
    <row r="141" spans="1:6" x14ac:dyDescent="0.25">
      <c r="A141" s="68"/>
      <c r="C141" s="6" t="s">
        <v>942</v>
      </c>
      <c r="D141" s="18">
        <f>D138/D139</f>
        <v>0.11</v>
      </c>
      <c r="E141" s="6"/>
      <c r="F141" s="6"/>
    </row>
    <row r="142" spans="1:6" x14ac:dyDescent="0.25">
      <c r="A142" s="68"/>
      <c r="B142" t="s">
        <v>678</v>
      </c>
      <c r="C142" s="6" t="s">
        <v>839</v>
      </c>
      <c r="D142" s="34">
        <v>10</v>
      </c>
      <c r="E142" s="6"/>
      <c r="F142" s="6"/>
    </row>
    <row r="143" spans="1:6" x14ac:dyDescent="0.25">
      <c r="A143" s="68"/>
      <c r="B143" t="s">
        <v>840</v>
      </c>
      <c r="C143" s="6" t="s">
        <v>841</v>
      </c>
      <c r="D143" s="34">
        <v>85</v>
      </c>
      <c r="E143" s="6"/>
      <c r="F143" s="6"/>
    </row>
    <row r="144" spans="1:6" x14ac:dyDescent="0.25">
      <c r="A144" s="68"/>
      <c r="B144" t="s">
        <v>944</v>
      </c>
      <c r="C144" s="6"/>
      <c r="D144" s="18">
        <f>D142/D143</f>
        <v>0.11764705882352941</v>
      </c>
      <c r="E144" s="6"/>
      <c r="F144" s="6"/>
    </row>
    <row r="145" spans="1:7" x14ac:dyDescent="0.25">
      <c r="A145" s="68"/>
      <c r="B145" t="s">
        <v>937</v>
      </c>
      <c r="C145" s="6" t="s">
        <v>938</v>
      </c>
      <c r="D145" s="18">
        <f>D118/D144</f>
        <v>21.25</v>
      </c>
      <c r="E145" s="6" t="s">
        <v>17</v>
      </c>
      <c r="F145" t="s">
        <v>890</v>
      </c>
      <c r="G145" t="s">
        <v>899</v>
      </c>
    </row>
    <row r="146" spans="1:7" x14ac:dyDescent="0.25">
      <c r="A146" s="68"/>
      <c r="B146" t="s">
        <v>936</v>
      </c>
      <c r="C146" s="6" t="s">
        <v>39</v>
      </c>
      <c r="D146" s="18">
        <f>(D139*D145)/(D142*D131)</f>
        <v>0.18214285714285716</v>
      </c>
      <c r="E146" t="s">
        <v>673</v>
      </c>
    </row>
    <row r="147" spans="1:7" x14ac:dyDescent="0.25">
      <c r="A147" s="68"/>
      <c r="C147" s="6"/>
      <c r="D147" s="18"/>
    </row>
    <row r="148" spans="1:7" x14ac:dyDescent="0.25">
      <c r="A148" s="68"/>
      <c r="B148" s="6"/>
      <c r="C148" s="6"/>
      <c r="D148" s="6"/>
      <c r="E148" s="6"/>
    </row>
    <row r="149" spans="1:7" x14ac:dyDescent="0.25">
      <c r="A149" s="61"/>
      <c r="D149" s="18"/>
      <c r="F149" s="18"/>
    </row>
    <row r="150" spans="1:7" x14ac:dyDescent="0.25">
      <c r="A150" s="68" t="s">
        <v>844</v>
      </c>
      <c r="B150" t="s">
        <v>836</v>
      </c>
      <c r="D150" s="18">
        <f>D138</f>
        <v>6.6000000000000003E-6</v>
      </c>
      <c r="E150" t="s">
        <v>131</v>
      </c>
      <c r="F150" s="22" t="s">
        <v>891</v>
      </c>
      <c r="G150" t="s">
        <v>827</v>
      </c>
    </row>
    <row r="151" spans="1:7" x14ac:dyDescent="0.25">
      <c r="A151" s="68"/>
      <c r="B151" t="s">
        <v>833</v>
      </c>
      <c r="C151" t="s">
        <v>830</v>
      </c>
      <c r="D151" s="33">
        <f>D140</f>
        <v>5.3400000000000004E-5</v>
      </c>
      <c r="F151" s="18"/>
      <c r="G151" t="s">
        <v>829</v>
      </c>
    </row>
    <row r="152" spans="1:7" x14ac:dyDescent="0.25">
      <c r="A152" s="68"/>
      <c r="B152" t="s">
        <v>834</v>
      </c>
      <c r="C152" t="s">
        <v>835</v>
      </c>
      <c r="D152" s="34">
        <v>0.1</v>
      </c>
      <c r="F152" s="18"/>
      <c r="G152" t="s">
        <v>896</v>
      </c>
    </row>
    <row r="153" spans="1:7" x14ac:dyDescent="0.25">
      <c r="A153" s="68"/>
      <c r="B153" t="s">
        <v>837</v>
      </c>
      <c r="C153" t="s">
        <v>838</v>
      </c>
      <c r="D153" s="34">
        <v>3.5</v>
      </c>
      <c r="F153" s="18"/>
      <c r="G153" t="s">
        <v>815</v>
      </c>
    </row>
    <row r="154" spans="1:7" x14ac:dyDescent="0.25">
      <c r="A154" s="68"/>
      <c r="B154" t="s">
        <v>678</v>
      </c>
      <c r="C154" t="s">
        <v>839</v>
      </c>
      <c r="D154" s="18">
        <f>D142</f>
        <v>10</v>
      </c>
      <c r="F154" s="18"/>
    </row>
    <row r="155" spans="1:7" x14ac:dyDescent="0.25">
      <c r="A155" s="68"/>
      <c r="B155" t="s">
        <v>840</v>
      </c>
      <c r="C155" t="s">
        <v>841</v>
      </c>
      <c r="D155" s="18">
        <f>D143</f>
        <v>85</v>
      </c>
      <c r="F155" s="18"/>
    </row>
    <row r="156" spans="1:7" x14ac:dyDescent="0.25">
      <c r="A156" s="68"/>
      <c r="B156" t="s">
        <v>842</v>
      </c>
      <c r="C156" t="s">
        <v>843</v>
      </c>
      <c r="D156" s="18">
        <f>1/D144</f>
        <v>8.5</v>
      </c>
      <c r="F156" s="18"/>
    </row>
    <row r="157" spans="1:7" x14ac:dyDescent="0.25">
      <c r="A157" s="68"/>
      <c r="B157" t="s">
        <v>897</v>
      </c>
      <c r="D157">
        <f>D144</f>
        <v>0.11764705882352941</v>
      </c>
      <c r="F157" s="18"/>
      <c r="G157" t="s">
        <v>898</v>
      </c>
    </row>
    <row r="158" spans="1:7" x14ac:dyDescent="0.25">
      <c r="A158" s="32"/>
      <c r="D158" s="18"/>
    </row>
    <row r="159" spans="1:7" x14ac:dyDescent="0.25">
      <c r="A159" s="68" t="s">
        <v>684</v>
      </c>
      <c r="B159" s="2" t="s">
        <v>44</v>
      </c>
      <c r="C159" s="2"/>
      <c r="D159" s="54">
        <f>D123</f>
        <v>14.124293785310734</v>
      </c>
    </row>
    <row r="160" spans="1:7" x14ac:dyDescent="0.25">
      <c r="A160" s="68"/>
      <c r="B160" s="2" t="s">
        <v>144</v>
      </c>
      <c r="C160" s="2" t="s">
        <v>145</v>
      </c>
      <c r="D160" s="54" t="e">
        <f>#REF!</f>
        <v>#REF!</v>
      </c>
    </row>
    <row r="161" spans="1:199" x14ac:dyDescent="0.25">
      <c r="A161" s="68"/>
      <c r="B161" t="s">
        <v>680</v>
      </c>
      <c r="C161" t="s">
        <v>146</v>
      </c>
      <c r="D161" s="34">
        <v>1</v>
      </c>
    </row>
    <row r="162" spans="1:199" x14ac:dyDescent="0.25">
      <c r="A162" s="68"/>
      <c r="B162" t="s">
        <v>681</v>
      </c>
      <c r="C162" t="s">
        <v>192</v>
      </c>
      <c r="D162" s="18" t="e">
        <f>D160/D161</f>
        <v>#REF!</v>
      </c>
    </row>
    <row r="163" spans="1:199" x14ac:dyDescent="0.25">
      <c r="A163" s="68"/>
      <c r="C163" t="s">
        <v>157</v>
      </c>
      <c r="D163" s="34">
        <v>33</v>
      </c>
      <c r="E163" t="s">
        <v>110</v>
      </c>
      <c r="Q163" s="1">
        <f>M226+$D225</f>
        <v>9.3750000000000002E-7</v>
      </c>
      <c r="R163" s="1">
        <f t="shared" ref="R163:AW163" si="0">Q163+$D225</f>
        <v>1.0937500000000001E-6</v>
      </c>
      <c r="S163" s="1">
        <f t="shared" si="0"/>
        <v>1.2500000000000001E-6</v>
      </c>
      <c r="T163" s="1">
        <f t="shared" si="0"/>
        <v>1.4062500000000001E-6</v>
      </c>
      <c r="U163" s="1">
        <f t="shared" si="0"/>
        <v>1.5625000000000001E-6</v>
      </c>
      <c r="V163" s="1">
        <f t="shared" si="0"/>
        <v>1.7187500000000001E-6</v>
      </c>
      <c r="W163" s="1">
        <f t="shared" si="0"/>
        <v>1.875E-6</v>
      </c>
      <c r="X163" s="1">
        <f t="shared" si="0"/>
        <v>2.0312500000000002E-6</v>
      </c>
      <c r="Y163" s="1">
        <f t="shared" si="0"/>
        <v>2.1875000000000002E-6</v>
      </c>
      <c r="Z163" s="1">
        <f t="shared" si="0"/>
        <v>2.3437500000000002E-6</v>
      </c>
      <c r="AA163" s="1">
        <f t="shared" si="0"/>
        <v>2.5000000000000002E-6</v>
      </c>
      <c r="AB163" s="1">
        <f t="shared" si="0"/>
        <v>2.6562500000000002E-6</v>
      </c>
      <c r="AC163" s="1">
        <f t="shared" si="0"/>
        <v>2.8125000000000002E-6</v>
      </c>
      <c r="AD163" s="1">
        <f t="shared" si="0"/>
        <v>2.9687500000000002E-6</v>
      </c>
      <c r="AE163" s="1">
        <f t="shared" si="0"/>
        <v>3.1250000000000001E-6</v>
      </c>
      <c r="AF163" s="1">
        <f t="shared" si="0"/>
        <v>3.2812500000000001E-6</v>
      </c>
      <c r="AG163" s="1">
        <f t="shared" si="0"/>
        <v>3.4375000000000001E-6</v>
      </c>
      <c r="AH163" s="1">
        <f t="shared" si="0"/>
        <v>3.5937500000000001E-6</v>
      </c>
      <c r="AI163" s="1">
        <f t="shared" si="0"/>
        <v>3.7500000000000001E-6</v>
      </c>
      <c r="AJ163" s="1">
        <f t="shared" si="0"/>
        <v>3.9062500000000001E-6</v>
      </c>
      <c r="AK163" s="1">
        <f t="shared" si="0"/>
        <v>4.0625000000000005E-6</v>
      </c>
      <c r="AL163" s="1">
        <f t="shared" si="0"/>
        <v>4.2187500000000009E-6</v>
      </c>
      <c r="AM163" s="1">
        <f t="shared" si="0"/>
        <v>4.3750000000000013E-6</v>
      </c>
      <c r="AN163" s="1">
        <f t="shared" si="0"/>
        <v>4.5312500000000017E-6</v>
      </c>
      <c r="AO163" s="1">
        <f t="shared" si="0"/>
        <v>4.6875000000000021E-6</v>
      </c>
      <c r="AP163" s="1">
        <f t="shared" si="0"/>
        <v>4.8437500000000025E-6</v>
      </c>
      <c r="AQ163" s="1">
        <f t="shared" si="0"/>
        <v>5.000000000000003E-6</v>
      </c>
      <c r="AR163" s="1">
        <f t="shared" si="0"/>
        <v>5.1562500000000034E-6</v>
      </c>
      <c r="AS163" s="1">
        <f t="shared" si="0"/>
        <v>5.3125000000000038E-6</v>
      </c>
      <c r="AT163" s="1">
        <f t="shared" si="0"/>
        <v>5.4687500000000042E-6</v>
      </c>
      <c r="AU163" s="1">
        <f t="shared" si="0"/>
        <v>5.6250000000000046E-6</v>
      </c>
      <c r="AV163" s="1">
        <f t="shared" si="0"/>
        <v>5.781250000000005E-6</v>
      </c>
      <c r="AW163" s="1">
        <f t="shared" si="0"/>
        <v>5.9375000000000054E-6</v>
      </c>
      <c r="AX163" s="1">
        <f t="shared" ref="AX163:CC163" si="1">AW163+$D225</f>
        <v>6.0937500000000058E-6</v>
      </c>
      <c r="AY163" s="1">
        <f t="shared" si="1"/>
        <v>6.2500000000000062E-6</v>
      </c>
      <c r="AZ163" s="1">
        <f t="shared" si="1"/>
        <v>6.4062500000000066E-6</v>
      </c>
      <c r="BA163" s="1">
        <f t="shared" si="1"/>
        <v>6.562500000000007E-6</v>
      </c>
      <c r="BB163" s="1">
        <f t="shared" si="1"/>
        <v>6.7187500000000075E-6</v>
      </c>
      <c r="BC163" s="1">
        <f t="shared" si="1"/>
        <v>6.8750000000000079E-6</v>
      </c>
      <c r="BD163" s="1">
        <f t="shared" si="1"/>
        <v>7.0312500000000083E-6</v>
      </c>
      <c r="BE163" s="1">
        <f t="shared" si="1"/>
        <v>7.1875000000000087E-6</v>
      </c>
      <c r="BF163" s="1">
        <f t="shared" si="1"/>
        <v>7.3437500000000091E-6</v>
      </c>
      <c r="BG163" s="1">
        <f t="shared" si="1"/>
        <v>7.5000000000000095E-6</v>
      </c>
      <c r="BH163" s="1">
        <f t="shared" si="1"/>
        <v>7.6562500000000099E-6</v>
      </c>
      <c r="BI163" s="1">
        <f t="shared" si="1"/>
        <v>7.8125000000000103E-6</v>
      </c>
      <c r="BJ163" s="1">
        <f t="shared" si="1"/>
        <v>7.9687500000000107E-6</v>
      </c>
      <c r="BK163" s="1">
        <f t="shared" si="1"/>
        <v>8.1250000000000111E-6</v>
      </c>
      <c r="BL163" s="1">
        <f t="shared" si="1"/>
        <v>8.2812500000000116E-6</v>
      </c>
      <c r="BM163" s="1">
        <f t="shared" si="1"/>
        <v>8.437500000000012E-6</v>
      </c>
      <c r="BN163" s="1">
        <f t="shared" si="1"/>
        <v>8.5937500000000124E-6</v>
      </c>
      <c r="BO163" s="1">
        <f t="shared" si="1"/>
        <v>8.7500000000000128E-6</v>
      </c>
      <c r="BP163" s="1">
        <f t="shared" si="1"/>
        <v>8.9062500000000132E-6</v>
      </c>
      <c r="BQ163" s="1">
        <f t="shared" si="1"/>
        <v>9.0625000000000136E-6</v>
      </c>
      <c r="BR163" s="1">
        <f t="shared" si="1"/>
        <v>9.218750000000014E-6</v>
      </c>
      <c r="BS163" s="1">
        <f t="shared" si="1"/>
        <v>9.3750000000000144E-6</v>
      </c>
      <c r="BT163" s="1">
        <f t="shared" si="1"/>
        <v>9.5312500000000148E-6</v>
      </c>
      <c r="BU163" s="1">
        <f t="shared" si="1"/>
        <v>9.6875000000000152E-6</v>
      </c>
      <c r="BV163" s="1">
        <f t="shared" si="1"/>
        <v>9.8437500000000157E-6</v>
      </c>
      <c r="BW163" s="1">
        <f t="shared" si="1"/>
        <v>1.0000000000000016E-5</v>
      </c>
      <c r="BX163" s="1">
        <f t="shared" si="1"/>
        <v>1.0156250000000016E-5</v>
      </c>
      <c r="BY163" s="1">
        <f t="shared" si="1"/>
        <v>1.0312500000000017E-5</v>
      </c>
      <c r="BZ163" s="1">
        <f t="shared" si="1"/>
        <v>1.0468750000000017E-5</v>
      </c>
      <c r="CA163" s="1">
        <f t="shared" si="1"/>
        <v>1.0625000000000018E-5</v>
      </c>
      <c r="CB163" s="1">
        <f t="shared" si="1"/>
        <v>1.0781250000000018E-5</v>
      </c>
      <c r="CC163" s="1">
        <f t="shared" si="1"/>
        <v>1.0937500000000019E-5</v>
      </c>
      <c r="CD163" s="1">
        <f t="shared" ref="CD163:DI163" si="2">CC163+$D225</f>
        <v>1.1093750000000019E-5</v>
      </c>
      <c r="CE163" s="1">
        <f t="shared" si="2"/>
        <v>1.1250000000000019E-5</v>
      </c>
      <c r="CF163" s="1">
        <f t="shared" si="2"/>
        <v>1.140625000000002E-5</v>
      </c>
      <c r="CG163" s="1">
        <f t="shared" si="2"/>
        <v>1.156250000000002E-5</v>
      </c>
      <c r="CH163" s="1">
        <f t="shared" si="2"/>
        <v>1.1718750000000021E-5</v>
      </c>
      <c r="CI163" s="1">
        <f t="shared" si="2"/>
        <v>1.1875000000000021E-5</v>
      </c>
      <c r="CJ163" s="1">
        <f t="shared" si="2"/>
        <v>1.2031250000000021E-5</v>
      </c>
      <c r="CK163" s="1">
        <f t="shared" si="2"/>
        <v>1.2187500000000022E-5</v>
      </c>
      <c r="CL163" s="1">
        <f t="shared" si="2"/>
        <v>1.2343750000000022E-5</v>
      </c>
      <c r="CM163" s="1">
        <f t="shared" si="2"/>
        <v>1.2500000000000023E-5</v>
      </c>
      <c r="CN163" s="1">
        <f t="shared" si="2"/>
        <v>1.2656250000000023E-5</v>
      </c>
      <c r="CO163" s="1">
        <f t="shared" si="2"/>
        <v>1.2812500000000023E-5</v>
      </c>
      <c r="CP163" s="1">
        <f t="shared" si="2"/>
        <v>1.2968750000000024E-5</v>
      </c>
      <c r="CQ163" s="1">
        <f t="shared" si="2"/>
        <v>1.3125000000000024E-5</v>
      </c>
      <c r="CR163" s="1">
        <f t="shared" si="2"/>
        <v>1.3281250000000025E-5</v>
      </c>
      <c r="CS163" s="1">
        <f t="shared" si="2"/>
        <v>1.3437500000000025E-5</v>
      </c>
      <c r="CT163" s="1">
        <f t="shared" si="2"/>
        <v>1.3593750000000025E-5</v>
      </c>
      <c r="CU163" s="1">
        <f t="shared" si="2"/>
        <v>1.3750000000000026E-5</v>
      </c>
      <c r="CV163" s="1">
        <f t="shared" si="2"/>
        <v>1.3906250000000026E-5</v>
      </c>
      <c r="CW163" s="1">
        <f t="shared" si="2"/>
        <v>1.4062500000000027E-5</v>
      </c>
      <c r="CX163" s="1">
        <f t="shared" si="2"/>
        <v>1.4218750000000027E-5</v>
      </c>
      <c r="CY163" s="1">
        <f t="shared" si="2"/>
        <v>1.4375000000000028E-5</v>
      </c>
      <c r="CZ163" s="1">
        <f t="shared" si="2"/>
        <v>1.4531250000000028E-5</v>
      </c>
      <c r="DA163" s="1">
        <f t="shared" si="2"/>
        <v>1.4687500000000028E-5</v>
      </c>
      <c r="DB163" s="1">
        <f t="shared" si="2"/>
        <v>1.4843750000000029E-5</v>
      </c>
      <c r="DC163" s="1">
        <f t="shared" si="2"/>
        <v>1.5000000000000029E-5</v>
      </c>
      <c r="DD163" s="1">
        <f t="shared" si="2"/>
        <v>1.515625000000003E-5</v>
      </c>
      <c r="DE163" s="1">
        <f t="shared" si="2"/>
        <v>1.531250000000003E-5</v>
      </c>
      <c r="DF163" s="1">
        <f t="shared" si="2"/>
        <v>1.546875000000003E-5</v>
      </c>
      <c r="DG163" s="1">
        <f t="shared" si="2"/>
        <v>1.5625000000000031E-5</v>
      </c>
      <c r="DH163" s="1">
        <f t="shared" si="2"/>
        <v>1.5781250000000031E-5</v>
      </c>
      <c r="DI163" s="1">
        <f t="shared" si="2"/>
        <v>1.5937500000000032E-5</v>
      </c>
      <c r="DJ163" s="1">
        <f t="shared" ref="DJ163:EO163" si="3">DI163+$D225</f>
        <v>1.6093750000000032E-5</v>
      </c>
      <c r="DK163" s="1">
        <f t="shared" si="3"/>
        <v>1.6250000000000032E-5</v>
      </c>
      <c r="DL163" s="1">
        <f t="shared" si="3"/>
        <v>1.6406250000000033E-5</v>
      </c>
      <c r="DM163" s="1">
        <f t="shared" si="3"/>
        <v>1.6562500000000033E-5</v>
      </c>
      <c r="DN163" s="1">
        <f t="shared" si="3"/>
        <v>1.6718750000000034E-5</v>
      </c>
      <c r="DO163" s="1">
        <f t="shared" si="3"/>
        <v>1.6875000000000034E-5</v>
      </c>
      <c r="DP163" s="1">
        <f t="shared" si="3"/>
        <v>1.7031250000000035E-5</v>
      </c>
      <c r="DQ163" s="1">
        <f t="shared" si="3"/>
        <v>1.7187500000000035E-5</v>
      </c>
      <c r="DR163" s="1">
        <f t="shared" si="3"/>
        <v>1.7343750000000035E-5</v>
      </c>
      <c r="DS163" s="1">
        <f t="shared" si="3"/>
        <v>1.7500000000000036E-5</v>
      </c>
      <c r="DT163" s="1">
        <f t="shared" si="3"/>
        <v>1.7656250000000036E-5</v>
      </c>
      <c r="DU163" s="1">
        <f t="shared" si="3"/>
        <v>1.7812500000000037E-5</v>
      </c>
      <c r="DV163" s="1">
        <f t="shared" si="3"/>
        <v>1.7968750000000037E-5</v>
      </c>
      <c r="DW163" s="1">
        <f t="shared" si="3"/>
        <v>1.8125000000000037E-5</v>
      </c>
      <c r="DX163" s="1">
        <f t="shared" si="3"/>
        <v>1.8281250000000038E-5</v>
      </c>
      <c r="DY163" s="1">
        <f t="shared" si="3"/>
        <v>1.8437500000000038E-5</v>
      </c>
      <c r="DZ163" s="1">
        <f t="shared" si="3"/>
        <v>1.8593750000000039E-5</v>
      </c>
      <c r="EA163" s="1">
        <f t="shared" si="3"/>
        <v>1.8750000000000039E-5</v>
      </c>
      <c r="EB163" s="1">
        <f t="shared" si="3"/>
        <v>1.8906250000000039E-5</v>
      </c>
      <c r="EC163" s="1">
        <f t="shared" si="3"/>
        <v>1.906250000000004E-5</v>
      </c>
      <c r="ED163" s="1">
        <f t="shared" si="3"/>
        <v>1.921875000000004E-5</v>
      </c>
      <c r="EE163" s="1">
        <f t="shared" si="3"/>
        <v>1.9375000000000041E-5</v>
      </c>
      <c r="EF163" s="1">
        <f t="shared" si="3"/>
        <v>1.9531250000000041E-5</v>
      </c>
      <c r="EG163" s="1">
        <f t="shared" si="3"/>
        <v>1.9687500000000041E-5</v>
      </c>
      <c r="EH163" s="1">
        <f t="shared" si="3"/>
        <v>1.9843750000000042E-5</v>
      </c>
      <c r="EI163" s="1">
        <f t="shared" si="3"/>
        <v>2.0000000000000042E-5</v>
      </c>
      <c r="EJ163" s="1">
        <f t="shared" si="3"/>
        <v>2.0156250000000043E-5</v>
      </c>
      <c r="EK163" s="1">
        <f t="shared" si="3"/>
        <v>2.0312500000000043E-5</v>
      </c>
      <c r="EL163" s="1">
        <f t="shared" si="3"/>
        <v>2.0468750000000044E-5</v>
      </c>
      <c r="EM163" s="1">
        <f t="shared" si="3"/>
        <v>2.0625000000000044E-5</v>
      </c>
      <c r="EN163" s="1">
        <f t="shared" si="3"/>
        <v>2.0781250000000044E-5</v>
      </c>
      <c r="EO163" s="1">
        <f t="shared" si="3"/>
        <v>2.0937500000000045E-5</v>
      </c>
      <c r="EP163" s="1">
        <f t="shared" ref="EP163:FU163" si="4">EO163+$D225</f>
        <v>2.1093750000000045E-5</v>
      </c>
      <c r="EQ163" s="1">
        <f t="shared" si="4"/>
        <v>2.1250000000000046E-5</v>
      </c>
      <c r="ER163" s="1">
        <f t="shared" si="4"/>
        <v>2.1406250000000046E-5</v>
      </c>
      <c r="ES163" s="1">
        <f t="shared" si="4"/>
        <v>2.1562500000000046E-5</v>
      </c>
      <c r="ET163" s="1">
        <f t="shared" si="4"/>
        <v>2.1718750000000047E-5</v>
      </c>
      <c r="EU163" s="1">
        <f t="shared" si="4"/>
        <v>2.1875000000000047E-5</v>
      </c>
      <c r="EV163" s="1">
        <f t="shared" si="4"/>
        <v>2.2031250000000048E-5</v>
      </c>
      <c r="EW163" s="1">
        <f t="shared" si="4"/>
        <v>2.2187500000000048E-5</v>
      </c>
      <c r="EX163" s="1">
        <f t="shared" si="4"/>
        <v>2.2343750000000048E-5</v>
      </c>
      <c r="EY163" s="1">
        <f t="shared" si="4"/>
        <v>2.2500000000000049E-5</v>
      </c>
      <c r="EZ163" s="1">
        <f t="shared" si="4"/>
        <v>2.2656250000000049E-5</v>
      </c>
      <c r="FA163" s="1">
        <f t="shared" si="4"/>
        <v>2.281250000000005E-5</v>
      </c>
      <c r="FB163" s="1">
        <f t="shared" si="4"/>
        <v>2.296875000000005E-5</v>
      </c>
      <c r="FC163" s="1">
        <f t="shared" si="4"/>
        <v>2.312500000000005E-5</v>
      </c>
      <c r="FD163" s="1">
        <f t="shared" si="4"/>
        <v>2.3281250000000051E-5</v>
      </c>
      <c r="FE163" s="1">
        <f t="shared" si="4"/>
        <v>2.3437500000000051E-5</v>
      </c>
      <c r="FF163" s="1">
        <f t="shared" si="4"/>
        <v>2.3593750000000052E-5</v>
      </c>
      <c r="FG163" s="1">
        <f t="shared" si="4"/>
        <v>2.3750000000000052E-5</v>
      </c>
      <c r="FH163" s="1">
        <f t="shared" si="4"/>
        <v>2.3906250000000053E-5</v>
      </c>
      <c r="FI163" s="1">
        <f t="shared" si="4"/>
        <v>2.4062500000000053E-5</v>
      </c>
      <c r="FJ163" s="1">
        <f t="shared" si="4"/>
        <v>2.4218750000000053E-5</v>
      </c>
      <c r="FK163" s="1">
        <f t="shared" si="4"/>
        <v>2.4375000000000054E-5</v>
      </c>
      <c r="FL163" s="1">
        <f t="shared" si="4"/>
        <v>2.4531250000000054E-5</v>
      </c>
      <c r="FM163" s="1">
        <f t="shared" si="4"/>
        <v>2.4687500000000055E-5</v>
      </c>
      <c r="FN163" s="1">
        <f t="shared" si="4"/>
        <v>2.4843750000000055E-5</v>
      </c>
      <c r="FO163" s="1">
        <f t="shared" si="4"/>
        <v>2.5000000000000055E-5</v>
      </c>
      <c r="FP163" s="1">
        <f t="shared" si="4"/>
        <v>2.5156250000000056E-5</v>
      </c>
      <c r="FQ163" s="1">
        <f t="shared" si="4"/>
        <v>2.5312500000000056E-5</v>
      </c>
      <c r="FR163" s="1">
        <f t="shared" si="4"/>
        <v>2.5468750000000057E-5</v>
      </c>
      <c r="FS163" s="1">
        <f t="shared" si="4"/>
        <v>2.5625000000000057E-5</v>
      </c>
      <c r="FT163" s="1">
        <f t="shared" si="4"/>
        <v>2.5781250000000057E-5</v>
      </c>
      <c r="FU163" s="1">
        <f t="shared" si="4"/>
        <v>2.5937500000000058E-5</v>
      </c>
      <c r="FV163" s="1">
        <f t="shared" ref="FV163:GQ163" si="5">FU163+$D225</f>
        <v>2.6093750000000058E-5</v>
      </c>
      <c r="FW163" s="1">
        <f t="shared" si="5"/>
        <v>2.6250000000000059E-5</v>
      </c>
      <c r="FX163" s="1">
        <f t="shared" si="5"/>
        <v>2.6406250000000059E-5</v>
      </c>
      <c r="FY163" s="1">
        <f t="shared" si="5"/>
        <v>2.656250000000006E-5</v>
      </c>
      <c r="FZ163" s="1">
        <f t="shared" si="5"/>
        <v>2.671875000000006E-5</v>
      </c>
      <c r="GA163" s="1">
        <f t="shared" si="5"/>
        <v>2.687500000000006E-5</v>
      </c>
      <c r="GB163" s="1">
        <f t="shared" si="5"/>
        <v>2.7031250000000061E-5</v>
      </c>
      <c r="GC163" s="1">
        <f t="shared" si="5"/>
        <v>2.7187500000000061E-5</v>
      </c>
      <c r="GD163" s="1">
        <f t="shared" si="5"/>
        <v>2.7343750000000062E-5</v>
      </c>
      <c r="GE163" s="1">
        <f t="shared" si="5"/>
        <v>2.7500000000000062E-5</v>
      </c>
      <c r="GF163" s="1">
        <f t="shared" si="5"/>
        <v>2.7656250000000062E-5</v>
      </c>
      <c r="GG163" s="1">
        <f t="shared" si="5"/>
        <v>2.7812500000000063E-5</v>
      </c>
      <c r="GH163" s="1">
        <f t="shared" si="5"/>
        <v>2.7968750000000063E-5</v>
      </c>
      <c r="GI163" s="1">
        <f t="shared" si="5"/>
        <v>2.8125000000000064E-5</v>
      </c>
      <c r="GJ163" s="1">
        <f t="shared" si="5"/>
        <v>2.8281250000000064E-5</v>
      </c>
      <c r="GK163" s="1">
        <f t="shared" si="5"/>
        <v>2.8437500000000064E-5</v>
      </c>
      <c r="GL163" s="1">
        <f t="shared" si="5"/>
        <v>2.8593750000000065E-5</v>
      </c>
      <c r="GM163" s="1">
        <f t="shared" si="5"/>
        <v>2.8750000000000065E-5</v>
      </c>
      <c r="GN163" s="1">
        <f t="shared" si="5"/>
        <v>2.8906250000000066E-5</v>
      </c>
      <c r="GO163" s="1">
        <f t="shared" si="5"/>
        <v>2.9062500000000066E-5</v>
      </c>
      <c r="GP163" s="1">
        <f t="shared" si="5"/>
        <v>2.9218750000000066E-5</v>
      </c>
      <c r="GQ163" s="1">
        <f t="shared" si="5"/>
        <v>2.9375000000000067E-5</v>
      </c>
    </row>
    <row r="164" spans="1:199" x14ac:dyDescent="0.25">
      <c r="A164" s="68"/>
      <c r="C164" t="s">
        <v>155</v>
      </c>
      <c r="D164" s="34">
        <v>74</v>
      </c>
      <c r="E164" t="s">
        <v>110</v>
      </c>
      <c r="Q164">
        <f t="shared" ref="Q164:AV164" si="6">$H227</f>
        <v>44.1</v>
      </c>
      <c r="R164">
        <f t="shared" si="6"/>
        <v>44.1</v>
      </c>
      <c r="S164">
        <f t="shared" si="6"/>
        <v>44.1</v>
      </c>
      <c r="T164">
        <f t="shared" si="6"/>
        <v>44.1</v>
      </c>
      <c r="U164">
        <f t="shared" si="6"/>
        <v>44.1</v>
      </c>
      <c r="V164">
        <f t="shared" si="6"/>
        <v>44.1</v>
      </c>
      <c r="W164">
        <f t="shared" si="6"/>
        <v>44.1</v>
      </c>
      <c r="X164">
        <f t="shared" si="6"/>
        <v>44.1</v>
      </c>
      <c r="Y164">
        <f t="shared" si="6"/>
        <v>44.1</v>
      </c>
      <c r="Z164">
        <f t="shared" si="6"/>
        <v>44.1</v>
      </c>
      <c r="AA164">
        <f t="shared" si="6"/>
        <v>44.1</v>
      </c>
      <c r="AB164">
        <f t="shared" si="6"/>
        <v>44.1</v>
      </c>
      <c r="AC164">
        <f t="shared" si="6"/>
        <v>44.1</v>
      </c>
      <c r="AD164">
        <f t="shared" si="6"/>
        <v>44.1</v>
      </c>
      <c r="AE164">
        <f t="shared" si="6"/>
        <v>44.1</v>
      </c>
      <c r="AF164">
        <f t="shared" si="6"/>
        <v>44.1</v>
      </c>
      <c r="AG164">
        <f t="shared" si="6"/>
        <v>44.1</v>
      </c>
      <c r="AH164">
        <f t="shared" si="6"/>
        <v>44.1</v>
      </c>
      <c r="AI164">
        <f t="shared" si="6"/>
        <v>44.1</v>
      </c>
      <c r="AJ164">
        <f t="shared" si="6"/>
        <v>44.1</v>
      </c>
      <c r="AK164">
        <f t="shared" si="6"/>
        <v>44.1</v>
      </c>
      <c r="AL164">
        <f t="shared" si="6"/>
        <v>44.1</v>
      </c>
      <c r="AM164">
        <f t="shared" si="6"/>
        <v>44.1</v>
      </c>
      <c r="AN164">
        <f t="shared" si="6"/>
        <v>44.1</v>
      </c>
      <c r="AO164">
        <f t="shared" si="6"/>
        <v>44.1</v>
      </c>
      <c r="AP164">
        <f t="shared" si="6"/>
        <v>44.1</v>
      </c>
      <c r="AQ164">
        <f t="shared" si="6"/>
        <v>44.1</v>
      </c>
      <c r="AR164">
        <f t="shared" si="6"/>
        <v>44.1</v>
      </c>
      <c r="AS164">
        <f t="shared" si="6"/>
        <v>44.1</v>
      </c>
      <c r="AT164">
        <f t="shared" si="6"/>
        <v>44.1</v>
      </c>
      <c r="AU164">
        <f t="shared" si="6"/>
        <v>44.1</v>
      </c>
      <c r="AV164">
        <f t="shared" si="6"/>
        <v>44.1</v>
      </c>
      <c r="AW164">
        <f t="shared" ref="AW164:CB164" si="7">$H227</f>
        <v>44.1</v>
      </c>
      <c r="AX164">
        <f t="shared" si="7"/>
        <v>44.1</v>
      </c>
      <c r="AY164">
        <f t="shared" si="7"/>
        <v>44.1</v>
      </c>
      <c r="AZ164">
        <f t="shared" si="7"/>
        <v>44.1</v>
      </c>
      <c r="BA164">
        <f t="shared" si="7"/>
        <v>44.1</v>
      </c>
      <c r="BB164">
        <f t="shared" si="7"/>
        <v>44.1</v>
      </c>
      <c r="BC164">
        <f t="shared" si="7"/>
        <v>44.1</v>
      </c>
      <c r="BD164">
        <f t="shared" si="7"/>
        <v>44.1</v>
      </c>
      <c r="BE164">
        <f t="shared" si="7"/>
        <v>44.1</v>
      </c>
      <c r="BF164">
        <f t="shared" si="7"/>
        <v>44.1</v>
      </c>
      <c r="BG164">
        <f t="shared" si="7"/>
        <v>44.1</v>
      </c>
      <c r="BH164">
        <f t="shared" si="7"/>
        <v>44.1</v>
      </c>
      <c r="BI164">
        <f t="shared" si="7"/>
        <v>44.1</v>
      </c>
      <c r="BJ164">
        <f t="shared" si="7"/>
        <v>44.1</v>
      </c>
      <c r="BK164">
        <f t="shared" si="7"/>
        <v>44.1</v>
      </c>
      <c r="BL164">
        <f t="shared" si="7"/>
        <v>44.1</v>
      </c>
      <c r="BM164">
        <f t="shared" si="7"/>
        <v>44.1</v>
      </c>
      <c r="BN164">
        <f t="shared" si="7"/>
        <v>44.1</v>
      </c>
      <c r="BO164">
        <f t="shared" si="7"/>
        <v>44.1</v>
      </c>
      <c r="BP164">
        <f t="shared" si="7"/>
        <v>44.1</v>
      </c>
      <c r="BQ164">
        <f t="shared" si="7"/>
        <v>44.1</v>
      </c>
      <c r="BR164">
        <f t="shared" si="7"/>
        <v>44.1</v>
      </c>
      <c r="BS164">
        <f t="shared" si="7"/>
        <v>44.1</v>
      </c>
      <c r="BT164">
        <f t="shared" si="7"/>
        <v>44.1</v>
      </c>
      <c r="BU164">
        <f t="shared" si="7"/>
        <v>44.1</v>
      </c>
      <c r="BV164">
        <f t="shared" si="7"/>
        <v>44.1</v>
      </c>
      <c r="BW164">
        <f t="shared" si="7"/>
        <v>44.1</v>
      </c>
      <c r="BX164">
        <f t="shared" si="7"/>
        <v>44.1</v>
      </c>
      <c r="BY164">
        <f t="shared" si="7"/>
        <v>44.1</v>
      </c>
      <c r="BZ164">
        <f t="shared" si="7"/>
        <v>44.1</v>
      </c>
      <c r="CA164">
        <f t="shared" si="7"/>
        <v>44.1</v>
      </c>
      <c r="CB164">
        <f t="shared" si="7"/>
        <v>44.1</v>
      </c>
      <c r="CC164">
        <f t="shared" ref="CC164:DG164" si="8">$H227</f>
        <v>44.1</v>
      </c>
      <c r="CD164">
        <f t="shared" si="8"/>
        <v>44.1</v>
      </c>
      <c r="CE164">
        <f t="shared" si="8"/>
        <v>44.1</v>
      </c>
      <c r="CF164">
        <f t="shared" si="8"/>
        <v>44.1</v>
      </c>
      <c r="CG164">
        <f t="shared" si="8"/>
        <v>44.1</v>
      </c>
      <c r="CH164">
        <f t="shared" si="8"/>
        <v>44.1</v>
      </c>
      <c r="CI164">
        <f t="shared" si="8"/>
        <v>44.1</v>
      </c>
      <c r="CJ164">
        <f t="shared" si="8"/>
        <v>44.1</v>
      </c>
      <c r="CK164">
        <f t="shared" si="8"/>
        <v>44.1</v>
      </c>
      <c r="CL164">
        <f t="shared" si="8"/>
        <v>44.1</v>
      </c>
      <c r="CM164">
        <f t="shared" si="8"/>
        <v>44.1</v>
      </c>
      <c r="CN164">
        <f t="shared" si="8"/>
        <v>44.1</v>
      </c>
      <c r="CO164">
        <f t="shared" si="8"/>
        <v>44.1</v>
      </c>
      <c r="CP164">
        <f t="shared" si="8"/>
        <v>44.1</v>
      </c>
      <c r="CQ164">
        <f t="shared" si="8"/>
        <v>44.1</v>
      </c>
      <c r="CR164">
        <f t="shared" si="8"/>
        <v>44.1</v>
      </c>
      <c r="CS164">
        <f t="shared" si="8"/>
        <v>44.1</v>
      </c>
      <c r="CT164">
        <f t="shared" si="8"/>
        <v>44.1</v>
      </c>
      <c r="CU164">
        <f t="shared" si="8"/>
        <v>44.1</v>
      </c>
      <c r="CV164">
        <f t="shared" si="8"/>
        <v>44.1</v>
      </c>
      <c r="CW164">
        <f t="shared" si="8"/>
        <v>44.1</v>
      </c>
      <c r="CX164">
        <f t="shared" si="8"/>
        <v>44.1</v>
      </c>
      <c r="CY164">
        <f t="shared" si="8"/>
        <v>44.1</v>
      </c>
      <c r="CZ164">
        <f t="shared" si="8"/>
        <v>44.1</v>
      </c>
      <c r="DA164">
        <f t="shared" si="8"/>
        <v>44.1</v>
      </c>
      <c r="DB164">
        <f t="shared" si="8"/>
        <v>44.1</v>
      </c>
      <c r="DC164">
        <f t="shared" si="8"/>
        <v>44.1</v>
      </c>
      <c r="DD164">
        <f t="shared" si="8"/>
        <v>44.1</v>
      </c>
      <c r="DE164">
        <f t="shared" si="8"/>
        <v>44.1</v>
      </c>
      <c r="DF164">
        <f t="shared" si="8"/>
        <v>44.1</v>
      </c>
      <c r="DG164">
        <f t="shared" si="8"/>
        <v>44.1</v>
      </c>
      <c r="DH164">
        <v>0</v>
      </c>
      <c r="DI164">
        <f>DH164</f>
        <v>0</v>
      </c>
      <c r="DJ164">
        <f t="shared" ref="DJ164:FU164" si="9">DI164</f>
        <v>0</v>
      </c>
      <c r="DK164">
        <f t="shared" si="9"/>
        <v>0</v>
      </c>
      <c r="DL164">
        <f t="shared" si="9"/>
        <v>0</v>
      </c>
      <c r="DM164">
        <f t="shared" si="9"/>
        <v>0</v>
      </c>
      <c r="DN164">
        <f t="shared" si="9"/>
        <v>0</v>
      </c>
      <c r="DO164">
        <f t="shared" si="9"/>
        <v>0</v>
      </c>
      <c r="DP164">
        <f t="shared" si="9"/>
        <v>0</v>
      </c>
      <c r="DQ164">
        <f t="shared" si="9"/>
        <v>0</v>
      </c>
      <c r="DR164">
        <f t="shared" si="9"/>
        <v>0</v>
      </c>
      <c r="DS164">
        <f t="shared" si="9"/>
        <v>0</v>
      </c>
      <c r="DT164">
        <f t="shared" si="9"/>
        <v>0</v>
      </c>
      <c r="DU164">
        <f t="shared" si="9"/>
        <v>0</v>
      </c>
      <c r="DV164">
        <f t="shared" si="9"/>
        <v>0</v>
      </c>
      <c r="DW164">
        <f t="shared" si="9"/>
        <v>0</v>
      </c>
      <c r="DX164">
        <f t="shared" si="9"/>
        <v>0</v>
      </c>
      <c r="DY164">
        <f t="shared" si="9"/>
        <v>0</v>
      </c>
      <c r="DZ164">
        <f t="shared" si="9"/>
        <v>0</v>
      </c>
      <c r="EA164">
        <f t="shared" si="9"/>
        <v>0</v>
      </c>
      <c r="EB164">
        <f t="shared" si="9"/>
        <v>0</v>
      </c>
      <c r="EC164">
        <f t="shared" si="9"/>
        <v>0</v>
      </c>
      <c r="ED164">
        <f t="shared" si="9"/>
        <v>0</v>
      </c>
      <c r="EE164">
        <f t="shared" si="9"/>
        <v>0</v>
      </c>
      <c r="EF164">
        <f t="shared" si="9"/>
        <v>0</v>
      </c>
      <c r="EG164">
        <f t="shared" si="9"/>
        <v>0</v>
      </c>
      <c r="EH164">
        <f t="shared" si="9"/>
        <v>0</v>
      </c>
      <c r="EI164">
        <f t="shared" si="9"/>
        <v>0</v>
      </c>
      <c r="EJ164">
        <f t="shared" si="9"/>
        <v>0</v>
      </c>
      <c r="EK164">
        <f t="shared" si="9"/>
        <v>0</v>
      </c>
      <c r="EL164">
        <f t="shared" si="9"/>
        <v>0</v>
      </c>
      <c r="EM164">
        <f t="shared" si="9"/>
        <v>0</v>
      </c>
      <c r="EN164">
        <f t="shared" si="9"/>
        <v>0</v>
      </c>
      <c r="EO164">
        <f t="shared" si="9"/>
        <v>0</v>
      </c>
      <c r="EP164">
        <f t="shared" si="9"/>
        <v>0</v>
      </c>
      <c r="EQ164">
        <f t="shared" si="9"/>
        <v>0</v>
      </c>
      <c r="ER164">
        <f t="shared" si="9"/>
        <v>0</v>
      </c>
      <c r="ES164">
        <f t="shared" si="9"/>
        <v>0</v>
      </c>
      <c r="ET164">
        <f t="shared" si="9"/>
        <v>0</v>
      </c>
      <c r="EU164">
        <f t="shared" si="9"/>
        <v>0</v>
      </c>
      <c r="EV164">
        <f t="shared" si="9"/>
        <v>0</v>
      </c>
      <c r="EW164">
        <f t="shared" si="9"/>
        <v>0</v>
      </c>
      <c r="EX164">
        <f t="shared" si="9"/>
        <v>0</v>
      </c>
      <c r="EY164">
        <f t="shared" si="9"/>
        <v>0</v>
      </c>
      <c r="EZ164">
        <f t="shared" si="9"/>
        <v>0</v>
      </c>
      <c r="FA164">
        <f t="shared" si="9"/>
        <v>0</v>
      </c>
      <c r="FB164">
        <f t="shared" si="9"/>
        <v>0</v>
      </c>
      <c r="FC164">
        <f t="shared" si="9"/>
        <v>0</v>
      </c>
      <c r="FD164">
        <f t="shared" si="9"/>
        <v>0</v>
      </c>
      <c r="FE164">
        <f t="shared" si="9"/>
        <v>0</v>
      </c>
      <c r="FF164">
        <f t="shared" si="9"/>
        <v>0</v>
      </c>
      <c r="FG164">
        <f t="shared" si="9"/>
        <v>0</v>
      </c>
      <c r="FH164">
        <f t="shared" si="9"/>
        <v>0</v>
      </c>
      <c r="FI164">
        <f t="shared" si="9"/>
        <v>0</v>
      </c>
      <c r="FJ164">
        <f t="shared" si="9"/>
        <v>0</v>
      </c>
      <c r="FK164">
        <f t="shared" si="9"/>
        <v>0</v>
      </c>
      <c r="FL164">
        <f t="shared" si="9"/>
        <v>0</v>
      </c>
      <c r="FM164">
        <f t="shared" si="9"/>
        <v>0</v>
      </c>
      <c r="FN164">
        <f t="shared" si="9"/>
        <v>0</v>
      </c>
      <c r="FO164">
        <f t="shared" si="9"/>
        <v>0</v>
      </c>
      <c r="FP164">
        <f t="shared" si="9"/>
        <v>0</v>
      </c>
      <c r="FQ164">
        <f t="shared" si="9"/>
        <v>0</v>
      </c>
      <c r="FR164">
        <f t="shared" si="9"/>
        <v>0</v>
      </c>
      <c r="FS164">
        <f t="shared" si="9"/>
        <v>0</v>
      </c>
      <c r="FT164">
        <f t="shared" si="9"/>
        <v>0</v>
      </c>
      <c r="FU164">
        <f t="shared" si="9"/>
        <v>0</v>
      </c>
      <c r="FV164">
        <f t="shared" ref="FV164:GQ164" si="10">FU164</f>
        <v>0</v>
      </c>
      <c r="FW164">
        <f t="shared" si="10"/>
        <v>0</v>
      </c>
      <c r="FX164">
        <f t="shared" si="10"/>
        <v>0</v>
      </c>
      <c r="FY164">
        <f t="shared" si="10"/>
        <v>0</v>
      </c>
      <c r="FZ164">
        <f t="shared" si="10"/>
        <v>0</v>
      </c>
      <c r="GA164">
        <f t="shared" si="10"/>
        <v>0</v>
      </c>
      <c r="GB164">
        <f t="shared" si="10"/>
        <v>0</v>
      </c>
      <c r="GC164">
        <f t="shared" si="10"/>
        <v>0</v>
      </c>
      <c r="GD164">
        <f t="shared" si="10"/>
        <v>0</v>
      </c>
      <c r="GE164">
        <f t="shared" si="10"/>
        <v>0</v>
      </c>
      <c r="GF164">
        <f t="shared" si="10"/>
        <v>0</v>
      </c>
      <c r="GG164">
        <f t="shared" si="10"/>
        <v>0</v>
      </c>
      <c r="GH164">
        <f t="shared" si="10"/>
        <v>0</v>
      </c>
      <c r="GI164">
        <f t="shared" si="10"/>
        <v>0</v>
      </c>
      <c r="GJ164">
        <f t="shared" si="10"/>
        <v>0</v>
      </c>
      <c r="GK164">
        <f t="shared" si="10"/>
        <v>0</v>
      </c>
      <c r="GL164">
        <f t="shared" si="10"/>
        <v>0</v>
      </c>
      <c r="GM164">
        <f t="shared" si="10"/>
        <v>0</v>
      </c>
      <c r="GN164">
        <f t="shared" si="10"/>
        <v>0</v>
      </c>
      <c r="GO164">
        <f t="shared" si="10"/>
        <v>0</v>
      </c>
      <c r="GP164">
        <f t="shared" si="10"/>
        <v>0</v>
      </c>
      <c r="GQ164">
        <f t="shared" si="10"/>
        <v>0</v>
      </c>
    </row>
    <row r="165" spans="1:199" x14ac:dyDescent="0.25">
      <c r="A165" s="68"/>
      <c r="C165" t="s">
        <v>154</v>
      </c>
      <c r="D165" s="34">
        <v>4</v>
      </c>
      <c r="Q165">
        <f>M228 + $D225 * ((M227 - ($D219 + $D223)*M228 + $D223*M229 - M230) /$D217)</f>
        <v>6.070323842256367</v>
      </c>
      <c r="R165">
        <f t="shared" ref="R165:AW165" si="11">Q165 + $D225 * ((Q164 - ($D219 + $D223)*Q165 + $D223*Q166 - Q167) /$D217)</f>
        <v>7.0354245006684657</v>
      </c>
      <c r="S165">
        <f t="shared" si="11"/>
        <v>7.9867157431989018</v>
      </c>
      <c r="T165">
        <f t="shared" si="11"/>
        <v>8.9240316585023827</v>
      </c>
      <c r="U165">
        <f t="shared" si="11"/>
        <v>9.8472141092863215</v>
      </c>
      <c r="V165">
        <f t="shared" si="11"/>
        <v>10.756112698300861</v>
      </c>
      <c r="W165">
        <f t="shared" si="11"/>
        <v>11.65058473160958</v>
      </c>
      <c r="X165">
        <f t="shared" si="11"/>
        <v>12.530495179190261</v>
      </c>
      <c r="Y165">
        <f t="shared" si="11"/>
        <v>13.395716632915503</v>
      </c>
      <c r="Z165">
        <f t="shared" si="11"/>
        <v>14.246129261963457</v>
      </c>
      <c r="AA165">
        <f t="shared" si="11"/>
        <v>15.081620765709317</v>
      </c>
      <c r="AB165">
        <f t="shared" si="11"/>
        <v>15.90208632414865</v>
      </c>
      <c r="AC165">
        <f t="shared" si="11"/>
        <v>16.707428545903923</v>
      </c>
      <c r="AD165">
        <f t="shared" si="11"/>
        <v>17.497557413866001</v>
      </c>
      <c r="AE165">
        <f t="shared" si="11"/>
        <v>18.272390228522642</v>
      </c>
      <c r="AF165">
        <f t="shared" si="11"/>
        <v>19.031851549026317</v>
      </c>
      <c r="AG165">
        <f t="shared" si="11"/>
        <v>19.775873132053949</v>
      </c>
      <c r="AH165">
        <f t="shared" si="11"/>
        <v>20.504393868511375</v>
      </c>
      <c r="AI165">
        <f t="shared" si="11"/>
        <v>21.217359718135565</v>
      </c>
      <c r="AJ165">
        <f t="shared" si="11"/>
        <v>21.914723642047825</v>
      </c>
      <c r="AK165">
        <f t="shared" si="11"/>
        <v>22.596445533311314</v>
      </c>
      <c r="AL165">
        <f t="shared" si="11"/>
        <v>23.262492145546435</v>
      </c>
      <c r="AM165">
        <f t="shared" si="11"/>
        <v>23.912837019657687</v>
      </c>
      <c r="AN165">
        <f t="shared" si="11"/>
        <v>24.547460408725691</v>
      </c>
      <c r="AO165">
        <f t="shared" si="11"/>
        <v>25.166349201118202</v>
      </c>
      <c r="AP165">
        <f t="shared" si="11"/>
        <v>25.769496841873874</v>
      </c>
      <c r="AQ165">
        <f t="shared" si="11"/>
        <v>26.356903252412685</v>
      </c>
      <c r="AR165">
        <f t="shared" si="11"/>
        <v>26.928574748626815</v>
      </c>
      <c r="AS165">
        <f t="shared" si="11"/>
        <v>27.484523957405841</v>
      </c>
      <c r="AT165">
        <f t="shared" si="11"/>
        <v>28.02476973164999</v>
      </c>
      <c r="AU165">
        <f t="shared" si="11"/>
        <v>28.549337063825185</v>
      </c>
      <c r="AV165">
        <f t="shared" si="11"/>
        <v>29.058256998113524</v>
      </c>
      <c r="AW165">
        <f t="shared" si="11"/>
        <v>29.551566541212676</v>
      </c>
      <c r="AX165">
        <f t="shared" ref="AX165:CC165" si="12">AW165 + $D225 * ((AW164 - ($D219 + $D223)*AW165 + $D223*AW166 - AW167) /$D217)</f>
        <v>30.029308571837614</v>
      </c>
      <c r="AY165">
        <f t="shared" si="12"/>
        <v>30.491531748977923</v>
      </c>
      <c r="AZ165">
        <f t="shared" si="12"/>
        <v>30.938290418963764</v>
      </c>
      <c r="BA165">
        <f t="shared" si="12"/>
        <v>31.369644521393372</v>
      </c>
      <c r="BB165">
        <f t="shared" si="12"/>
        <v>31.785659493974798</v>
      </c>
      <c r="BC165">
        <f t="shared" si="12"/>
        <v>32.186406176334323</v>
      </c>
      <c r="BD165">
        <f t="shared" si="12"/>
        <v>32.571960712843804</v>
      </c>
      <c r="BE165">
        <f t="shared" si="12"/>
        <v>32.942404454518851</v>
      </c>
      <c r="BF165">
        <f t="shared" si="12"/>
        <v>33.297823860039557</v>
      </c>
      <c r="BG165">
        <f t="shared" si="12"/>
        <v>33.638310395945162</v>
      </c>
      <c r="BH165">
        <f t="shared" si="12"/>
        <v>33.963960436053675</v>
      </c>
      <c r="BI165">
        <f t="shared" si="12"/>
        <v>34.274875160157244</v>
      </c>
      <c r="BJ165">
        <f t="shared" si="12"/>
        <v>34.571160452043593</v>
      </c>
      <c r="BK165">
        <f t="shared" si="12"/>
        <v>34.85292679689362</v>
      </c>
      <c r="BL165">
        <f t="shared" si="12"/>
        <v>35.120289178104784</v>
      </c>
      <c r="BM165">
        <f t="shared" si="12"/>
        <v>35.373366973589469</v>
      </c>
      <c r="BN165">
        <f t="shared" si="12"/>
        <v>35.612283851597269</v>
      </c>
      <c r="BO165">
        <f t="shared" si="12"/>
        <v>35.837167666109529</v>
      </c>
      <c r="BP165">
        <f t="shared" si="12"/>
        <v>36.048150351854161</v>
      </c>
      <c r="BQ165">
        <f t="shared" si="12"/>
        <v>36.245367818988242</v>
      </c>
      <c r="BR165">
        <f t="shared" si="12"/>
        <v>36.428959847495477</v>
      </c>
      <c r="BS165">
        <f t="shared" si="12"/>
        <v>36.59906998134506</v>
      </c>
      <c r="BT165">
        <f t="shared" si="12"/>
        <v>36.755845422458108</v>
      </c>
      <c r="BU165">
        <f t="shared" si="12"/>
        <v>36.89943692452713</v>
      </c>
      <c r="BV165">
        <f t="shared" si="12"/>
        <v>37.029998686733734</v>
      </c>
      <c r="BW165">
        <f t="shared" si="12"/>
        <v>37.147688247408972</v>
      </c>
      <c r="BX165">
        <f t="shared" si="12"/>
        <v>37.252666377680434</v>
      </c>
      <c r="BY165">
        <f t="shared" si="12"/>
        <v>37.345096975149481</v>
      </c>
      <c r="BZ165">
        <f t="shared" si="12"/>
        <v>37.425146957641495</v>
      </c>
      <c r="CA165">
        <f t="shared" si="12"/>
        <v>37.492986157071499</v>
      </c>
      <c r="CB165">
        <f t="shared" si="12"/>
        <v>37.548787213466831</v>
      </c>
      <c r="CC165">
        <f t="shared" si="12"/>
        <v>37.592725469188032</v>
      </c>
      <c r="CD165">
        <f t="shared" ref="CD165:DI165" si="13">CC165 + $D225 * ((CC164 - ($D219 + $D223)*CC165 + $D223*CC166 - CC167) /$D217)</f>
        <v>37.624978863388492</v>
      </c>
      <c r="CE165">
        <f t="shared" si="13"/>
        <v>37.645727826752776</v>
      </c>
      <c r="CF165">
        <f t="shared" si="13"/>
        <v>37.655155176552903</v>
      </c>
      <c r="CG165">
        <f t="shared" si="13"/>
        <v>37.653446012061309</v>
      </c>
      <c r="CH165">
        <f t="shared" si="13"/>
        <v>37.640787610358537</v>
      </c>
      <c r="CI165">
        <f t="shared" si="13"/>
        <v>37.617369322573005</v>
      </c>
      <c r="CJ165">
        <f t="shared" si="13"/>
        <v>37.583382470589662</v>
      </c>
      <c r="CK165">
        <f t="shared" si="13"/>
        <v>37.539020244263611</v>
      </c>
      <c r="CL165">
        <f t="shared" si="13"/>
        <v>37.484477599174149</v>
      </c>
      <c r="CM165">
        <f t="shared" si="13"/>
        <v>37.419951154953964</v>
      </c>
      <c r="CN165">
        <f t="shared" si="13"/>
        <v>37.345639094227607</v>
      </c>
      <c r="CO165">
        <f t="shared" si="13"/>
        <v>37.261741062192662</v>
      </c>
      <c r="CP165">
        <f t="shared" si="13"/>
        <v>37.168458066876312</v>
      </c>
      <c r="CQ165">
        <f t="shared" si="13"/>
        <v>37.065992380099381</v>
      </c>
      <c r="CR165">
        <f t="shared" si="13"/>
        <v>36.954547439179187</v>
      </c>
      <c r="CS165">
        <f t="shared" si="13"/>
        <v>36.834327749401837</v>
      </c>
      <c r="CT165">
        <f t="shared" si="13"/>
        <v>36.705538787293953</v>
      </c>
      <c r="CU165">
        <f t="shared" si="13"/>
        <v>36.568386904723049</v>
      </c>
      <c r="CV165">
        <f t="shared" si="13"/>
        <v>36.423079233855077</v>
      </c>
      <c r="CW165">
        <f t="shared" si="13"/>
        <v>36.269823592997064</v>
      </c>
      <c r="CX165">
        <f t="shared" si="13"/>
        <v>36.108828393351807</v>
      </c>
      <c r="CY165">
        <f t="shared" si="13"/>
        <v>35.940302546711209</v>
      </c>
      <c r="CZ165">
        <f t="shared" si="13"/>
        <v>35.764455374113751</v>
      </c>
      <c r="DA165">
        <f t="shared" si="13"/>
        <v>35.581496515491253</v>
      </c>
      <c r="DB165">
        <f t="shared" si="13"/>
        <v>35.391635840329016</v>
      </c>
      <c r="DC165">
        <f t="shared" si="13"/>
        <v>35.195083359363004</v>
      </c>
      <c r="DD165">
        <f t="shared" si="13"/>
        <v>34.992049137336792</v>
      </c>
      <c r="DE165">
        <f t="shared" si="13"/>
        <v>34.782743206840422</v>
      </c>
      <c r="DF165">
        <f t="shared" si="13"/>
        <v>34.567375483252491</v>
      </c>
      <c r="DG165">
        <f t="shared" si="13"/>
        <v>34.346155680806191</v>
      </c>
      <c r="DH165">
        <f t="shared" si="13"/>
        <v>34.119293229799169</v>
      </c>
      <c r="DI165">
        <f t="shared" si="13"/>
        <v>32.842963104057375</v>
      </c>
      <c r="DJ165">
        <f t="shared" ref="DJ165:EO165" si="14">DI165 + $D225 * ((DI164 - ($D219 + $D223)*DI165 + $D223*DI166 - DI167) /$D217)</f>
        <v>31.574057156196606</v>
      </c>
      <c r="DK165">
        <f t="shared" si="14"/>
        <v>30.312996591189499</v>
      </c>
      <c r="DL165">
        <f t="shared" si="14"/>
        <v>29.06019409241652</v>
      </c>
      <c r="DM165">
        <f t="shared" si="14"/>
        <v>27.816053761555931</v>
      </c>
      <c r="DN165">
        <f t="shared" si="14"/>
        <v>26.580971062726455</v>
      </c>
      <c r="DO165">
        <f t="shared" si="14"/>
        <v>25.355332770851529</v>
      </c>
      <c r="DP165">
        <f t="shared" si="14"/>
        <v>24.139516924212771</v>
      </c>
      <c r="DQ165">
        <f t="shared" si="14"/>
        <v>22.933892781158931</v>
      </c>
      <c r="DR165">
        <f t="shared" si="14"/>
        <v>21.738820780935402</v>
      </c>
      <c r="DS165">
        <f t="shared" si="14"/>
        <v>20.554652508598039</v>
      </c>
      <c r="DT165">
        <f t="shared" si="14"/>
        <v>19.381730663973965</v>
      </c>
      <c r="DU165">
        <f t="shared" si="14"/>
        <v>18.220389034630706</v>
      </c>
      <c r="DV165">
        <f t="shared" si="14"/>
        <v>17.070952472813985</v>
      </c>
      <c r="DW165">
        <f t="shared" si="14"/>
        <v>15.933736876313358</v>
      </c>
      <c r="DX165">
        <f t="shared" si="14"/>
        <v>14.809049173213715</v>
      </c>
      <c r="DY165">
        <f t="shared" si="14"/>
        <v>13.697187310489774</v>
      </c>
      <c r="DZ165">
        <f t="shared" si="14"/>
        <v>12.5984402463995</v>
      </c>
      <c r="EA165">
        <f t="shared" si="14"/>
        <v>11.513087946631538</v>
      </c>
      <c r="EB165">
        <f t="shared" si="14"/>
        <v>10.441401384160693</v>
      </c>
      <c r="EC165">
        <f t="shared" si="14"/>
        <v>9.3836425427646191</v>
      </c>
      <c r="ED165">
        <f t="shared" si="14"/>
        <v>8.3400644241539457</v>
      </c>
      <c r="EE165">
        <f t="shared" si="14"/>
        <v>7.3109110586672443</v>
      </c>
      <c r="EF165">
        <f t="shared" si="14"/>
        <v>6.2964175194813459</v>
      </c>
      <c r="EG165">
        <f t="shared" si="14"/>
        <v>5.2968099402867708</v>
      </c>
      <c r="EH165">
        <f t="shared" si="14"/>
        <v>4.3123055363772309</v>
      </c>
      <c r="EI165">
        <f t="shared" si="14"/>
        <v>3.3431126291014204</v>
      </c>
      <c r="EJ165">
        <f t="shared" si="14"/>
        <v>2.3894306736246023</v>
      </c>
      <c r="EK165">
        <f t="shared" si="14"/>
        <v>1.4514502899468222</v>
      </c>
      <c r="EL165">
        <f t="shared" si="14"/>
        <v>0.52935329712391477</v>
      </c>
      <c r="EM165">
        <f t="shared" si="14"/>
        <v>-0.37668724936314235</v>
      </c>
      <c r="EN165">
        <f t="shared" si="14"/>
        <v>-1.266507017145571</v>
      </c>
      <c r="EO165">
        <f t="shared" si="14"/>
        <v>-2.1399503534664355</v>
      </c>
      <c r="EP165">
        <f t="shared" ref="EP165:FU165" si="15">EO165 + $D225 * ((EO164 - ($D219 + $D223)*EO165 + $D223*EO166 - EO167) /$D217)</f>
        <v>-2.9968702386987216</v>
      </c>
      <c r="EQ165">
        <f t="shared" si="15"/>
        <v>-3.8371282369384945</v>
      </c>
      <c r="ER165">
        <f t="shared" si="15"/>
        <v>-4.6605944437302442</v>
      </c>
      <c r="ES165">
        <f t="shared" si="15"/>
        <v>-5.4671474309819796</v>
      </c>
      <c r="ET165">
        <f t="shared" si="15"/>
        <v>-6.2566741891280442</v>
      </c>
      <c r="EU165">
        <f t="shared" si="15"/>
        <v>-7.0290700665980115</v>
      </c>
      <c r="EV165">
        <f t="shared" si="15"/>
        <v>-7.7842387066503784</v>
      </c>
      <c r="EW165">
        <f t="shared" si="15"/>
        <v>-8.5220919816301031</v>
      </c>
      <c r="EX165">
        <f t="shared" si="15"/>
        <v>-9.2425499247093335</v>
      </c>
      <c r="EY165">
        <f t="shared" si="15"/>
        <v>-9.9455406591709501</v>
      </c>
      <c r="EZ165">
        <f t="shared" si="15"/>
        <v>-10.631000325294789</v>
      </c>
      <c r="FA165">
        <f t="shared" si="15"/>
        <v>-11.298873004906627</v>
      </c>
      <c r="FB165">
        <f t="shared" si="15"/>
        <v>-11.949110643650215</v>
      </c>
      <c r="FC165">
        <f t="shared" si="15"/>
        <v>-12.581672971042778</v>
      </c>
      <c r="FD165">
        <f t="shared" si="15"/>
        <v>-13.196527418374581</v>
      </c>
      <c r="FE165">
        <f t="shared" si="15"/>
        <v>-13.793649034513239</v>
      </c>
      <c r="FF165">
        <f t="shared" si="15"/>
        <v>-14.373020399673534</v>
      </c>
      <c r="FG165">
        <f t="shared" si="15"/>
        <v>-14.934631537213589</v>
      </c>
      <c r="FH165">
        <f t="shared" si="15"/>
        <v>-15.478479823518251</v>
      </c>
      <c r="FI165">
        <f t="shared" si="15"/>
        <v>-16.004569896030553</v>
      </c>
      <c r="FJ165">
        <f t="shared" si="15"/>
        <v>-16.51291355949213</v>
      </c>
      <c r="FK165">
        <f t="shared" si="15"/>
        <v>-17.003529690453377</v>
      </c>
      <c r="FL165">
        <f t="shared" si="15"/>
        <v>-17.476444140114118</v>
      </c>
      <c r="FM165">
        <f t="shared" si="15"/>
        <v>-17.93168963555545</v>
      </c>
      <c r="FN165">
        <f t="shared" si="15"/>
        <v>-18.369305679423288</v>
      </c>
      <c r="FO165">
        <f t="shared" si="15"/>
        <v>-18.789338448124045</v>
      </c>
      <c r="FP165">
        <f t="shared" si="15"/>
        <v>-19.191840688592684</v>
      </c>
      <c r="FQ165">
        <f t="shared" si="15"/>
        <v>-19.576871613693221</v>
      </c>
      <c r="FR165">
        <f t="shared" si="15"/>
        <v>-19.944496796311551</v>
      </c>
      <c r="FS165">
        <f t="shared" si="15"/>
        <v>-20.294788062200219</v>
      </c>
      <c r="FT165">
        <f t="shared" si="15"/>
        <v>-20.62782338163457</v>
      </c>
      <c r="FU165">
        <f t="shared" si="15"/>
        <v>-20.94368675993935</v>
      </c>
      <c r="FV165">
        <f t="shared" ref="FV165:GQ165" si="16">FU165 + $D225 * ((FU164 - ($D219 + $D223)*FU165 + $D223*FU166 - FU167) /$D217)</f>
        <v>-21.242468126944654</v>
      </c>
      <c r="FW165">
        <f t="shared" si="16"/>
        <v>-21.524263225429721</v>
      </c>
      <c r="FX165">
        <f t="shared" si="16"/>
        <v>-21.789173498612762</v>
      </c>
      <c r="FY165">
        <f t="shared" si="16"/>
        <v>-22.037305976744729</v>
      </c>
      <c r="FZ165">
        <f t="shared" si="16"/>
        <v>-22.268773162864449</v>
      </c>
      <c r="GA165">
        <f t="shared" si="16"/>
        <v>-22.483692917772267</v>
      </c>
      <c r="GB165">
        <f t="shared" si="16"/>
        <v>-22.682188344278867</v>
      </c>
      <c r="GC165">
        <f t="shared" si="16"/>
        <v>-22.864387670785565</v>
      </c>
      <c r="GD165">
        <f t="shared" si="16"/>
        <v>-23.030424134251884</v>
      </c>
      <c r="GE165">
        <f t="shared" si="16"/>
        <v>-23.180435862605812</v>
      </c>
      <c r="GF165">
        <f t="shared" si="16"/>
        <v>-23.314565756651628</v>
      </c>
      <c r="GG165">
        <f t="shared" si="16"/>
        <v>-23.432961371529714</v>
      </c>
      <c r="GH165">
        <f t="shared" si="16"/>
        <v>-23.535774797782249</v>
      </c>
      <c r="GI165">
        <f t="shared" si="16"/>
        <v>-23.623162542078191</v>
      </c>
      <c r="GJ165">
        <f t="shared" si="16"/>
        <v>-23.695285407650378</v>
      </c>
      <c r="GK165">
        <f t="shared" si="16"/>
        <v>-23.752308374497034</v>
      </c>
      <c r="GL165">
        <f t="shared" si="16"/>
        <v>-23.794400479399442</v>
      </c>
      <c r="GM165">
        <f t="shared" si="16"/>
        <v>-23.821734695806896</v>
      </c>
      <c r="GN165">
        <f t="shared" si="16"/>
        <v>-23.834487813639527</v>
      </c>
      <c r="GO165">
        <f t="shared" si="16"/>
        <v>-23.832840319058917</v>
      </c>
      <c r="GP165">
        <f t="shared" si="16"/>
        <v>-23.816976274255861</v>
      </c>
      <c r="GQ165">
        <f t="shared" si="16"/>
        <v>-23.787083197303968</v>
      </c>
    </row>
    <row r="166" spans="1:199" x14ac:dyDescent="0.25">
      <c r="A166" s="68"/>
      <c r="C166" t="s">
        <v>148</v>
      </c>
      <c r="D166" s="18">
        <f>D164-(D165*2)</f>
        <v>66</v>
      </c>
      <c r="E166" t="s">
        <v>110</v>
      </c>
      <c r="Q166" s="1">
        <f>M229 + $D225 * (($D223*(M228 - M229) + M230) /$D218)</f>
        <v>1.945541599549587E-2</v>
      </c>
      <c r="R166" s="1">
        <f t="shared" ref="R166:AW166" si="17">Q166 + $D225 * (($D223*(Q165 - Q166) + Q167) /$D218)</f>
        <v>2.7435038550643685E-2</v>
      </c>
      <c r="S166" s="1">
        <f t="shared" si="17"/>
        <v>3.6839051499635837E-2</v>
      </c>
      <c r="T166" s="1">
        <f t="shared" si="17"/>
        <v>4.7692001415544916E-2</v>
      </c>
      <c r="U166" s="1">
        <f t="shared" si="17"/>
        <v>6.0017522579625456E-2</v>
      </c>
      <c r="V166" s="1">
        <f t="shared" si="17"/>
        <v>7.3838338910083276E-2</v>
      </c>
      <c r="W166" s="1">
        <f t="shared" si="17"/>
        <v>8.9176266236890456E-2</v>
      </c>
      <c r="X166" s="1">
        <f t="shared" si="17"/>
        <v>0.10605221491734187</v>
      </c>
      <c r="Y166" s="1">
        <f t="shared" si="17"/>
        <v>0.12448619278697762</v>
      </c>
      <c r="Z166" s="1">
        <f t="shared" si="17"/>
        <v>0.14449730844042713</v>
      </c>
      <c r="AA166" s="1">
        <f t="shared" si="17"/>
        <v>0.16610377483666572</v>
      </c>
      <c r="AB166" s="1">
        <f t="shared" si="17"/>
        <v>0.18932291322311137</v>
      </c>
      <c r="AC166" s="1">
        <f t="shared" si="17"/>
        <v>0.21417115737293127</v>
      </c>
      <c r="AD166" s="1">
        <f t="shared" si="17"/>
        <v>0.24066405812987027</v>
      </c>
      <c r="AE166" s="1">
        <f t="shared" si="17"/>
        <v>0.26881628825486126</v>
      </c>
      <c r="AF166" s="1">
        <f t="shared" si="17"/>
        <v>0.29864164756862671</v>
      </c>
      <c r="AG166" s="1">
        <f t="shared" si="17"/>
        <v>0.33015306838443365</v>
      </c>
      <c r="AH166" s="1">
        <f t="shared" si="17"/>
        <v>0.36336262122511997</v>
      </c>
      <c r="AI166" s="1">
        <f t="shared" si="17"/>
        <v>0.39828152081846918</v>
      </c>
      <c r="AJ166" s="1">
        <f t="shared" si="17"/>
        <v>0.43492013236497151</v>
      </c>
      <c r="AK166" s="1">
        <f t="shared" si="17"/>
        <v>0.47328797807197487</v>
      </c>
      <c r="AL166" s="1">
        <f t="shared" si="17"/>
        <v>0.51339374394819604</v>
      </c>
      <c r="AM166" s="1">
        <f t="shared" si="17"/>
        <v>0.55524528685253283</v>
      </c>
      <c r="AN166" s="1">
        <f t="shared" si="17"/>
        <v>0.59884964179109113</v>
      </c>
      <c r="AO166" s="1">
        <f t="shared" si="17"/>
        <v>0.64421302945631764</v>
      </c>
      <c r="AP166" s="1">
        <f t="shared" si="17"/>
        <v>0.69134086400210593</v>
      </c>
      <c r="AQ166" s="1">
        <f t="shared" si="17"/>
        <v>0.74023776104872718</v>
      </c>
      <c r="AR166" s="1">
        <f t="shared" si="17"/>
        <v>0.79090754591141987</v>
      </c>
      <c r="AS166" s="1">
        <f t="shared" si="17"/>
        <v>0.84335326204645988</v>
      </c>
      <c r="AT166" s="1">
        <f t="shared" si="17"/>
        <v>0.89757717970852291</v>
      </c>
      <c r="AU166" s="1">
        <f t="shared" si="17"/>
        <v>0.95358080481314245</v>
      </c>
      <c r="AV166" s="1">
        <f t="shared" si="17"/>
        <v>1.0113648879980617</v>
      </c>
      <c r="AW166" s="1">
        <f t="shared" si="17"/>
        <v>1.0709294338772766</v>
      </c>
      <c r="AX166" s="1">
        <f t="shared" ref="AX166:CC166" si="18">AW166 + $D225 * (($D223*(AW165 - AW166) + AW167) /$D218)</f>
        <v>1.1322737104815643</v>
      </c>
      <c r="AY166" s="1">
        <f t="shared" si="18"/>
        <v>1.1953962588792986</v>
      </c>
      <c r="AZ166" s="1">
        <f t="shared" si="18"/>
        <v>1.2602949029713526</v>
      </c>
      <c r="BA166" s="1">
        <f t="shared" si="18"/>
        <v>1.3269667594539047</v>
      </c>
      <c r="BB166" s="1">
        <f t="shared" si="18"/>
        <v>1.395408247942965</v>
      </c>
      <c r="BC166" s="1">
        <f t="shared" si="18"/>
        <v>1.4656151012544587</v>
      </c>
      <c r="BD166" s="1">
        <f t="shared" si="18"/>
        <v>1.5375823758337135</v>
      </c>
      <c r="BE166" s="1">
        <f t="shared" si="18"/>
        <v>1.6113044623282178</v>
      </c>
      <c r="BF166" s="1">
        <f t="shared" si="18"/>
        <v>1.6867750962975343</v>
      </c>
      <c r="BG166" s="1">
        <f t="shared" si="18"/>
        <v>1.763987369054274</v>
      </c>
      <c r="BH166" s="1">
        <f t="shared" si="18"/>
        <v>1.8429337386300633</v>
      </c>
      <c r="BI166" s="1">
        <f t="shared" si="18"/>
        <v>1.9236060408604587</v>
      </c>
      <c r="BJ166" s="1">
        <f t="shared" si="18"/>
        <v>2.005995500582793</v>
      </c>
      <c r="BK166" s="1">
        <f t="shared" si="18"/>
        <v>2.0900927429409695</v>
      </c>
      <c r="BL166" s="1">
        <f t="shared" si="18"/>
        <v>2.1758878047912478</v>
      </c>
      <c r="BM166" s="1">
        <f t="shared" si="18"/>
        <v>2.2633701462031053</v>
      </c>
      <c r="BN166" s="1">
        <f t="shared" si="18"/>
        <v>2.3525286620492882</v>
      </c>
      <c r="BO166" s="1">
        <f t="shared" si="18"/>
        <v>2.4433516936792108</v>
      </c>
      <c r="BP166" s="1">
        <f t="shared" si="18"/>
        <v>2.5358270406698935</v>
      </c>
      <c r="BQ166" s="1">
        <f t="shared" si="18"/>
        <v>2.6299419726486826</v>
      </c>
      <c r="BR166" s="1">
        <f t="shared" si="18"/>
        <v>2.7256832411820264</v>
      </c>
      <c r="BS166" s="1">
        <f t="shared" si="18"/>
        <v>2.823037091724641</v>
      </c>
      <c r="BT166" s="1">
        <f t="shared" si="18"/>
        <v>2.9219892756234307</v>
      </c>
      <c r="BU166" s="1">
        <f t="shared" si="18"/>
        <v>3.0225250621705939</v>
      </c>
      <c r="BV166" s="1">
        <f t="shared" si="18"/>
        <v>3.1246292507003819</v>
      </c>
      <c r="BW166" s="1">
        <f t="shared" si="18"/>
        <v>3.2282861827240379</v>
      </c>
      <c r="BX166" s="1">
        <f t="shared" si="18"/>
        <v>3.3334797540974948</v>
      </c>
      <c r="BY166" s="1">
        <f t="shared" si="18"/>
        <v>3.440193427216466</v>
      </c>
      <c r="BZ166" s="1">
        <f t="shared" si="18"/>
        <v>3.5484102432336195</v>
      </c>
      <c r="CA166" s="1">
        <f t="shared" si="18"/>
        <v>3.6581128342925866</v>
      </c>
      <c r="CB166" s="1">
        <f t="shared" si="18"/>
        <v>3.7692834357736089</v>
      </c>
      <c r="CC166" s="1">
        <f t="shared" si="18"/>
        <v>3.8819038985456999</v>
      </c>
      <c r="CD166" s="1">
        <f t="shared" ref="CD166:DI166" si="19">CC166 + $D225 * (($D223*(CC165 - CC166) + CC167) /$D218)</f>
        <v>3.9959557012202485</v>
      </c>
      <c r="CE166" s="1">
        <f t="shared" si="19"/>
        <v>4.111419962401059</v>
      </c>
      <c r="CF166" s="1">
        <f t="shared" si="19"/>
        <v>4.2282774529258935</v>
      </c>
      <c r="CG166" s="1">
        <f t="shared" si="19"/>
        <v>4.346508608094636</v>
      </c>
      <c r="CH166" s="1">
        <f t="shared" si="19"/>
        <v>4.4660935398792772</v>
      </c>
      <c r="CI166" s="1">
        <f t="shared" si="19"/>
        <v>4.5870120491109754</v>
      </c>
      <c r="CJ166" s="1">
        <f t="shared" si="19"/>
        <v>4.7092436376395312</v>
      </c>
      <c r="CK166" s="1">
        <f t="shared" si="19"/>
        <v>4.8327675204606724</v>
      </c>
      <c r="CL166" s="1">
        <f t="shared" si="19"/>
        <v>4.9575626378066238</v>
      </c>
      <c r="CM166" s="1">
        <f t="shared" si="19"/>
        <v>5.0836076671955022</v>
      </c>
      <c r="CN166" s="1">
        <f t="shared" si="19"/>
        <v>5.2108810354351611</v>
      </c>
      <c r="CO166" s="1">
        <f t="shared" si="19"/>
        <v>5.339360930577171</v>
      </c>
      <c r="CP166" s="1">
        <f t="shared" si="19"/>
        <v>5.4690253138167062</v>
      </c>
      <c r="CQ166" s="1">
        <f t="shared" si="19"/>
        <v>5.5998519313341744</v>
      </c>
      <c r="CR166" s="1">
        <f t="shared" si="19"/>
        <v>5.7318183260745155</v>
      </c>
      <c r="CS166" s="1">
        <f t="shared" si="19"/>
        <v>5.8649018494601579</v>
      </c>
      <c r="CT166" s="1">
        <f t="shared" si="19"/>
        <v>5.9990796730337088</v>
      </c>
      <c r="CU166" s="1">
        <f t="shared" si="19"/>
        <v>6.1343288000265277</v>
      </c>
      <c r="CV166" s="1">
        <f t="shared" si="19"/>
        <v>6.2706260768494175</v>
      </c>
      <c r="CW166" s="1">
        <f t="shared" si="19"/>
        <v>6.4079482045017384</v>
      </c>
      <c r="CX166" s="1">
        <f t="shared" si="19"/>
        <v>6.546271749895336</v>
      </c>
      <c r="CY166" s="1">
        <f t="shared" si="19"/>
        <v>6.6855731570897525</v>
      </c>
      <c r="CZ166" s="1">
        <f t="shared" si="19"/>
        <v>6.8258287584352741</v>
      </c>
      <c r="DA166" s="1">
        <f t="shared" si="19"/>
        <v>6.9670147856204423</v>
      </c>
      <c r="DB166" s="1">
        <f t="shared" si="19"/>
        <v>7.1091073806207463</v>
      </c>
      <c r="DC166" s="1">
        <f t="shared" si="19"/>
        <v>7.2520826065452884</v>
      </c>
      <c r="DD166" s="1">
        <f t="shared" si="19"/>
        <v>7.3959164583783021</v>
      </c>
      <c r="DE166" s="1">
        <f t="shared" si="19"/>
        <v>7.540584873612481</v>
      </c>
      <c r="DF166" s="1">
        <f t="shared" si="19"/>
        <v>7.68606374277116</v>
      </c>
      <c r="DG166" s="1">
        <f t="shared" si="19"/>
        <v>7.8323289198164741</v>
      </c>
      <c r="DH166" s="1">
        <f t="shared" si="19"/>
        <v>7.9793562324407015</v>
      </c>
      <c r="DI166" s="1">
        <f t="shared" si="19"/>
        <v>8.1271214922380839</v>
      </c>
      <c r="DJ166" s="1">
        <f t="shared" ref="DJ166:EO166" si="20">DI166 + $D225 * (($D223*(DI165 - DI166) + DI167) /$D218)</f>
        <v>8.2743426150354651</v>
      </c>
      <c r="DK166" s="1">
        <f t="shared" si="20"/>
        <v>8.4209653694545903</v>
      </c>
      <c r="DL166" s="1">
        <f t="shared" si="20"/>
        <v>8.566936454101862</v>
      </c>
      <c r="DM166" s="1">
        <f t="shared" si="20"/>
        <v>8.7122035074911111</v>
      </c>
      <c r="DN166" s="1">
        <f t="shared" si="20"/>
        <v>8.8567151174583447</v>
      </c>
      <c r="DO166" s="1">
        <f t="shared" si="20"/>
        <v>9.000420830071068</v>
      </c>
      <c r="DP166" s="1">
        <f t="shared" si="20"/>
        <v>9.1432711580349491</v>
      </c>
      <c r="DQ166" s="1">
        <f t="shared" si="20"/>
        <v>9.285217588600764</v>
      </c>
      <c r="DR166" s="1">
        <f t="shared" si="20"/>
        <v>9.4262125909747283</v>
      </c>
      <c r="DS166" s="1">
        <f t="shared" si="20"/>
        <v>9.566209623235487</v>
      </c>
      <c r="DT166" s="1">
        <f t="shared" si="20"/>
        <v>9.705163138761181</v>
      </c>
      <c r="DU166" s="1">
        <f t="shared" si="20"/>
        <v>9.843028592170187</v>
      </c>
      <c r="DV166" s="1">
        <f t="shared" si="20"/>
        <v>9.9797624447792543</v>
      </c>
      <c r="DW166" s="1">
        <f t="shared" si="20"/>
        <v>10.115322169582933</v>
      </c>
      <c r="DX166" s="1">
        <f t="shared" si="20"/>
        <v>10.249666255758312</v>
      </c>
      <c r="DY166" s="1">
        <f t="shared" si="20"/>
        <v>10.382754212699258</v>
      </c>
      <c r="DZ166" s="1">
        <f t="shared" si="20"/>
        <v>10.514546573584452</v>
      </c>
      <c r="EA166" s="1">
        <f t="shared" si="20"/>
        <v>10.645004898483675</v>
      </c>
      <c r="EB166" s="1">
        <f t="shared" si="20"/>
        <v>10.774091777006923</v>
      </c>
      <c r="EC166" s="1">
        <f t="shared" si="20"/>
        <v>10.901770830501054</v>
      </c>
      <c r="ED166" s="1">
        <f t="shared" si="20"/>
        <v>11.028006713798801</v>
      </c>
      <c r="EE166" s="1">
        <f t="shared" si="20"/>
        <v>11.152765116525108</v>
      </c>
      <c r="EF166" s="1">
        <f t="shared" si="20"/>
        <v>11.276012763965843</v>
      </c>
      <c r="EG166" s="1">
        <f t="shared" si="20"/>
        <v>11.397717417504088</v>
      </c>
      <c r="EH166" s="1">
        <f t="shared" si="20"/>
        <v>11.517847874629293</v>
      </c>
      <c r="EI166" s="1">
        <f t="shared" si="20"/>
        <v>11.636373968524694</v>
      </c>
      <c r="EJ166" s="1">
        <f t="shared" si="20"/>
        <v>11.753266567238501</v>
      </c>
      <c r="EK166" s="1">
        <f t="shared" si="20"/>
        <v>11.868497572444456</v>
      </c>
      <c r="EL166" s="1">
        <f t="shared" si="20"/>
        <v>11.982039917797467</v>
      </c>
      <c r="EM166" s="1">
        <f t="shared" si="20"/>
        <v>12.093867566890108</v>
      </c>
      <c r="EN166" s="1">
        <f t="shared" si="20"/>
        <v>12.203955510815863</v>
      </c>
      <c r="EO166" s="1">
        <f t="shared" si="20"/>
        <v>12.312279765345087</v>
      </c>
      <c r="EP166" s="1">
        <f t="shared" ref="EP166:FU166" si="21">EO166 + $D225 * (($D223*(EO165 - EO166) + EO167) /$D218)</f>
        <v>12.418817367719731</v>
      </c>
      <c r="EQ166" s="1">
        <f t="shared" si="21"/>
        <v>12.523546373072955</v>
      </c>
      <c r="ER166" s="1">
        <f t="shared" si="21"/>
        <v>12.626445850479842</v>
      </c>
      <c r="ES166" s="1">
        <f t="shared" si="21"/>
        <v>12.727495878645474</v>
      </c>
      <c r="ET166" s="1">
        <f t="shared" si="21"/>
        <v>12.82667754123673</v>
      </c>
      <c r="EU166" s="1">
        <f t="shared" si="21"/>
        <v>12.9239729218642</v>
      </c>
      <c r="EV166" s="1">
        <f t="shared" si="21"/>
        <v>13.019365098720684</v>
      </c>
      <c r="EW166" s="1">
        <f t="shared" si="21"/>
        <v>13.112838138882811</v>
      </c>
      <c r="EX166" s="1">
        <f t="shared" si="21"/>
        <v>13.204377092282359</v>
      </c>
      <c r="EY166" s="1">
        <f t="shared" si="21"/>
        <v>13.293967985353898</v>
      </c>
      <c r="EZ166" s="1">
        <f t="shared" si="21"/>
        <v>13.381597814365451</v>
      </c>
      <c r="FA166" s="1">
        <f t="shared" si="21"/>
        <v>13.467254538438874</v>
      </c>
      <c r="FB166" s="1">
        <f t="shared" si="21"/>
        <v>13.550927072266765</v>
      </c>
      <c r="FC166" s="1">
        <f t="shared" si="21"/>
        <v>13.632605278532644</v>
      </c>
      <c r="FD166" s="1">
        <f t="shared" si="21"/>
        <v>13.712279960041304</v>
      </c>
      <c r="FE166" s="1">
        <f t="shared" si="21"/>
        <v>13.789942851566158</v>
      </c>
      <c r="FF166" s="1">
        <f t="shared" si="21"/>
        <v>13.865586611420506</v>
      </c>
      <c r="FG166" s="1">
        <f t="shared" si="21"/>
        <v>13.93920481275963</v>
      </c>
      <c r="FH166" s="1">
        <f t="shared" si="21"/>
        <v>14.010791934620674</v>
      </c>
      <c r="FI166" s="1">
        <f t="shared" si="21"/>
        <v>14.08034335270726</v>
      </c>
      <c r="FJ166" s="1">
        <f t="shared" si="21"/>
        <v>14.147855329925834</v>
      </c>
      <c r="FK166" s="1">
        <f t="shared" si="21"/>
        <v>14.213325006680726</v>
      </c>
      <c r="FL166" s="1">
        <f t="shared" si="21"/>
        <v>14.276750390934925</v>
      </c>
      <c r="FM166" s="1">
        <f t="shared" si="21"/>
        <v>14.338130348043578</v>
      </c>
      <c r="FN166" s="1">
        <f t="shared" si="21"/>
        <v>14.397464590367235</v>
      </c>
      <c r="FO166" s="1">
        <f t="shared" si="21"/>
        <v>14.454753666671841</v>
      </c>
      <c r="FP166" s="1">
        <f t="shared" si="21"/>
        <v>14.509998951322496</v>
      </c>
      <c r="FQ166" s="1">
        <f t="shared" si="21"/>
        <v>14.56320263327798</v>
      </c>
      <c r="FR166" s="1">
        <f t="shared" si="21"/>
        <v>14.614367704893054</v>
      </c>
      <c r="FS166" s="1">
        <f t="shared" si="21"/>
        <v>14.663497950535518</v>
      </c>
      <c r="FT166" s="1">
        <f t="shared" si="21"/>
        <v>14.710597935025005</v>
      </c>
      <c r="FU166" s="1">
        <f t="shared" si="21"/>
        <v>14.755672991900465</v>
      </c>
      <c r="FV166" s="1">
        <f t="shared" ref="FV166:GQ166" si="22">FU166 + $D225 * (($D223*(FU165 - FU166) + FU167) /$D218)</f>
        <v>14.798729211523293</v>
      </c>
      <c r="FW166" s="1">
        <f t="shared" si="22"/>
        <v>14.83977342902301</v>
      </c>
      <c r="FX166" s="1">
        <f t="shared" si="22"/>
        <v>14.8788132120924</v>
      </c>
      <c r="FY166" s="1">
        <f t="shared" si="22"/>
        <v>14.915856848638969</v>
      </c>
      <c r="FZ166" s="1">
        <f t="shared" si="22"/>
        <v>14.950913334299583</v>
      </c>
      <c r="GA166" s="1">
        <f t="shared" si="22"/>
        <v>14.983992359825077</v>
      </c>
      <c r="GB166" s="1">
        <f t="shared" si="22"/>
        <v>15.015104298341626</v>
      </c>
      <c r="GC166" s="1">
        <f t="shared" si="22"/>
        <v>15.044260192495626</v>
      </c>
      <c r="GD166" s="1">
        <f t="shared" si="22"/>
        <v>15.071471741488766</v>
      </c>
      <c r="GE166" s="1">
        <f t="shared" si="22"/>
        <v>15.096751288009996</v>
      </c>
      <c r="GF166" s="1">
        <f t="shared" si="22"/>
        <v>15.120111805070962</v>
      </c>
      <c r="GG166" s="1">
        <f t="shared" si="22"/>
        <v>15.141566882751544</v>
      </c>
      <c r="GH166" s="1">
        <f t="shared" si="22"/>
        <v>15.161130714861972</v>
      </c>
      <c r="GI166" s="1">
        <f t="shared" si="22"/>
        <v>15.17881808552805</v>
      </c>
      <c r="GJ166" s="1">
        <f t="shared" si="22"/>
        <v>15.194644355705885</v>
      </c>
      <c r="GK166" s="1">
        <f t="shared" si="22"/>
        <v>15.208625449632523</v>
      </c>
      <c r="GL166" s="1">
        <f t="shared" si="22"/>
        <v>15.220777841218803</v>
      </c>
      <c r="GM166" s="1">
        <f t="shared" si="22"/>
        <v>15.23111854039071</v>
      </c>
      <c r="GN166" s="1">
        <f t="shared" si="22"/>
        <v>15.239665079385418</v>
      </c>
      <c r="GO166" s="1">
        <f t="shared" si="22"/>
        <v>15.246435499008191</v>
      </c>
      <c r="GP166" s="1">
        <f t="shared" si="22"/>
        <v>15.251448334856228</v>
      </c>
      <c r="GQ166" s="1">
        <f t="shared" si="22"/>
        <v>15.254722603515456</v>
      </c>
    </row>
    <row r="167" spans="1:199" x14ac:dyDescent="0.25">
      <c r="A167" s="68"/>
      <c r="C167" t="s">
        <v>149</v>
      </c>
      <c r="D167" s="18">
        <f>D166/D161</f>
        <v>66</v>
      </c>
      <c r="E167" t="s">
        <v>110</v>
      </c>
      <c r="Q167">
        <f>M230 + $D225 * ((M228 -M229) / $D224)</f>
        <v>0.23558174657519423</v>
      </c>
      <c r="R167">
        <f t="shared" ref="R167:AW167" si="23">Q167 + $D225 * ((Q165 -Q166) / $D224)</f>
        <v>0.32827274575198456</v>
      </c>
      <c r="S167">
        <f t="shared" si="23"/>
        <v>0.43562552550256395</v>
      </c>
      <c r="T167">
        <f t="shared" si="23"/>
        <v>0.55740672482393749</v>
      </c>
      <c r="U167">
        <f t="shared" si="23"/>
        <v>0.6933800651592138</v>
      </c>
      <c r="V167">
        <f t="shared" si="23"/>
        <v>0.84330648346048065</v>
      </c>
      <c r="W167">
        <f t="shared" si="23"/>
        <v>1.0069442647011482</v>
      </c>
      <c r="X167">
        <f t="shared" si="23"/>
        <v>1.1840491737908034</v>
      </c>
      <c r="Y167">
        <f t="shared" si="23"/>
        <v>1.3743745868464547</v>
      </c>
      <c r="Z167">
        <f t="shared" si="23"/>
        <v>1.5776716217748943</v>
      </c>
      <c r="AA167">
        <f t="shared" si="23"/>
        <v>1.7936892681217544</v>
      </c>
      <c r="AB167">
        <f t="shared" si="23"/>
        <v>2.0221745161437008</v>
      </c>
      <c r="AC167">
        <f t="shared" si="23"/>
        <v>2.2628724850610649</v>
      </c>
      <c r="AD167">
        <f t="shared" si="23"/>
        <v>2.5155265504491009</v>
      </c>
      <c r="AE167">
        <f t="shared" si="23"/>
        <v>2.7798784707269215</v>
      </c>
      <c r="AF167">
        <f t="shared" si="23"/>
        <v>3.055668512704063</v>
      </c>
      <c r="AG167">
        <f t="shared" si="23"/>
        <v>3.3426355761455104</v>
      </c>
      <c r="AH167">
        <f t="shared" si="23"/>
        <v>3.6405173173169185</v>
      </c>
      <c r="AI167">
        <f t="shared" si="23"/>
        <v>3.9490502714726516</v>
      </c>
      <c r="AJ167">
        <f t="shared" si="23"/>
        <v>4.2679699742501809</v>
      </c>
      <c r="AK167">
        <f t="shared" si="23"/>
        <v>4.5970110819352739</v>
      </c>
      <c r="AL167">
        <f t="shared" si="23"/>
        <v>4.9359074905633271</v>
      </c>
      <c r="AM167">
        <f t="shared" si="23"/>
        <v>5.284392453823104</v>
      </c>
      <c r="AN167">
        <f t="shared" si="23"/>
        <v>5.642198699730046</v>
      </c>
      <c r="AO167">
        <f t="shared" si="23"/>
        <v>6.009058546037255</v>
      </c>
      <c r="AP167">
        <f t="shared" si="23"/>
        <v>6.3847040143531544</v>
      </c>
      <c r="AQ167">
        <f t="shared" si="23"/>
        <v>6.7688669429357491</v>
      </c>
      <c r="AR167">
        <f t="shared" si="23"/>
        <v>7.1612790981343393</v>
      </c>
      <c r="AS167">
        <f t="shared" si="23"/>
        <v>7.5616722844504451</v>
      </c>
      <c r="AT167">
        <f t="shared" si="23"/>
        <v>7.9697784531906315</v>
      </c>
      <c r="AU167">
        <f t="shared" si="23"/>
        <v>8.3853298096848334</v>
      </c>
      <c r="AV167">
        <f t="shared" si="23"/>
        <v>8.808058919044699</v>
      </c>
      <c r="AW167">
        <f t="shared" si="23"/>
        <v>9.2376988104373989</v>
      </c>
      <c r="AX167">
        <f t="shared" ref="AX167:CC167" si="24">AW167 + $D225 * ((AW165 -AW166) / $D224)</f>
        <v>9.6739830798512383</v>
      </c>
      <c r="AY167">
        <f t="shared" si="24"/>
        <v>10.116645991330344</v>
      </c>
      <c r="AZ167">
        <f t="shared" si="24"/>
        <v>10.56542257665661</v>
      </c>
      <c r="BA167">
        <f t="shared" si="24"/>
        <v>11.020048733457966</v>
      </c>
      <c r="BB167">
        <f t="shared" si="24"/>
        <v>11.480261321722971</v>
      </c>
      <c r="BC167">
        <f t="shared" si="24"/>
        <v>11.945798258702625</v>
      </c>
      <c r="BD167">
        <f t="shared" si="24"/>
        <v>12.416398612181178</v>
      </c>
      <c r="BE167">
        <f t="shared" si="24"/>
        <v>12.891802692098612</v>
      </c>
      <c r="BF167">
        <f t="shared" si="24"/>
        <v>13.371752140508395</v>
      </c>
      <c r="BG167">
        <f t="shared" si="24"/>
        <v>13.855990019854934</v>
      </c>
      <c r="BH167">
        <f t="shared" si="24"/>
        <v>14.344260899556081</v>
      </c>
      <c r="BI167">
        <f t="shared" si="24"/>
        <v>14.836310940876908</v>
      </c>
      <c r="BJ167">
        <f t="shared" si="24"/>
        <v>15.331887980081822</v>
      </c>
      <c r="BK167">
        <f t="shared" si="24"/>
        <v>15.830741609852975</v>
      </c>
      <c r="BL167">
        <f t="shared" si="24"/>
        <v>16.332623258963771</v>
      </c>
      <c r="BM167">
        <f t="shared" si="24"/>
        <v>16.837286270197129</v>
      </c>
      <c r="BN167">
        <f t="shared" si="24"/>
        <v>17.344485976499005</v>
      </c>
      <c r="BO167">
        <f t="shared" si="24"/>
        <v>17.853979775358503</v>
      </c>
      <c r="BP167">
        <f t="shared" si="24"/>
        <v>18.365527201406763</v>
      </c>
      <c r="BQ167">
        <f t="shared" si="24"/>
        <v>18.878889997227603</v>
      </c>
      <c r="BR167">
        <f t="shared" si="24"/>
        <v>19.393832182373735</v>
      </c>
      <c r="BS167">
        <f t="shared" si="24"/>
        <v>19.910120120583194</v>
      </c>
      <c r="BT167">
        <f t="shared" si="24"/>
        <v>20.427522585191351</v>
      </c>
      <c r="BU167">
        <f t="shared" si="24"/>
        <v>20.945810822734774</v>
      </c>
      <c r="BV167">
        <f t="shared" si="24"/>
        <v>21.464758614743914</v>
      </c>
      <c r="BW167">
        <f t="shared" si="24"/>
        <v>21.984142337722368</v>
      </c>
      <c r="BX167">
        <f t="shared" si="24"/>
        <v>22.503741021311292</v>
      </c>
      <c r="BY167">
        <f t="shared" si="24"/>
        <v>23.023336404638236</v>
      </c>
      <c r="BZ167">
        <f t="shared" si="24"/>
        <v>23.542712990850447</v>
      </c>
      <c r="CA167">
        <f t="shared" si="24"/>
        <v>24.061658099833412</v>
      </c>
      <c r="CB167">
        <f t="shared" si="24"/>
        <v>24.579961919116176</v>
      </c>
      <c r="CC167">
        <f t="shared" si="24"/>
        <v>25.097417552965645</v>
      </c>
      <c r="CD167">
        <f t="shared" ref="CD167:DI167" si="25">CC167 + $D225 * ((CC165 -CC166) / $D224)</f>
        <v>25.613821069672788</v>
      </c>
      <c r="CE167">
        <f t="shared" si="25"/>
        <v>26.128971547034435</v>
      </c>
      <c r="CF167">
        <f t="shared" si="25"/>
        <v>26.642671116034922</v>
      </c>
      <c r="CG167">
        <f t="shared" si="25"/>
        <v>27.15472500273264</v>
      </c>
      <c r="CH167">
        <f t="shared" si="25"/>
        <v>27.664941568357129</v>
      </c>
      <c r="CI167">
        <f t="shared" si="25"/>
        <v>28.173132347623049</v>
      </c>
      <c r="CJ167">
        <f t="shared" si="25"/>
        <v>28.679112085267995</v>
      </c>
      <c r="CK167">
        <f t="shared" si="25"/>
        <v>29.182698770821766</v>
      </c>
      <c r="CL167">
        <f t="shared" si="25"/>
        <v>29.683713671615315</v>
      </c>
      <c r="CM167">
        <f t="shared" si="25"/>
        <v>30.181981364038226</v>
      </c>
      <c r="CN167">
        <f t="shared" si="25"/>
        <v>30.677329763054132</v>
      </c>
      <c r="CO167">
        <f t="shared" si="25"/>
        <v>31.169590149984163</v>
      </c>
      <c r="CP167">
        <f t="shared" si="25"/>
        <v>31.658597198568959</v>
      </c>
      <c r="CQ167">
        <f t="shared" si="25"/>
        <v>32.144188999320484</v>
      </c>
      <c r="CR167">
        <f t="shared" si="25"/>
        <v>32.626207082175341</v>
      </c>
      <c r="CS167">
        <f t="shared" si="25"/>
        <v>33.104496437461869</v>
      </c>
      <c r="CT167">
        <f t="shared" si="25"/>
        <v>33.578905535193819</v>
      </c>
      <c r="CU167">
        <f t="shared" si="25"/>
        <v>34.04928634270393</v>
      </c>
      <c r="CV167">
        <f t="shared" si="25"/>
        <v>34.515494340631264</v>
      </c>
      <c r="CW167">
        <f t="shared" si="25"/>
        <v>34.977388537276575</v>
      </c>
      <c r="CX167">
        <f t="shared" si="25"/>
        <v>35.434831481340538</v>
      </c>
      <c r="CY167">
        <f t="shared" si="25"/>
        <v>35.887689273060154</v>
      </c>
      <c r="CZ167">
        <f t="shared" si="25"/>
        <v>36.335831573759009</v>
      </c>
      <c r="DA167">
        <f t="shared" si="25"/>
        <v>36.779131613827616</v>
      </c>
      <c r="DB167">
        <f t="shared" si="25"/>
        <v>37.217466199150394</v>
      </c>
      <c r="DC167">
        <f t="shared" si="25"/>
        <v>37.650715715996412</v>
      </c>
      <c r="DD167">
        <f t="shared" si="25"/>
        <v>38.078764134391292</v>
      </c>
      <c r="DE167">
        <f t="shared" si="25"/>
        <v>38.501499009988081</v>
      </c>
      <c r="DF167">
        <f t="shared" si="25"/>
        <v>38.918811484455418</v>
      </c>
      <c r="DG167">
        <f t="shared" si="25"/>
        <v>39.330596284401516</v>
      </c>
      <c r="DH167">
        <f t="shared" si="25"/>
        <v>39.73675171885295</v>
      </c>
      <c r="DI167">
        <f t="shared" si="25"/>
        <v>40.137179675307586</v>
      </c>
      <c r="DJ167">
        <f t="shared" ref="DJ167:EO167" si="26">DI167 + $D225 * ((DI165 -DI166) / $D224)</f>
        <v>40.515792445096487</v>
      </c>
      <c r="DK167">
        <f t="shared" si="26"/>
        <v>40.872712091866724</v>
      </c>
      <c r="DL167">
        <f t="shared" si="26"/>
        <v>41.208067962297712</v>
      </c>
      <c r="DM167">
        <f t="shared" si="26"/>
        <v>41.521996541316014</v>
      </c>
      <c r="DN167">
        <f t="shared" si="26"/>
        <v>41.814641306237348</v>
      </c>
      <c r="DO167">
        <f t="shared" si="26"/>
        <v>42.086152579908735</v>
      </c>
      <c r="DP167">
        <f t="shared" si="26"/>
        <v>42.336687382923138</v>
      </c>
      <c r="DQ167">
        <f t="shared" si="26"/>
        <v>42.566409284978555</v>
      </c>
      <c r="DR167">
        <f t="shared" si="26"/>
        <v>42.775488255452792</v>
      </c>
      <c r="DS167">
        <f t="shared" si="26"/>
        <v>42.96410051326469</v>
      </c>
      <c r="DT167">
        <f t="shared" si="26"/>
        <v>43.132428376091937</v>
      </c>
      <c r="DU167">
        <f t="shared" si="26"/>
        <v>43.280660109014924</v>
      </c>
      <c r="DV167">
        <f t="shared" si="26"/>
        <v>43.408989772655559</v>
      </c>
      <c r="DW167">
        <f t="shared" si="26"/>
        <v>43.517617070879133</v>
      </c>
      <c r="DX167">
        <f t="shared" si="26"/>
        <v>43.60674719812684</v>
      </c>
      <c r="DY167">
        <f t="shared" si="26"/>
        <v>43.676590686445707</v>
      </c>
      <c r="DZ167">
        <f t="shared" si="26"/>
        <v>43.727363252281961</v>
      </c>
      <c r="EA167">
        <f t="shared" si="26"/>
        <v>43.759285643103269</v>
      </c>
      <c r="EB167">
        <f t="shared" si="26"/>
        <v>43.77258348391436</v>
      </c>
      <c r="EC167">
        <f t="shared" si="26"/>
        <v>43.767487123729829</v>
      </c>
      <c r="ED167">
        <f t="shared" si="26"/>
        <v>43.7442314820672</v>
      </c>
      <c r="EE167">
        <f t="shared" si="26"/>
        <v>43.703055895522397</v>
      </c>
      <c r="EF167">
        <f t="shared" si="26"/>
        <v>43.644203964489037</v>
      </c>
      <c r="EG167">
        <f t="shared" si="26"/>
        <v>43.567923400082108</v>
      </c>
      <c r="EH167">
        <f t="shared" si="26"/>
        <v>43.474465871325712</v>
      </c>
      <c r="EI167">
        <f t="shared" si="26"/>
        <v>43.36408685266376</v>
      </c>
      <c r="EJ167">
        <f t="shared" si="26"/>
        <v>43.237045471851516</v>
      </c>
      <c r="EK167">
        <f t="shared" si="26"/>
        <v>43.093604358285127</v>
      </c>
      <c r="EL167">
        <f t="shared" si="26"/>
        <v>42.934029491825299</v>
      </c>
      <c r="EM167">
        <f t="shared" si="26"/>
        <v>42.758590052170376</v>
      </c>
      <c r="EN167">
        <f t="shared" si="26"/>
        <v>42.56755826883316</v>
      </c>
      <c r="EO167">
        <f t="shared" si="26"/>
        <v>42.361209271774925</v>
      </c>
      <c r="EP167">
        <f t="shared" ref="EP167:FU167" si="27">EO167 + $D225 * ((EO165 -EO166) / $D224)</f>
        <v>42.139820942749012</v>
      </c>
      <c r="EQ167">
        <f t="shared" si="27"/>
        <v>41.903673767405593</v>
      </c>
      <c r="ER167">
        <f t="shared" si="27"/>
        <v>41.653050688208111</v>
      </c>
      <c r="ES167">
        <f t="shared" si="27"/>
        <v>41.388236958211017</v>
      </c>
      <c r="ET167">
        <f t="shared" si="27"/>
        <v>41.109519995747362</v>
      </c>
      <c r="EU167">
        <f t="shared" si="27"/>
        <v>40.81718924007388</v>
      </c>
      <c r="EV167">
        <f t="shared" si="27"/>
        <v>40.511536008020229</v>
      </c>
      <c r="EW167">
        <f t="shared" si="27"/>
        <v>40.192853351687951</v>
      </c>
      <c r="EX167">
        <f t="shared" si="27"/>
        <v>39.861435917243817</v>
      </c>
      <c r="EY167">
        <f t="shared" si="27"/>
        <v>39.517579804851174</v>
      </c>
      <c r="EZ167">
        <f t="shared" si="27"/>
        <v>39.161582429781859</v>
      </c>
      <c r="FA167">
        <f t="shared" si="27"/>
        <v>38.793742384750296</v>
      </c>
      <c r="FB167">
        <f t="shared" si="27"/>
        <v>38.414359303510324</v>
      </c>
      <c r="FC167">
        <f t="shared" si="27"/>
        <v>38.023733725754241</v>
      </c>
      <c r="FD167">
        <f t="shared" si="27"/>
        <v>37.622166963352655</v>
      </c>
      <c r="FE167">
        <f t="shared" si="27"/>
        <v>37.209960967972506</v>
      </c>
      <c r="FF167">
        <f t="shared" si="27"/>
        <v>36.787418200109769</v>
      </c>
      <c r="FG167">
        <f t="shared" si="27"/>
        <v>36.354841499572174</v>
      </c>
      <c r="FH167">
        <f t="shared" si="27"/>
        <v>35.912533957446357</v>
      </c>
      <c r="FI167">
        <f t="shared" si="27"/>
        <v>35.460798789582711</v>
      </c>
      <c r="FJ167">
        <f t="shared" si="27"/>
        <v>34.999939211630235</v>
      </c>
      <c r="FK167">
        <f t="shared" si="27"/>
        <v>34.530258315652631</v>
      </c>
      <c r="FL167">
        <f t="shared" si="27"/>
        <v>34.05205894835585</v>
      </c>
      <c r="FM167">
        <f t="shared" si="27"/>
        <v>33.565643590956199</v>
      </c>
      <c r="FN167">
        <f t="shared" si="27"/>
        <v>33.071314240717243</v>
      </c>
      <c r="FO167">
        <f t="shared" si="27"/>
        <v>32.569372294182465</v>
      </c>
      <c r="FP167">
        <f t="shared" si="27"/>
        <v>32.060118432129833</v>
      </c>
      <c r="FQ167">
        <f t="shared" si="27"/>
        <v>31.543852506273289</v>
      </c>
      <c r="FR167">
        <f t="shared" si="27"/>
        <v>31.020873427735129</v>
      </c>
      <c r="FS167">
        <f t="shared" si="27"/>
        <v>30.491479057312265</v>
      </c>
      <c r="FT167">
        <f t="shared" si="27"/>
        <v>29.955966097558349</v>
      </c>
      <c r="FU167">
        <f t="shared" si="27"/>
        <v>29.414629986702657</v>
      </c>
      <c r="FV167">
        <f t="shared" ref="FV167:GQ167" si="28">FU167 + $D225 * ((FU165 -FU166) / $D224)</f>
        <v>28.8677647944257</v>
      </c>
      <c r="FW167">
        <f t="shared" si="28"/>
        <v>28.315663119510443</v>
      </c>
      <c r="FX167">
        <f t="shared" si="28"/>
        <v>27.758615989387085</v>
      </c>
      <c r="FY167">
        <f t="shared" si="28"/>
        <v>27.196912761588294</v>
      </c>
      <c r="FZ167">
        <f t="shared" si="28"/>
        <v>26.630841027130824</v>
      </c>
      <c r="GA167">
        <f t="shared" si="28"/>
        <v>26.060686515838484</v>
      </c>
      <c r="GB167">
        <f t="shared" si="28"/>
        <v>25.486733003620387</v>
      </c>
      <c r="GC167">
        <f t="shared" si="28"/>
        <v>24.909262221717498</v>
      </c>
      <c r="GD167">
        <f t="shared" si="28"/>
        <v>24.328553767929488</v>
      </c>
      <c r="GE167">
        <f t="shared" si="28"/>
        <v>23.744885019832971</v>
      </c>
      <c r="GF167">
        <f t="shared" si="28"/>
        <v>23.158531050001233</v>
      </c>
      <c r="GG167">
        <f t="shared" si="28"/>
        <v>22.569764543234648</v>
      </c>
      <c r="GH167">
        <f t="shared" si="28"/>
        <v>21.978855715809996</v>
      </c>
      <c r="GI167">
        <f t="shared" si="28"/>
        <v>21.386072236756011</v>
      </c>
      <c r="GJ167">
        <f t="shared" si="28"/>
        <v>20.791679151161553</v>
      </c>
      <c r="GK167">
        <f t="shared" si="28"/>
        <v>20.195938805521905</v>
      </c>
      <c r="GL167">
        <f t="shared" si="28"/>
        <v>19.599110775127762</v>
      </c>
      <c r="GM167">
        <f t="shared" si="28"/>
        <v>19.001451793500646</v>
      </c>
      <c r="GN167">
        <f t="shared" si="28"/>
        <v>18.403215683877519</v>
      </c>
      <c r="GO167">
        <f t="shared" si="28"/>
        <v>17.804653292746622</v>
      </c>
      <c r="GP167">
        <f t="shared" si="28"/>
        <v>17.206012425435546</v>
      </c>
      <c r="GQ167">
        <f t="shared" si="28"/>
        <v>16.607537783751845</v>
      </c>
    </row>
    <row r="168" spans="1:199" x14ac:dyDescent="0.25">
      <c r="A168" s="68"/>
      <c r="C168" t="s">
        <v>150</v>
      </c>
      <c r="D168" s="34">
        <v>0.5</v>
      </c>
      <c r="E168" t="s">
        <v>110</v>
      </c>
      <c r="Q168">
        <f>M231+1</f>
        <v>6</v>
      </c>
      <c r="R168">
        <f t="shared" ref="R168:BX168" si="29">Q168+1</f>
        <v>7</v>
      </c>
      <c r="S168">
        <f t="shared" si="29"/>
        <v>8</v>
      </c>
      <c r="T168">
        <f t="shared" si="29"/>
        <v>9</v>
      </c>
      <c r="U168">
        <f t="shared" si="29"/>
        <v>10</v>
      </c>
      <c r="V168">
        <f t="shared" si="29"/>
        <v>11</v>
      </c>
      <c r="W168">
        <f t="shared" si="29"/>
        <v>12</v>
      </c>
      <c r="X168">
        <f t="shared" si="29"/>
        <v>13</v>
      </c>
      <c r="Y168">
        <f t="shared" si="29"/>
        <v>14</v>
      </c>
      <c r="Z168">
        <f t="shared" si="29"/>
        <v>15</v>
      </c>
      <c r="AA168">
        <f t="shared" si="29"/>
        <v>16</v>
      </c>
      <c r="AB168">
        <f t="shared" si="29"/>
        <v>17</v>
      </c>
      <c r="AC168">
        <f t="shared" si="29"/>
        <v>18</v>
      </c>
      <c r="AD168">
        <f t="shared" si="29"/>
        <v>19</v>
      </c>
      <c r="AE168">
        <f t="shared" si="29"/>
        <v>20</v>
      </c>
      <c r="AF168">
        <f t="shared" si="29"/>
        <v>21</v>
      </c>
      <c r="AG168">
        <f t="shared" si="29"/>
        <v>22</v>
      </c>
      <c r="AH168">
        <f t="shared" si="29"/>
        <v>23</v>
      </c>
      <c r="AI168">
        <f t="shared" si="29"/>
        <v>24</v>
      </c>
      <c r="AJ168">
        <f t="shared" si="29"/>
        <v>25</v>
      </c>
      <c r="AK168">
        <f t="shared" si="29"/>
        <v>26</v>
      </c>
      <c r="AL168">
        <f t="shared" si="29"/>
        <v>27</v>
      </c>
      <c r="AM168">
        <f t="shared" si="29"/>
        <v>28</v>
      </c>
      <c r="AN168">
        <f t="shared" si="29"/>
        <v>29</v>
      </c>
      <c r="AO168">
        <f t="shared" si="29"/>
        <v>30</v>
      </c>
      <c r="AP168">
        <f t="shared" si="29"/>
        <v>31</v>
      </c>
      <c r="AQ168">
        <f t="shared" si="29"/>
        <v>32</v>
      </c>
      <c r="AR168">
        <f t="shared" si="29"/>
        <v>33</v>
      </c>
      <c r="AS168">
        <f t="shared" si="29"/>
        <v>34</v>
      </c>
      <c r="AT168">
        <f t="shared" si="29"/>
        <v>35</v>
      </c>
      <c r="AU168">
        <f t="shared" si="29"/>
        <v>36</v>
      </c>
      <c r="AV168">
        <f t="shared" si="29"/>
        <v>37</v>
      </c>
      <c r="AW168">
        <f t="shared" si="29"/>
        <v>38</v>
      </c>
      <c r="AX168">
        <f t="shared" si="29"/>
        <v>39</v>
      </c>
      <c r="AY168">
        <f t="shared" si="29"/>
        <v>40</v>
      </c>
      <c r="AZ168">
        <f t="shared" si="29"/>
        <v>41</v>
      </c>
      <c r="BA168">
        <f t="shared" si="29"/>
        <v>42</v>
      </c>
      <c r="BB168">
        <f t="shared" si="29"/>
        <v>43</v>
      </c>
      <c r="BC168">
        <f t="shared" si="29"/>
        <v>44</v>
      </c>
      <c r="BD168">
        <f t="shared" si="29"/>
        <v>45</v>
      </c>
      <c r="BE168">
        <f t="shared" si="29"/>
        <v>46</v>
      </c>
      <c r="BF168">
        <f t="shared" si="29"/>
        <v>47</v>
      </c>
      <c r="BG168">
        <f t="shared" si="29"/>
        <v>48</v>
      </c>
      <c r="BH168">
        <f t="shared" si="29"/>
        <v>49</v>
      </c>
      <c r="BI168">
        <f t="shared" si="29"/>
        <v>50</v>
      </c>
      <c r="BJ168">
        <f t="shared" si="29"/>
        <v>51</v>
      </c>
      <c r="BK168">
        <f t="shared" si="29"/>
        <v>52</v>
      </c>
      <c r="BL168">
        <f t="shared" si="29"/>
        <v>53</v>
      </c>
      <c r="BM168">
        <f t="shared" si="29"/>
        <v>54</v>
      </c>
      <c r="BN168">
        <f t="shared" si="29"/>
        <v>55</v>
      </c>
      <c r="BO168">
        <f t="shared" si="29"/>
        <v>56</v>
      </c>
      <c r="BP168">
        <f t="shared" si="29"/>
        <v>57</v>
      </c>
      <c r="BQ168">
        <f t="shared" si="29"/>
        <v>58</v>
      </c>
      <c r="BR168">
        <f>BQ168+1</f>
        <v>59</v>
      </c>
      <c r="BS168">
        <f t="shared" si="29"/>
        <v>60</v>
      </c>
      <c r="BT168">
        <f t="shared" si="29"/>
        <v>61</v>
      </c>
      <c r="BU168">
        <f t="shared" si="29"/>
        <v>62</v>
      </c>
      <c r="BV168">
        <f t="shared" si="29"/>
        <v>63</v>
      </c>
      <c r="BW168">
        <f t="shared" si="29"/>
        <v>64</v>
      </c>
      <c r="BX168">
        <f t="shared" si="29"/>
        <v>65</v>
      </c>
      <c r="BY168">
        <f t="shared" ref="BY168:CU168" si="30">BX168+1</f>
        <v>66</v>
      </c>
      <c r="BZ168">
        <f t="shared" si="30"/>
        <v>67</v>
      </c>
      <c r="CA168">
        <f t="shared" si="30"/>
        <v>68</v>
      </c>
      <c r="CB168">
        <f t="shared" si="30"/>
        <v>69</v>
      </c>
      <c r="CC168">
        <f t="shared" si="30"/>
        <v>70</v>
      </c>
      <c r="CD168">
        <f t="shared" si="30"/>
        <v>71</v>
      </c>
      <c r="CE168">
        <f t="shared" si="30"/>
        <v>72</v>
      </c>
      <c r="CF168">
        <f t="shared" si="30"/>
        <v>73</v>
      </c>
      <c r="CG168">
        <f t="shared" si="30"/>
        <v>74</v>
      </c>
      <c r="CH168">
        <f t="shared" si="30"/>
        <v>75</v>
      </c>
      <c r="CI168">
        <f t="shared" si="30"/>
        <v>76</v>
      </c>
      <c r="CJ168">
        <f t="shared" si="30"/>
        <v>77</v>
      </c>
      <c r="CK168">
        <f t="shared" si="30"/>
        <v>78</v>
      </c>
      <c r="CL168">
        <f t="shared" si="30"/>
        <v>79</v>
      </c>
      <c r="CM168">
        <f t="shared" si="30"/>
        <v>80</v>
      </c>
      <c r="CN168">
        <f t="shared" si="30"/>
        <v>81</v>
      </c>
      <c r="CO168">
        <f t="shared" si="30"/>
        <v>82</v>
      </c>
      <c r="CP168">
        <f t="shared" si="30"/>
        <v>83</v>
      </c>
      <c r="CQ168">
        <f t="shared" si="30"/>
        <v>84</v>
      </c>
      <c r="CR168">
        <f t="shared" si="30"/>
        <v>85</v>
      </c>
      <c r="CS168">
        <f t="shared" si="30"/>
        <v>86</v>
      </c>
      <c r="CT168">
        <f t="shared" si="30"/>
        <v>87</v>
      </c>
      <c r="CU168">
        <f t="shared" si="30"/>
        <v>88</v>
      </c>
      <c r="CV168">
        <f>CU168+1</f>
        <v>89</v>
      </c>
      <c r="CW168">
        <f t="shared" ref="CW168:FH168" si="31">CV168+1</f>
        <v>90</v>
      </c>
      <c r="CX168">
        <f t="shared" si="31"/>
        <v>91</v>
      </c>
      <c r="CY168">
        <f t="shared" si="31"/>
        <v>92</v>
      </c>
      <c r="CZ168">
        <f t="shared" si="31"/>
        <v>93</v>
      </c>
      <c r="DA168">
        <f t="shared" si="31"/>
        <v>94</v>
      </c>
      <c r="DB168">
        <f t="shared" si="31"/>
        <v>95</v>
      </c>
      <c r="DC168">
        <f t="shared" si="31"/>
        <v>96</v>
      </c>
      <c r="DD168">
        <f t="shared" si="31"/>
        <v>97</v>
      </c>
      <c r="DE168">
        <f t="shared" si="31"/>
        <v>98</v>
      </c>
      <c r="DF168">
        <f t="shared" si="31"/>
        <v>99</v>
      </c>
      <c r="DG168">
        <f t="shared" si="31"/>
        <v>100</v>
      </c>
      <c r="DH168">
        <f t="shared" si="31"/>
        <v>101</v>
      </c>
      <c r="DI168">
        <f t="shared" si="31"/>
        <v>102</v>
      </c>
      <c r="DJ168">
        <f t="shared" si="31"/>
        <v>103</v>
      </c>
      <c r="DK168">
        <f t="shared" si="31"/>
        <v>104</v>
      </c>
      <c r="DL168">
        <f t="shared" si="31"/>
        <v>105</v>
      </c>
      <c r="DM168">
        <f t="shared" si="31"/>
        <v>106</v>
      </c>
      <c r="DN168">
        <f t="shared" si="31"/>
        <v>107</v>
      </c>
      <c r="DO168">
        <f t="shared" si="31"/>
        <v>108</v>
      </c>
      <c r="DP168">
        <f t="shared" si="31"/>
        <v>109</v>
      </c>
      <c r="DQ168">
        <f t="shared" si="31"/>
        <v>110</v>
      </c>
      <c r="DR168">
        <f t="shared" si="31"/>
        <v>111</v>
      </c>
      <c r="DS168">
        <f t="shared" si="31"/>
        <v>112</v>
      </c>
      <c r="DT168">
        <f t="shared" si="31"/>
        <v>113</v>
      </c>
      <c r="DU168">
        <f t="shared" si="31"/>
        <v>114</v>
      </c>
      <c r="DV168">
        <f t="shared" si="31"/>
        <v>115</v>
      </c>
      <c r="DW168">
        <f t="shared" si="31"/>
        <v>116</v>
      </c>
      <c r="DX168">
        <f t="shared" si="31"/>
        <v>117</v>
      </c>
      <c r="DY168">
        <f t="shared" si="31"/>
        <v>118</v>
      </c>
      <c r="DZ168">
        <f t="shared" si="31"/>
        <v>119</v>
      </c>
      <c r="EA168">
        <f t="shared" si="31"/>
        <v>120</v>
      </c>
      <c r="EB168">
        <f t="shared" si="31"/>
        <v>121</v>
      </c>
      <c r="EC168">
        <f t="shared" si="31"/>
        <v>122</v>
      </c>
      <c r="ED168">
        <f t="shared" si="31"/>
        <v>123</v>
      </c>
      <c r="EE168">
        <f t="shared" si="31"/>
        <v>124</v>
      </c>
      <c r="EF168">
        <f t="shared" si="31"/>
        <v>125</v>
      </c>
      <c r="EG168">
        <f t="shared" si="31"/>
        <v>126</v>
      </c>
      <c r="EH168">
        <f t="shared" si="31"/>
        <v>127</v>
      </c>
      <c r="EI168">
        <f t="shared" si="31"/>
        <v>128</v>
      </c>
      <c r="EJ168">
        <f t="shared" si="31"/>
        <v>129</v>
      </c>
      <c r="EK168">
        <f t="shared" si="31"/>
        <v>130</v>
      </c>
      <c r="EL168">
        <f t="shared" si="31"/>
        <v>131</v>
      </c>
      <c r="EM168">
        <f t="shared" si="31"/>
        <v>132</v>
      </c>
      <c r="EN168">
        <f t="shared" si="31"/>
        <v>133</v>
      </c>
      <c r="EO168">
        <f t="shared" si="31"/>
        <v>134</v>
      </c>
      <c r="EP168">
        <f t="shared" si="31"/>
        <v>135</v>
      </c>
      <c r="EQ168">
        <f t="shared" si="31"/>
        <v>136</v>
      </c>
      <c r="ER168">
        <f t="shared" si="31"/>
        <v>137</v>
      </c>
      <c r="ES168">
        <f t="shared" si="31"/>
        <v>138</v>
      </c>
      <c r="ET168">
        <f t="shared" si="31"/>
        <v>139</v>
      </c>
      <c r="EU168">
        <f t="shared" si="31"/>
        <v>140</v>
      </c>
      <c r="EV168">
        <f t="shared" si="31"/>
        <v>141</v>
      </c>
      <c r="EW168">
        <f t="shared" si="31"/>
        <v>142</v>
      </c>
      <c r="EX168">
        <f t="shared" si="31"/>
        <v>143</v>
      </c>
      <c r="EY168">
        <f t="shared" si="31"/>
        <v>144</v>
      </c>
      <c r="EZ168">
        <f t="shared" si="31"/>
        <v>145</v>
      </c>
      <c r="FA168">
        <f t="shared" si="31"/>
        <v>146</v>
      </c>
      <c r="FB168">
        <f t="shared" si="31"/>
        <v>147</v>
      </c>
      <c r="FC168">
        <f t="shared" si="31"/>
        <v>148</v>
      </c>
      <c r="FD168">
        <f t="shared" si="31"/>
        <v>149</v>
      </c>
      <c r="FE168">
        <f t="shared" si="31"/>
        <v>150</v>
      </c>
      <c r="FF168">
        <f t="shared" si="31"/>
        <v>151</v>
      </c>
      <c r="FG168">
        <f t="shared" si="31"/>
        <v>152</v>
      </c>
      <c r="FH168">
        <f t="shared" si="31"/>
        <v>153</v>
      </c>
      <c r="FI168">
        <f t="shared" ref="FI168:GQ168" si="32">FH168+1</f>
        <v>154</v>
      </c>
      <c r="FJ168">
        <f t="shared" si="32"/>
        <v>155</v>
      </c>
      <c r="FK168">
        <f t="shared" si="32"/>
        <v>156</v>
      </c>
      <c r="FL168">
        <f t="shared" si="32"/>
        <v>157</v>
      </c>
      <c r="FM168">
        <f t="shared" si="32"/>
        <v>158</v>
      </c>
      <c r="FN168">
        <f t="shared" si="32"/>
        <v>159</v>
      </c>
      <c r="FO168">
        <f t="shared" si="32"/>
        <v>160</v>
      </c>
      <c r="FP168">
        <f t="shared" si="32"/>
        <v>161</v>
      </c>
      <c r="FQ168">
        <f t="shared" si="32"/>
        <v>162</v>
      </c>
      <c r="FR168">
        <f t="shared" si="32"/>
        <v>163</v>
      </c>
      <c r="FS168">
        <f t="shared" si="32"/>
        <v>164</v>
      </c>
      <c r="FT168">
        <f t="shared" si="32"/>
        <v>165</v>
      </c>
      <c r="FU168">
        <f t="shared" si="32"/>
        <v>166</v>
      </c>
      <c r="FV168">
        <f t="shared" si="32"/>
        <v>167</v>
      </c>
      <c r="FW168">
        <f t="shared" si="32"/>
        <v>168</v>
      </c>
      <c r="FX168">
        <f t="shared" si="32"/>
        <v>169</v>
      </c>
      <c r="FY168">
        <f t="shared" si="32"/>
        <v>170</v>
      </c>
      <c r="FZ168">
        <f t="shared" si="32"/>
        <v>171</v>
      </c>
      <c r="GA168">
        <f t="shared" si="32"/>
        <v>172</v>
      </c>
      <c r="GB168">
        <f t="shared" si="32"/>
        <v>173</v>
      </c>
      <c r="GC168">
        <f t="shared" si="32"/>
        <v>174</v>
      </c>
      <c r="GD168">
        <f t="shared" si="32"/>
        <v>175</v>
      </c>
      <c r="GE168">
        <f t="shared" si="32"/>
        <v>176</v>
      </c>
      <c r="GF168">
        <f t="shared" si="32"/>
        <v>177</v>
      </c>
      <c r="GG168">
        <f t="shared" si="32"/>
        <v>178</v>
      </c>
      <c r="GH168">
        <f t="shared" si="32"/>
        <v>179</v>
      </c>
      <c r="GI168">
        <f t="shared" si="32"/>
        <v>180</v>
      </c>
      <c r="GJ168">
        <f t="shared" si="32"/>
        <v>181</v>
      </c>
      <c r="GK168">
        <f t="shared" si="32"/>
        <v>182</v>
      </c>
      <c r="GL168">
        <f t="shared" si="32"/>
        <v>183</v>
      </c>
      <c r="GM168">
        <f t="shared" si="32"/>
        <v>184</v>
      </c>
      <c r="GN168">
        <f t="shared" si="32"/>
        <v>185</v>
      </c>
      <c r="GO168">
        <f t="shared" si="32"/>
        <v>186</v>
      </c>
      <c r="GP168">
        <f t="shared" si="32"/>
        <v>187</v>
      </c>
      <c r="GQ168">
        <f t="shared" si="32"/>
        <v>188</v>
      </c>
    </row>
    <row r="169" spans="1:199" x14ac:dyDescent="0.25">
      <c r="A169" s="68"/>
      <c r="C169" t="s">
        <v>159</v>
      </c>
      <c r="D169" s="18">
        <f>D168/2000</f>
        <v>2.5000000000000001E-4</v>
      </c>
      <c r="E169" t="s">
        <v>180</v>
      </c>
      <c r="Q169">
        <f t="shared" ref="Q169:AV169" si="33">Q167*$D214</f>
        <v>2.0024448458891508</v>
      </c>
      <c r="R169">
        <f t="shared" si="33"/>
        <v>2.7903183388918689</v>
      </c>
      <c r="S169">
        <f t="shared" si="33"/>
        <v>3.7028169667717936</v>
      </c>
      <c r="T169">
        <f t="shared" si="33"/>
        <v>4.737957161003469</v>
      </c>
      <c r="U169">
        <f t="shared" si="33"/>
        <v>5.8937305538533176</v>
      </c>
      <c r="V169">
        <f t="shared" si="33"/>
        <v>7.1681051094140855</v>
      </c>
      <c r="W169">
        <f t="shared" si="33"/>
        <v>8.5590262499597589</v>
      </c>
      <c r="X169">
        <f t="shared" si="33"/>
        <v>10.064417977221829</v>
      </c>
      <c r="Y169">
        <f t="shared" si="33"/>
        <v>11.682183988194865</v>
      </c>
      <c r="Z169">
        <f t="shared" si="33"/>
        <v>13.410208785086601</v>
      </c>
      <c r="AA169">
        <f t="shared" si="33"/>
        <v>15.246358779034912</v>
      </c>
      <c r="AB169">
        <f t="shared" si="33"/>
        <v>17.188483387221456</v>
      </c>
      <c r="AC169">
        <f t="shared" si="33"/>
        <v>19.234416123019052</v>
      </c>
      <c r="AD169">
        <f t="shared" si="33"/>
        <v>21.381975678817358</v>
      </c>
      <c r="AE169">
        <f t="shared" si="33"/>
        <v>23.628967001178832</v>
      </c>
      <c r="AF169">
        <f t="shared" si="33"/>
        <v>25.973182357984534</v>
      </c>
      <c r="AG169">
        <f t="shared" si="33"/>
        <v>28.412402397236839</v>
      </c>
      <c r="AH169">
        <f t="shared" si="33"/>
        <v>30.944397197193808</v>
      </c>
      <c r="AI169">
        <f t="shared" si="33"/>
        <v>33.566927307517538</v>
      </c>
      <c r="AJ169">
        <f t="shared" si="33"/>
        <v>36.277744781126536</v>
      </c>
      <c r="AK169">
        <f t="shared" si="33"/>
        <v>39.07459419644983</v>
      </c>
      <c r="AL169">
        <f t="shared" si="33"/>
        <v>41.955213669788279</v>
      </c>
      <c r="AM169">
        <f t="shared" si="33"/>
        <v>44.917335857496383</v>
      </c>
      <c r="AN169">
        <f t="shared" si="33"/>
        <v>47.95868894770539</v>
      </c>
      <c r="AO169">
        <f t="shared" si="33"/>
        <v>51.076997641316666</v>
      </c>
      <c r="AP169">
        <f t="shared" si="33"/>
        <v>54.269984122001816</v>
      </c>
      <c r="AQ169">
        <f t="shared" si="33"/>
        <v>57.535369014953865</v>
      </c>
      <c r="AR169">
        <f t="shared" si="33"/>
        <v>60.870872334141886</v>
      </c>
      <c r="AS169">
        <f t="shared" si="33"/>
        <v>64.274214417828787</v>
      </c>
      <c r="AT169">
        <f t="shared" si="33"/>
        <v>67.743116852120366</v>
      </c>
      <c r="AU169">
        <f t="shared" si="33"/>
        <v>71.275303382321084</v>
      </c>
      <c r="AV169">
        <f t="shared" si="33"/>
        <v>74.86850081187994</v>
      </c>
      <c r="AW169">
        <f t="shared" ref="AW169:CB169" si="34">AW167*$D214</f>
        <v>78.520439888717888</v>
      </c>
      <c r="AX169">
        <f t="shared" si="34"/>
        <v>82.228856178735526</v>
      </c>
      <c r="AY169">
        <f t="shared" si="34"/>
        <v>85.991490926307932</v>
      </c>
      <c r="AZ169">
        <f t="shared" si="34"/>
        <v>89.806091901581183</v>
      </c>
      <c r="BA169">
        <f t="shared" si="34"/>
        <v>93.670414234392709</v>
      </c>
      <c r="BB169">
        <f t="shared" si="34"/>
        <v>97.582221234645246</v>
      </c>
      <c r="BC169">
        <f t="shared" si="34"/>
        <v>101.53928519897232</v>
      </c>
      <c r="BD169">
        <f t="shared" si="34"/>
        <v>105.53938820354001</v>
      </c>
      <c r="BE169">
        <f t="shared" si="34"/>
        <v>109.5803228828382</v>
      </c>
      <c r="BF169">
        <f t="shared" si="34"/>
        <v>113.65989319432136</v>
      </c>
      <c r="BG169">
        <f t="shared" si="34"/>
        <v>117.77591516876694</v>
      </c>
      <c r="BH169">
        <f t="shared" si="34"/>
        <v>121.92621764622669</v>
      </c>
      <c r="BI169">
        <f t="shared" si="34"/>
        <v>126.10864299745371</v>
      </c>
      <c r="BJ169">
        <f t="shared" si="34"/>
        <v>130.32104783069548</v>
      </c>
      <c r="BK169">
        <f t="shared" si="34"/>
        <v>134.56130368375028</v>
      </c>
      <c r="BL169">
        <f t="shared" si="34"/>
        <v>138.82729770119207</v>
      </c>
      <c r="BM169">
        <f t="shared" si="34"/>
        <v>143.1169332966756</v>
      </c>
      <c r="BN169">
        <f t="shared" si="34"/>
        <v>147.42813080024155</v>
      </c>
      <c r="BO169">
        <f t="shared" si="34"/>
        <v>151.75882809054727</v>
      </c>
      <c r="BP169">
        <f t="shared" si="34"/>
        <v>156.10698121195747</v>
      </c>
      <c r="BQ169">
        <f t="shared" si="34"/>
        <v>160.47056497643462</v>
      </c>
      <c r="BR169">
        <f t="shared" si="34"/>
        <v>164.84757355017675</v>
      </c>
      <c r="BS169">
        <f t="shared" si="34"/>
        <v>169.23602102495715</v>
      </c>
      <c r="BT169">
        <f t="shared" si="34"/>
        <v>173.63394197412649</v>
      </c>
      <c r="BU169">
        <f t="shared" si="34"/>
        <v>178.03939199324557</v>
      </c>
      <c r="BV169">
        <f t="shared" si="34"/>
        <v>182.45044822532327</v>
      </c>
      <c r="BW169">
        <f t="shared" si="34"/>
        <v>186.86520987064011</v>
      </c>
      <c r="BX169">
        <f t="shared" si="34"/>
        <v>191.28179868114597</v>
      </c>
      <c r="BY169">
        <f t="shared" si="34"/>
        <v>195.69835943942502</v>
      </c>
      <c r="BZ169">
        <f t="shared" si="34"/>
        <v>200.11306042222878</v>
      </c>
      <c r="CA169">
        <f t="shared" si="34"/>
        <v>204.52409384858402</v>
      </c>
      <c r="CB169">
        <f t="shared" si="34"/>
        <v>208.92967631248749</v>
      </c>
      <c r="CC169">
        <f t="shared" ref="CC169:DH169" si="35">CC167*$D214</f>
        <v>213.32804920020797</v>
      </c>
      <c r="CD169">
        <f t="shared" si="35"/>
        <v>217.7174790922187</v>
      </c>
      <c r="CE169">
        <f t="shared" si="35"/>
        <v>222.0962581497927</v>
      </c>
      <c r="CF169">
        <f t="shared" si="35"/>
        <v>226.46270448629684</v>
      </c>
      <c r="CG169">
        <f t="shared" si="35"/>
        <v>230.81516252322743</v>
      </c>
      <c r="CH169">
        <f t="shared" si="35"/>
        <v>235.15200333103559</v>
      </c>
      <c r="CI169">
        <f t="shared" si="35"/>
        <v>239.47162495479591</v>
      </c>
      <c r="CJ169">
        <f t="shared" si="35"/>
        <v>243.77245272477796</v>
      </c>
      <c r="CK169">
        <f t="shared" si="35"/>
        <v>248.05293955198502</v>
      </c>
      <c r="CL169">
        <f t="shared" si="35"/>
        <v>252.31156620873017</v>
      </c>
      <c r="CM169">
        <f t="shared" si="35"/>
        <v>256.54684159432492</v>
      </c>
      <c r="CN169">
        <f t="shared" si="35"/>
        <v>260.75730298596011</v>
      </c>
      <c r="CO169">
        <f t="shared" si="35"/>
        <v>264.94151627486536</v>
      </c>
      <c r="CP169">
        <f t="shared" si="35"/>
        <v>269.09807618783617</v>
      </c>
      <c r="CQ169">
        <f t="shared" si="35"/>
        <v>273.22560649422411</v>
      </c>
      <c r="CR169">
        <f t="shared" si="35"/>
        <v>277.32276019849041</v>
      </c>
      <c r="CS169">
        <f t="shared" si="35"/>
        <v>281.38821971842589</v>
      </c>
      <c r="CT169">
        <f t="shared" si="35"/>
        <v>285.42069704914746</v>
      </c>
      <c r="CU169">
        <f t="shared" si="35"/>
        <v>289.41893391298339</v>
      </c>
      <c r="CV169">
        <f t="shared" si="35"/>
        <v>293.38170189536572</v>
      </c>
      <c r="CW169">
        <f t="shared" si="35"/>
        <v>297.30780256685091</v>
      </c>
      <c r="CX169">
        <f t="shared" si="35"/>
        <v>301.19606759139458</v>
      </c>
      <c r="CY169">
        <f t="shared" si="35"/>
        <v>305.04535882101129</v>
      </c>
      <c r="CZ169">
        <f t="shared" si="35"/>
        <v>308.85456837695159</v>
      </c>
      <c r="DA169">
        <f t="shared" si="35"/>
        <v>312.62261871753475</v>
      </c>
      <c r="DB169">
        <f t="shared" si="35"/>
        <v>316.34846269277836</v>
      </c>
      <c r="DC169">
        <f t="shared" si="35"/>
        <v>320.0310835859695</v>
      </c>
      <c r="DD169">
        <f t="shared" si="35"/>
        <v>323.66949514232601</v>
      </c>
      <c r="DE169">
        <f t="shared" si="35"/>
        <v>327.26274158489866</v>
      </c>
      <c r="DF169">
        <f t="shared" si="35"/>
        <v>330.80989761787106</v>
      </c>
      <c r="DG169">
        <f t="shared" si="35"/>
        <v>334.31006841741288</v>
      </c>
      <c r="DH169">
        <f t="shared" si="35"/>
        <v>337.76238961025007</v>
      </c>
      <c r="DI169">
        <f t="shared" ref="DI169:EN169" si="36">DI167*$D214</f>
        <v>341.16602724011449</v>
      </c>
      <c r="DJ169">
        <f t="shared" si="36"/>
        <v>344.38423578332015</v>
      </c>
      <c r="DK169">
        <f t="shared" si="36"/>
        <v>347.41805278086713</v>
      </c>
      <c r="DL169">
        <f t="shared" si="36"/>
        <v>350.26857767953055</v>
      </c>
      <c r="DM169">
        <f t="shared" si="36"/>
        <v>352.93697060118609</v>
      </c>
      <c r="DN169">
        <f t="shared" si="36"/>
        <v>355.42445110301747</v>
      </c>
      <c r="DO169">
        <f t="shared" si="36"/>
        <v>357.73229692922422</v>
      </c>
      <c r="DP169">
        <f t="shared" si="36"/>
        <v>359.86184275484669</v>
      </c>
      <c r="DQ169">
        <f t="shared" si="36"/>
        <v>361.81447892231773</v>
      </c>
      <c r="DR169">
        <f t="shared" si="36"/>
        <v>363.59165017134876</v>
      </c>
      <c r="DS169">
        <f t="shared" si="36"/>
        <v>365.19485436274988</v>
      </c>
      <c r="DT169">
        <f t="shared" si="36"/>
        <v>366.62564119678149</v>
      </c>
      <c r="DU169">
        <f t="shared" si="36"/>
        <v>367.88561092662684</v>
      </c>
      <c r="DV169">
        <f t="shared" si="36"/>
        <v>368.97641306757225</v>
      </c>
      <c r="DW169">
        <f t="shared" si="36"/>
        <v>369.89974510247265</v>
      </c>
      <c r="DX169">
        <f t="shared" si="36"/>
        <v>370.65735118407815</v>
      </c>
      <c r="DY169">
        <f t="shared" si="36"/>
        <v>371.25102083478851</v>
      </c>
      <c r="DZ169">
        <f t="shared" si="36"/>
        <v>371.68258764439668</v>
      </c>
      <c r="EA169">
        <f t="shared" si="36"/>
        <v>371.95392796637776</v>
      </c>
      <c r="EB169">
        <f t="shared" si="36"/>
        <v>372.06695961327205</v>
      </c>
      <c r="EC169">
        <f t="shared" si="36"/>
        <v>372.02364055170352</v>
      </c>
      <c r="ED169">
        <f t="shared" si="36"/>
        <v>371.82596759757121</v>
      </c>
      <c r="EE169">
        <f t="shared" si="36"/>
        <v>371.47597511194039</v>
      </c>
      <c r="EF169">
        <f t="shared" si="36"/>
        <v>370.97573369815683</v>
      </c>
      <c r="EG169">
        <f t="shared" si="36"/>
        <v>370.32734890069793</v>
      </c>
      <c r="EH169">
        <f t="shared" si="36"/>
        <v>369.53295990626856</v>
      </c>
      <c r="EI169">
        <f t="shared" si="36"/>
        <v>368.59473824764194</v>
      </c>
      <c r="EJ169">
        <f t="shared" si="36"/>
        <v>367.51488651073788</v>
      </c>
      <c r="EK169">
        <f t="shared" si="36"/>
        <v>366.29563704542358</v>
      </c>
      <c r="EL169">
        <f t="shared" si="36"/>
        <v>364.93925068051504</v>
      </c>
      <c r="EM169">
        <f t="shared" si="36"/>
        <v>363.44801544344818</v>
      </c>
      <c r="EN169">
        <f t="shared" si="36"/>
        <v>361.82424528508187</v>
      </c>
      <c r="EO169">
        <f t="shared" ref="EO169:FT169" si="37">EO167*$D214</f>
        <v>360.07027881008685</v>
      </c>
      <c r="EP169">
        <f t="shared" si="37"/>
        <v>358.18847801336659</v>
      </c>
      <c r="EQ169">
        <f t="shared" si="37"/>
        <v>356.18122702294755</v>
      </c>
      <c r="ER169">
        <f t="shared" si="37"/>
        <v>354.05093084976897</v>
      </c>
      <c r="ES169">
        <f t="shared" si="37"/>
        <v>351.80001414479364</v>
      </c>
      <c r="ET169">
        <f t="shared" si="37"/>
        <v>349.4309199638526</v>
      </c>
      <c r="EU169">
        <f t="shared" si="37"/>
        <v>346.94610854062796</v>
      </c>
      <c r="EV169">
        <f t="shared" si="37"/>
        <v>344.34805606817196</v>
      </c>
      <c r="EW169">
        <f t="shared" si="37"/>
        <v>341.6392534893476</v>
      </c>
      <c r="EX169">
        <f t="shared" si="37"/>
        <v>338.82220529657246</v>
      </c>
      <c r="EY169">
        <f t="shared" si="37"/>
        <v>335.89942834123497</v>
      </c>
      <c r="EZ169">
        <f t="shared" si="37"/>
        <v>332.87345065314582</v>
      </c>
      <c r="FA169">
        <f t="shared" si="37"/>
        <v>329.74681027037752</v>
      </c>
      <c r="FB169">
        <f t="shared" si="37"/>
        <v>326.52205407983774</v>
      </c>
      <c r="FC169">
        <f t="shared" si="37"/>
        <v>323.20173666891105</v>
      </c>
      <c r="FD169">
        <f t="shared" si="37"/>
        <v>319.78841918849758</v>
      </c>
      <c r="FE169">
        <f t="shared" si="37"/>
        <v>316.2846682277663</v>
      </c>
      <c r="FF169">
        <f t="shared" si="37"/>
        <v>312.69305470093303</v>
      </c>
      <c r="FG169">
        <f t="shared" si="37"/>
        <v>309.0161527463635</v>
      </c>
      <c r="FH169">
        <f t="shared" si="37"/>
        <v>305.25653863829405</v>
      </c>
      <c r="FI169">
        <f t="shared" si="37"/>
        <v>301.41678971145302</v>
      </c>
      <c r="FJ169">
        <f t="shared" si="37"/>
        <v>297.499483298857</v>
      </c>
      <c r="FK169">
        <f t="shared" si="37"/>
        <v>293.50719568304737</v>
      </c>
      <c r="FL169">
        <f t="shared" si="37"/>
        <v>289.4425010610247</v>
      </c>
      <c r="FM169">
        <f t="shared" si="37"/>
        <v>285.30797052312766</v>
      </c>
      <c r="FN169">
        <f t="shared" si="37"/>
        <v>281.10617104609656</v>
      </c>
      <c r="FO169">
        <f t="shared" si="37"/>
        <v>276.83966450055095</v>
      </c>
      <c r="FP169">
        <f t="shared" si="37"/>
        <v>272.51100667310357</v>
      </c>
      <c r="FQ169">
        <f t="shared" si="37"/>
        <v>268.12274630332297</v>
      </c>
      <c r="FR169">
        <f t="shared" si="37"/>
        <v>263.67742413574859</v>
      </c>
      <c r="FS169">
        <f t="shared" si="37"/>
        <v>259.17757198715424</v>
      </c>
      <c r="FT169">
        <f t="shared" si="37"/>
        <v>254.62571182924597</v>
      </c>
      <c r="FU169">
        <f t="shared" ref="FU169:GQ169" si="38">FU167*$D214</f>
        <v>250.02435488697259</v>
      </c>
      <c r="FV169">
        <f t="shared" si="38"/>
        <v>245.37600075261844</v>
      </c>
      <c r="FW169">
        <f t="shared" si="38"/>
        <v>240.68313651583875</v>
      </c>
      <c r="FX169">
        <f t="shared" si="38"/>
        <v>235.94823590979021</v>
      </c>
      <c r="FY169">
        <f t="shared" si="38"/>
        <v>231.1737584735005</v>
      </c>
      <c r="FZ169">
        <f t="shared" si="38"/>
        <v>226.36214873061201</v>
      </c>
      <c r="GA169">
        <f t="shared" si="38"/>
        <v>221.51583538462711</v>
      </c>
      <c r="GB169">
        <f t="shared" si="38"/>
        <v>216.63723053077328</v>
      </c>
      <c r="GC169">
        <f t="shared" si="38"/>
        <v>211.72872888459872</v>
      </c>
      <c r="GD169">
        <f t="shared" si="38"/>
        <v>206.79270702740064</v>
      </c>
      <c r="GE169">
        <f t="shared" si="38"/>
        <v>201.83152266858025</v>
      </c>
      <c r="GF169">
        <f t="shared" si="38"/>
        <v>196.84751392501047</v>
      </c>
      <c r="GG169">
        <f t="shared" si="38"/>
        <v>191.84299861749452</v>
      </c>
      <c r="GH169">
        <f t="shared" si="38"/>
        <v>186.82027358438495</v>
      </c>
      <c r="GI169">
        <f t="shared" si="38"/>
        <v>181.7816140124261</v>
      </c>
      <c r="GJ169">
        <f t="shared" si="38"/>
        <v>176.72927278487319</v>
      </c>
      <c r="GK169">
        <f t="shared" si="38"/>
        <v>171.66547984693619</v>
      </c>
      <c r="GL169">
        <f t="shared" si="38"/>
        <v>166.59244158858598</v>
      </c>
      <c r="GM169">
        <f t="shared" si="38"/>
        <v>161.51234024475548</v>
      </c>
      <c r="GN169">
        <f t="shared" si="38"/>
        <v>156.42733331295892</v>
      </c>
      <c r="GO169">
        <f t="shared" si="38"/>
        <v>151.33955298834627</v>
      </c>
      <c r="GP169">
        <f t="shared" si="38"/>
        <v>146.25110561620215</v>
      </c>
      <c r="GQ169">
        <f t="shared" si="38"/>
        <v>141.16407116189069</v>
      </c>
    </row>
    <row r="170" spans="1:199" x14ac:dyDescent="0.25">
      <c r="A170" s="68"/>
      <c r="C170" t="s">
        <v>151</v>
      </c>
      <c r="D170" s="34">
        <f>0.1</f>
        <v>0.1</v>
      </c>
      <c r="E170" t="s">
        <v>110</v>
      </c>
    </row>
    <row r="171" spans="1:199" x14ac:dyDescent="0.25">
      <c r="A171" s="68"/>
      <c r="C171" t="s">
        <v>152</v>
      </c>
      <c r="D171" s="18">
        <f>D168*(1+D170)</f>
        <v>0.55000000000000004</v>
      </c>
    </row>
    <row r="172" spans="1:199" x14ac:dyDescent="0.25">
      <c r="A172" s="68"/>
      <c r="C172" t="s">
        <v>147</v>
      </c>
      <c r="D172" s="18" t="e">
        <f>D160/D161</f>
        <v>#REF!</v>
      </c>
    </row>
    <row r="173" spans="1:199" x14ac:dyDescent="0.25">
      <c r="A173" s="68"/>
      <c r="C173" t="s">
        <v>153</v>
      </c>
      <c r="D173" s="18">
        <f>D167/D171</f>
        <v>119.99999999999999</v>
      </c>
    </row>
    <row r="174" spans="1:199" x14ac:dyDescent="0.25">
      <c r="A174" s="68"/>
      <c r="C174" t="s">
        <v>165</v>
      </c>
      <c r="D174" s="18" t="e">
        <f>D172/D173</f>
        <v>#REF!</v>
      </c>
    </row>
    <row r="175" spans="1:199" x14ac:dyDescent="0.25">
      <c r="A175" s="68"/>
      <c r="C175" t="s">
        <v>164</v>
      </c>
      <c r="D175" s="18" t="e">
        <f>D174*D168</f>
        <v>#REF!</v>
      </c>
      <c r="E175" t="s">
        <v>110</v>
      </c>
    </row>
    <row r="176" spans="1:199" x14ac:dyDescent="0.25">
      <c r="A176" s="68"/>
      <c r="C176" t="s">
        <v>156</v>
      </c>
      <c r="D176" s="18" t="e">
        <f>(D163/2)+(D175/2)</f>
        <v>#REF!</v>
      </c>
      <c r="E176" t="s">
        <v>110</v>
      </c>
    </row>
    <row r="177" spans="1:5" x14ac:dyDescent="0.25">
      <c r="A177" s="68"/>
      <c r="C177" t="s">
        <v>158</v>
      </c>
      <c r="D177" s="18" t="e">
        <f>(D176/1000)*D160*2*PI()</f>
        <v>#REF!</v>
      </c>
      <c r="E177" t="s">
        <v>180</v>
      </c>
    </row>
    <row r="178" spans="1:5" x14ac:dyDescent="0.25">
      <c r="A178" s="68"/>
      <c r="C178" t="s">
        <v>159</v>
      </c>
      <c r="D178" s="18">
        <f>D168/2000</f>
        <v>2.5000000000000001E-4</v>
      </c>
      <c r="E178" t="s">
        <v>180</v>
      </c>
    </row>
    <row r="179" spans="1:5" x14ac:dyDescent="0.25">
      <c r="A179" s="68"/>
      <c r="C179" t="s">
        <v>160</v>
      </c>
      <c r="D179" s="18" t="e">
        <f>PI()*POWER(D178, 2)*D177</f>
        <v>#REF!</v>
      </c>
    </row>
    <row r="180" spans="1:5" x14ac:dyDescent="0.25">
      <c r="A180" s="68"/>
      <c r="C180" t="s">
        <v>161</v>
      </c>
      <c r="D180" s="34">
        <v>8960</v>
      </c>
      <c r="E180" t="s">
        <v>162</v>
      </c>
    </row>
    <row r="181" spans="1:5" x14ac:dyDescent="0.25">
      <c r="A181" s="68"/>
      <c r="C181" t="s">
        <v>163</v>
      </c>
      <c r="D181" s="18" t="e">
        <f>D180*D179</f>
        <v>#REF!</v>
      </c>
      <c r="E181" t="s">
        <v>356</v>
      </c>
    </row>
    <row r="182" spans="1:5" x14ac:dyDescent="0.25">
      <c r="A182" s="68"/>
      <c r="C182" t="s">
        <v>190</v>
      </c>
      <c r="D182" s="18">
        <f>(D169^2)*PI()</f>
        <v>1.9634954084936206E-7</v>
      </c>
    </row>
    <row r="183" spans="1:5" x14ac:dyDescent="0.25">
      <c r="A183" s="68"/>
      <c r="C183" t="s">
        <v>169</v>
      </c>
      <c r="D183" s="36">
        <v>1.6800000000000002E-8</v>
      </c>
      <c r="E183" t="s">
        <v>675</v>
      </c>
    </row>
    <row r="184" spans="1:5" ht="15.75" x14ac:dyDescent="0.25">
      <c r="A184" s="68"/>
      <c r="C184" t="s">
        <v>168</v>
      </c>
      <c r="D184" s="33" t="e">
        <f>D183*D177/D182</f>
        <v>#REF!</v>
      </c>
      <c r="E184" s="58" t="s">
        <v>21</v>
      </c>
    </row>
    <row r="185" spans="1:5" x14ac:dyDescent="0.25">
      <c r="A185" s="68"/>
      <c r="B185" t="s">
        <v>682</v>
      </c>
      <c r="C185" t="s">
        <v>170</v>
      </c>
      <c r="D185" s="33" t="e">
        <f>POWER(D159/POWER(3, 0.5), 2)*D184</f>
        <v>#REF!</v>
      </c>
      <c r="E185" t="s">
        <v>191</v>
      </c>
    </row>
    <row r="186" spans="1:5" x14ac:dyDescent="0.25">
      <c r="A186" s="20"/>
    </row>
    <row r="187" spans="1:5" x14ac:dyDescent="0.25">
      <c r="A187" s="20"/>
    </row>
    <row r="188" spans="1:5" x14ac:dyDescent="0.25">
      <c r="A188" s="68" t="s">
        <v>683</v>
      </c>
      <c r="B188" s="2" t="s">
        <v>36</v>
      </c>
      <c r="C188" s="2" t="s">
        <v>35</v>
      </c>
      <c r="D188" s="2">
        <f>D3</f>
        <v>16000</v>
      </c>
      <c r="E188" s="2" t="s">
        <v>48</v>
      </c>
    </row>
    <row r="189" spans="1:5" x14ac:dyDescent="0.25">
      <c r="A189" s="68"/>
      <c r="B189" s="2" t="s">
        <v>32</v>
      </c>
      <c r="C189" s="57" t="s">
        <v>28</v>
      </c>
      <c r="D189" s="54">
        <f>D18</f>
        <v>20</v>
      </c>
      <c r="E189" s="2" t="s">
        <v>17</v>
      </c>
    </row>
    <row r="190" spans="1:5" x14ac:dyDescent="0.25">
      <c r="A190" s="68"/>
      <c r="B190" s="2" t="s">
        <v>678</v>
      </c>
      <c r="C190" s="2" t="s">
        <v>677</v>
      </c>
      <c r="D190" s="54" t="e">
        <f>#REF!</f>
        <v>#REF!</v>
      </c>
      <c r="E190" s="2"/>
    </row>
    <row r="191" spans="1:5" x14ac:dyDescent="0.25">
      <c r="A191" s="68"/>
      <c r="C191" t="s">
        <v>167</v>
      </c>
      <c r="D191" s="34">
        <v>1</v>
      </c>
      <c r="E191" t="s">
        <v>173</v>
      </c>
    </row>
    <row r="192" spans="1:5" x14ac:dyDescent="0.25">
      <c r="A192" s="68"/>
      <c r="C192" t="s">
        <v>166</v>
      </c>
      <c r="D192" s="34">
        <v>21</v>
      </c>
      <c r="E192" t="s">
        <v>110</v>
      </c>
    </row>
    <row r="193" spans="1:5" x14ac:dyDescent="0.25">
      <c r="A193" s="68"/>
      <c r="C193" t="s">
        <v>171</v>
      </c>
      <c r="D193" s="34">
        <v>0.1</v>
      </c>
      <c r="E193" t="s">
        <v>180</v>
      </c>
    </row>
    <row r="194" spans="1:5" x14ac:dyDescent="0.25">
      <c r="A194" s="68"/>
      <c r="C194" t="s">
        <v>177</v>
      </c>
      <c r="D194" s="18">
        <f>D191/2000</f>
        <v>5.0000000000000001E-4</v>
      </c>
      <c r="E194" t="s">
        <v>180</v>
      </c>
    </row>
    <row r="195" spans="1:5" x14ac:dyDescent="0.25">
      <c r="A195" s="68"/>
      <c r="C195" t="s">
        <v>172</v>
      </c>
      <c r="D195" s="18" t="e">
        <f>(D192/1000)*D190*2*PI()</f>
        <v>#REF!</v>
      </c>
      <c r="E195" t="s">
        <v>180</v>
      </c>
    </row>
    <row r="196" spans="1:5" x14ac:dyDescent="0.25">
      <c r="A196" s="68"/>
      <c r="C196" t="s">
        <v>159</v>
      </c>
      <c r="D196" s="18">
        <f>D191/2000</f>
        <v>5.0000000000000001E-4</v>
      </c>
      <c r="E196" t="s">
        <v>180</v>
      </c>
    </row>
    <row r="197" spans="1:5" x14ac:dyDescent="0.25">
      <c r="A197" s="68"/>
      <c r="C197" t="s">
        <v>160</v>
      </c>
      <c r="D197" s="18" t="e">
        <f>PI()*POWER(D196, 2)*D195</f>
        <v>#REF!</v>
      </c>
      <c r="E197" t="s">
        <v>344</v>
      </c>
    </row>
    <row r="198" spans="1:5" x14ac:dyDescent="0.25">
      <c r="A198" s="68"/>
      <c r="C198" t="s">
        <v>174</v>
      </c>
      <c r="D198" s="18">
        <f>POWER(2*D203/(4*PI()*(0.0000001)*2*PI()*D188), 0.5)</f>
        <v>5.157209585242166E-4</v>
      </c>
      <c r="E198" t="s">
        <v>180</v>
      </c>
    </row>
    <row r="199" spans="1:5" x14ac:dyDescent="0.25">
      <c r="A199" s="68"/>
      <c r="C199" t="s">
        <v>175</v>
      </c>
      <c r="D199" s="18">
        <f>1000*D198</f>
        <v>0.51572095852421662</v>
      </c>
      <c r="E199" t="s">
        <v>110</v>
      </c>
    </row>
    <row r="200" spans="1:5" x14ac:dyDescent="0.25">
      <c r="A200" s="68"/>
      <c r="C200" t="s">
        <v>176</v>
      </c>
      <c r="D200" s="18">
        <f>POWER(D194, 2)*PI()</f>
        <v>7.8539816339744823E-7</v>
      </c>
      <c r="E200" t="s">
        <v>181</v>
      </c>
    </row>
    <row r="201" spans="1:5" x14ac:dyDescent="0.25">
      <c r="A201" s="68"/>
      <c r="C201" t="s">
        <v>178</v>
      </c>
      <c r="D201" s="18">
        <f>POWER((D194-D198), 2)*PI()</f>
        <v>7.7644002793377189E-10</v>
      </c>
      <c r="E201" t="s">
        <v>181</v>
      </c>
    </row>
    <row r="202" spans="1:5" x14ac:dyDescent="0.25">
      <c r="A202" s="68"/>
      <c r="C202" t="s">
        <v>179</v>
      </c>
      <c r="D202" s="18">
        <f>D200-D201</f>
        <v>7.8462172336951441E-7</v>
      </c>
      <c r="E202" t="s">
        <v>181</v>
      </c>
    </row>
    <row r="203" spans="1:5" x14ac:dyDescent="0.25">
      <c r="A203" s="68"/>
      <c r="C203" t="s">
        <v>169</v>
      </c>
      <c r="D203" s="33">
        <v>1.6800000000000002E-8</v>
      </c>
      <c r="E203" t="s">
        <v>675</v>
      </c>
    </row>
    <row r="204" spans="1:5" x14ac:dyDescent="0.25">
      <c r="A204" s="68"/>
      <c r="C204" t="s">
        <v>182</v>
      </c>
      <c r="D204" s="33" t="e">
        <f>D195+D193</f>
        <v>#REF!</v>
      </c>
      <c r="E204" t="s">
        <v>180</v>
      </c>
    </row>
    <row r="205" spans="1:5" x14ac:dyDescent="0.25">
      <c r="A205" s="68"/>
      <c r="C205" t="s">
        <v>183</v>
      </c>
      <c r="D205" s="33" t="e">
        <f>2*D194*PI()*D195</f>
        <v>#REF!</v>
      </c>
      <c r="E205" t="s">
        <v>181</v>
      </c>
    </row>
    <row r="206" spans="1:5" x14ac:dyDescent="0.25">
      <c r="A206" s="68"/>
      <c r="C206" t="s">
        <v>184</v>
      </c>
      <c r="D206" s="33" t="e">
        <f>D203*D195/D202</f>
        <v>#REF!</v>
      </c>
      <c r="E206" t="s">
        <v>21</v>
      </c>
    </row>
    <row r="207" spans="1:5" x14ac:dyDescent="0.25">
      <c r="A207" s="68"/>
      <c r="C207" t="s">
        <v>185</v>
      </c>
      <c r="D207" s="33">
        <f>D203*D193/D202</f>
        <v>2.1411591725823413E-3</v>
      </c>
      <c r="E207" t="s">
        <v>21</v>
      </c>
    </row>
    <row r="208" spans="1:5" x14ac:dyDescent="0.25">
      <c r="A208" s="68"/>
      <c r="C208" t="s">
        <v>186</v>
      </c>
      <c r="D208" s="33" t="e">
        <f>D206+D207</f>
        <v>#REF!</v>
      </c>
      <c r="E208" t="s">
        <v>21</v>
      </c>
    </row>
    <row r="209" spans="1:5" x14ac:dyDescent="0.25">
      <c r="A209" s="68"/>
      <c r="C209" t="s">
        <v>679</v>
      </c>
      <c r="D209" s="33" t="e">
        <f>POWER(D189/POWER(3, 0.5), 2)*D206</f>
        <v>#REF!</v>
      </c>
      <c r="E209" t="s">
        <v>19</v>
      </c>
    </row>
    <row r="210" spans="1:5" x14ac:dyDescent="0.25">
      <c r="A210" s="68"/>
      <c r="C210" t="s">
        <v>187</v>
      </c>
      <c r="D210" s="33">
        <f>POWER(D189/POWER(3, 0.5), 2)*D207</f>
        <v>0.2854878896776456</v>
      </c>
      <c r="E210" t="s">
        <v>19</v>
      </c>
    </row>
    <row r="211" spans="1:5" x14ac:dyDescent="0.25">
      <c r="A211" s="68"/>
      <c r="C211" t="s">
        <v>188</v>
      </c>
      <c r="D211" s="33" t="e">
        <f>D209+D210</f>
        <v>#REF!</v>
      </c>
      <c r="E211" t="s">
        <v>19</v>
      </c>
    </row>
    <row r="212" spans="1:5" x14ac:dyDescent="0.25">
      <c r="A212" s="68"/>
      <c r="C212" t="s">
        <v>189</v>
      </c>
      <c r="D212" s="37" t="e">
        <f>D209/D205</f>
        <v>#REF!</v>
      </c>
      <c r="E212" t="s">
        <v>676</v>
      </c>
    </row>
    <row r="213" spans="1:5" x14ac:dyDescent="0.25">
      <c r="A213" s="62"/>
      <c r="D213" s="37"/>
    </row>
    <row r="214" spans="1:5" x14ac:dyDescent="0.25">
      <c r="A214" s="68" t="s">
        <v>856</v>
      </c>
      <c r="B214" t="s">
        <v>816</v>
      </c>
      <c r="D214">
        <f>D156</f>
        <v>8.5</v>
      </c>
    </row>
    <row r="215" spans="1:5" x14ac:dyDescent="0.25">
      <c r="A215" s="68"/>
      <c r="B215" t="s">
        <v>815</v>
      </c>
      <c r="D215">
        <f>D153</f>
        <v>3.5</v>
      </c>
      <c r="E215" s="7" t="s">
        <v>21</v>
      </c>
    </row>
    <row r="216" spans="1:5" x14ac:dyDescent="0.25">
      <c r="A216" s="68"/>
      <c r="B216" t="s">
        <v>818</v>
      </c>
      <c r="D216" s="1">
        <f>D84</f>
        <v>1.1999999999999999E-6</v>
      </c>
      <c r="E216" t="s">
        <v>20</v>
      </c>
    </row>
    <row r="217" spans="1:5" x14ac:dyDescent="0.25">
      <c r="A217" s="68"/>
      <c r="B217" t="s">
        <v>827</v>
      </c>
      <c r="D217">
        <f>D150</f>
        <v>6.6000000000000003E-6</v>
      </c>
      <c r="E217" t="s">
        <v>131</v>
      </c>
    </row>
    <row r="218" spans="1:5" x14ac:dyDescent="0.25">
      <c r="A218" s="68"/>
      <c r="B218" t="s">
        <v>829</v>
      </c>
      <c r="D218" s="1">
        <f>D151</f>
        <v>5.3400000000000004E-5</v>
      </c>
      <c r="E218" t="s">
        <v>131</v>
      </c>
    </row>
    <row r="219" spans="1:5" x14ac:dyDescent="0.25">
      <c r="A219" s="68"/>
      <c r="B219" t="s">
        <v>828</v>
      </c>
      <c r="D219">
        <f>D152</f>
        <v>0.1</v>
      </c>
      <c r="E219" s="7" t="s">
        <v>21</v>
      </c>
    </row>
    <row r="220" spans="1:5" x14ac:dyDescent="0.25">
      <c r="A220" s="68"/>
      <c r="B220" t="s">
        <v>851</v>
      </c>
      <c r="C220" t="s">
        <v>854</v>
      </c>
      <c r="D220">
        <f>D18</f>
        <v>20</v>
      </c>
      <c r="E220" s="7"/>
    </row>
    <row r="221" spans="1:5" x14ac:dyDescent="0.25">
      <c r="A221" s="68"/>
      <c r="B221" t="s">
        <v>847</v>
      </c>
      <c r="D221">
        <f>D3</f>
        <v>16000</v>
      </c>
    </row>
    <row r="222" spans="1:5" x14ac:dyDescent="0.25">
      <c r="A222" s="68"/>
      <c r="B222" t="s">
        <v>848</v>
      </c>
      <c r="D222">
        <f>D7</f>
        <v>44.1</v>
      </c>
    </row>
    <row r="223" spans="1:5" x14ac:dyDescent="0.25">
      <c r="A223" s="68"/>
      <c r="B223" t="s">
        <v>814</v>
      </c>
      <c r="D223" s="18">
        <f>D215/D214</f>
        <v>0.41176470588235292</v>
      </c>
      <c r="E223" s="7" t="s">
        <v>21</v>
      </c>
    </row>
    <row r="224" spans="1:5" x14ac:dyDescent="0.25">
      <c r="A224" s="68"/>
      <c r="B224" t="s">
        <v>817</v>
      </c>
      <c r="D224" s="18">
        <f>D216*D214</f>
        <v>1.0199999999999999E-5</v>
      </c>
      <c r="E224" t="s">
        <v>20</v>
      </c>
    </row>
    <row r="225" spans="1:109" x14ac:dyDescent="0.25">
      <c r="A225" s="68"/>
      <c r="B225" t="s">
        <v>648</v>
      </c>
      <c r="D225" s="33">
        <f>1/(D221*4*100)</f>
        <v>1.5625000000000001E-7</v>
      </c>
      <c r="E225" t="s">
        <v>220</v>
      </c>
    </row>
    <row r="226" spans="1:109" x14ac:dyDescent="0.25">
      <c r="A226" s="68"/>
      <c r="B226" t="s">
        <v>765</v>
      </c>
      <c r="C226" t="s">
        <v>819</v>
      </c>
      <c r="E226" t="s">
        <v>220</v>
      </c>
      <c r="H226">
        <v>0</v>
      </c>
      <c r="I226" s="1">
        <f t="shared" ref="I226:AN226" si="39">H226+$D225</f>
        <v>1.5625000000000001E-7</v>
      </c>
      <c r="J226" s="1">
        <f t="shared" si="39"/>
        <v>3.1250000000000003E-7</v>
      </c>
      <c r="K226" s="1">
        <f t="shared" si="39"/>
        <v>4.6875000000000006E-7</v>
      </c>
      <c r="L226" s="1">
        <f t="shared" si="39"/>
        <v>6.2500000000000005E-7</v>
      </c>
      <c r="M226" s="1">
        <f t="shared" si="39"/>
        <v>7.8125000000000004E-7</v>
      </c>
      <c r="N226" s="1">
        <f t="shared" si="39"/>
        <v>9.3750000000000002E-7</v>
      </c>
      <c r="O226" s="1">
        <f t="shared" si="39"/>
        <v>1.0937500000000001E-6</v>
      </c>
      <c r="P226" s="1">
        <f t="shared" si="39"/>
        <v>1.2500000000000001E-6</v>
      </c>
      <c r="Q226" s="1">
        <f t="shared" si="39"/>
        <v>1.4062500000000001E-6</v>
      </c>
      <c r="R226" s="1">
        <f t="shared" si="39"/>
        <v>1.5625000000000001E-6</v>
      </c>
      <c r="S226" s="1">
        <f t="shared" si="39"/>
        <v>1.7187500000000001E-6</v>
      </c>
      <c r="T226" s="1">
        <f t="shared" si="39"/>
        <v>1.875E-6</v>
      </c>
      <c r="U226" s="1">
        <f t="shared" si="39"/>
        <v>2.0312500000000002E-6</v>
      </c>
      <c r="V226" s="1">
        <f t="shared" si="39"/>
        <v>2.1875000000000002E-6</v>
      </c>
      <c r="W226" s="1">
        <f t="shared" si="39"/>
        <v>2.3437500000000002E-6</v>
      </c>
      <c r="X226" s="1">
        <f t="shared" si="39"/>
        <v>2.5000000000000002E-6</v>
      </c>
      <c r="Y226" s="1">
        <f t="shared" si="39"/>
        <v>2.6562500000000002E-6</v>
      </c>
      <c r="Z226" s="1">
        <f t="shared" si="39"/>
        <v>2.8125000000000002E-6</v>
      </c>
      <c r="AA226" s="1">
        <f t="shared" si="39"/>
        <v>2.9687500000000002E-6</v>
      </c>
      <c r="AB226" s="1">
        <f t="shared" si="39"/>
        <v>3.1250000000000001E-6</v>
      </c>
      <c r="AC226" s="1">
        <f t="shared" si="39"/>
        <v>3.2812500000000001E-6</v>
      </c>
      <c r="AD226" s="1">
        <f t="shared" si="39"/>
        <v>3.4375000000000001E-6</v>
      </c>
      <c r="AE226" s="1">
        <f t="shared" si="39"/>
        <v>3.5937500000000001E-6</v>
      </c>
      <c r="AF226" s="1">
        <f t="shared" si="39"/>
        <v>3.7500000000000001E-6</v>
      </c>
      <c r="AG226" s="1">
        <f t="shared" si="39"/>
        <v>3.9062500000000001E-6</v>
      </c>
      <c r="AH226" s="1">
        <f t="shared" si="39"/>
        <v>4.0625000000000005E-6</v>
      </c>
      <c r="AI226" s="1">
        <f t="shared" si="39"/>
        <v>4.2187500000000009E-6</v>
      </c>
      <c r="AJ226" s="1">
        <f t="shared" si="39"/>
        <v>4.3750000000000013E-6</v>
      </c>
      <c r="AK226" s="1">
        <f t="shared" si="39"/>
        <v>4.5312500000000017E-6</v>
      </c>
      <c r="AL226" s="1">
        <f t="shared" si="39"/>
        <v>4.6875000000000021E-6</v>
      </c>
      <c r="AM226" s="1">
        <f t="shared" si="39"/>
        <v>4.8437500000000025E-6</v>
      </c>
      <c r="AN226" s="1">
        <f t="shared" si="39"/>
        <v>5.000000000000003E-6</v>
      </c>
      <c r="AO226" s="1">
        <f t="shared" ref="AO226:BT226" si="40">AN226+$D225</f>
        <v>5.1562500000000034E-6</v>
      </c>
      <c r="AP226" s="1">
        <f t="shared" si="40"/>
        <v>5.3125000000000038E-6</v>
      </c>
      <c r="AQ226" s="1">
        <f t="shared" si="40"/>
        <v>5.4687500000000042E-6</v>
      </c>
      <c r="AR226" s="1">
        <f t="shared" si="40"/>
        <v>5.6250000000000046E-6</v>
      </c>
      <c r="AS226" s="1">
        <f t="shared" si="40"/>
        <v>5.781250000000005E-6</v>
      </c>
      <c r="AT226" s="1">
        <f t="shared" si="40"/>
        <v>5.9375000000000054E-6</v>
      </c>
      <c r="AU226" s="1">
        <f t="shared" si="40"/>
        <v>6.0937500000000058E-6</v>
      </c>
      <c r="AV226" s="1">
        <f t="shared" si="40"/>
        <v>6.2500000000000062E-6</v>
      </c>
      <c r="AW226" s="1">
        <f t="shared" si="40"/>
        <v>6.4062500000000066E-6</v>
      </c>
      <c r="AX226" s="1">
        <f t="shared" si="40"/>
        <v>6.562500000000007E-6</v>
      </c>
      <c r="AY226" s="1">
        <f t="shared" si="40"/>
        <v>6.7187500000000075E-6</v>
      </c>
      <c r="AZ226" s="1">
        <f t="shared" si="40"/>
        <v>6.8750000000000079E-6</v>
      </c>
      <c r="BA226" s="1">
        <f t="shared" si="40"/>
        <v>7.0312500000000083E-6</v>
      </c>
      <c r="BB226" s="1">
        <f t="shared" si="40"/>
        <v>7.1875000000000087E-6</v>
      </c>
      <c r="BC226" s="1">
        <f t="shared" si="40"/>
        <v>7.3437500000000091E-6</v>
      </c>
      <c r="BD226" s="1">
        <f t="shared" si="40"/>
        <v>7.5000000000000095E-6</v>
      </c>
      <c r="BE226" s="1">
        <f t="shared" si="40"/>
        <v>7.6562500000000099E-6</v>
      </c>
      <c r="BF226" s="1">
        <f t="shared" si="40"/>
        <v>7.8125000000000103E-6</v>
      </c>
      <c r="BG226" s="1">
        <f t="shared" si="40"/>
        <v>7.9687500000000107E-6</v>
      </c>
      <c r="BH226" s="1">
        <f t="shared" si="40"/>
        <v>8.1250000000000111E-6</v>
      </c>
      <c r="BI226" s="1">
        <f t="shared" si="40"/>
        <v>8.2812500000000116E-6</v>
      </c>
      <c r="BJ226" s="1">
        <f t="shared" si="40"/>
        <v>8.437500000000012E-6</v>
      </c>
      <c r="BK226" s="1">
        <f t="shared" si="40"/>
        <v>8.5937500000000124E-6</v>
      </c>
      <c r="BL226" s="1">
        <f t="shared" si="40"/>
        <v>8.7500000000000128E-6</v>
      </c>
      <c r="BM226" s="1">
        <f t="shared" si="40"/>
        <v>8.9062500000000132E-6</v>
      </c>
      <c r="BN226" s="1">
        <f t="shared" si="40"/>
        <v>9.0625000000000136E-6</v>
      </c>
      <c r="BO226" s="1">
        <f t="shared" si="40"/>
        <v>9.218750000000014E-6</v>
      </c>
      <c r="BP226" s="1">
        <f t="shared" si="40"/>
        <v>9.3750000000000144E-6</v>
      </c>
      <c r="BQ226" s="1">
        <f t="shared" si="40"/>
        <v>9.5312500000000148E-6</v>
      </c>
      <c r="BR226" s="1">
        <f t="shared" si="40"/>
        <v>9.6875000000000152E-6</v>
      </c>
      <c r="BS226" s="1">
        <f t="shared" si="40"/>
        <v>9.8437500000000157E-6</v>
      </c>
      <c r="BT226" s="1">
        <f t="shared" si="40"/>
        <v>1.0000000000000016E-5</v>
      </c>
      <c r="BU226" s="1">
        <f t="shared" ref="BU226:CZ226" si="41">BT226+$D225</f>
        <v>1.0156250000000016E-5</v>
      </c>
      <c r="BV226" s="1">
        <f t="shared" si="41"/>
        <v>1.0312500000000017E-5</v>
      </c>
      <c r="BW226" s="1">
        <f t="shared" si="41"/>
        <v>1.0468750000000017E-5</v>
      </c>
      <c r="BX226" s="1">
        <f t="shared" si="41"/>
        <v>1.0625000000000018E-5</v>
      </c>
      <c r="BY226" s="1">
        <f t="shared" si="41"/>
        <v>1.0781250000000018E-5</v>
      </c>
      <c r="BZ226" s="1">
        <f t="shared" si="41"/>
        <v>1.0937500000000019E-5</v>
      </c>
      <c r="CA226" s="1">
        <f t="shared" si="41"/>
        <v>1.1093750000000019E-5</v>
      </c>
      <c r="CB226" s="1">
        <f t="shared" si="41"/>
        <v>1.1250000000000019E-5</v>
      </c>
      <c r="CC226" s="1">
        <f t="shared" si="41"/>
        <v>1.140625000000002E-5</v>
      </c>
      <c r="CD226" s="1">
        <f t="shared" si="41"/>
        <v>1.156250000000002E-5</v>
      </c>
      <c r="CE226" s="1">
        <f t="shared" si="41"/>
        <v>1.1718750000000021E-5</v>
      </c>
      <c r="CF226" s="1">
        <f t="shared" si="41"/>
        <v>1.1875000000000021E-5</v>
      </c>
      <c r="CG226" s="1">
        <f t="shared" si="41"/>
        <v>1.2031250000000021E-5</v>
      </c>
      <c r="CH226" s="1">
        <f t="shared" si="41"/>
        <v>1.2187500000000022E-5</v>
      </c>
      <c r="CI226" s="1">
        <f t="shared" si="41"/>
        <v>1.2343750000000022E-5</v>
      </c>
      <c r="CJ226" s="1">
        <f t="shared" si="41"/>
        <v>1.2500000000000023E-5</v>
      </c>
      <c r="CK226" s="1">
        <f t="shared" si="41"/>
        <v>1.2656250000000023E-5</v>
      </c>
      <c r="CL226" s="1">
        <f t="shared" si="41"/>
        <v>1.2812500000000023E-5</v>
      </c>
      <c r="CM226" s="1">
        <f t="shared" si="41"/>
        <v>1.2968750000000024E-5</v>
      </c>
      <c r="CN226" s="1">
        <f t="shared" si="41"/>
        <v>1.3125000000000024E-5</v>
      </c>
      <c r="CO226" s="1">
        <f t="shared" si="41"/>
        <v>1.3281250000000025E-5</v>
      </c>
      <c r="CP226" s="1">
        <f t="shared" si="41"/>
        <v>1.3437500000000025E-5</v>
      </c>
      <c r="CQ226" s="1">
        <f t="shared" si="41"/>
        <v>1.3593750000000025E-5</v>
      </c>
      <c r="CR226" s="1">
        <f t="shared" si="41"/>
        <v>1.3750000000000026E-5</v>
      </c>
      <c r="CS226" s="1">
        <f t="shared" si="41"/>
        <v>1.3906250000000026E-5</v>
      </c>
      <c r="CT226" s="1">
        <f t="shared" si="41"/>
        <v>1.4062500000000027E-5</v>
      </c>
      <c r="CU226" s="1">
        <f t="shared" si="41"/>
        <v>1.4218750000000027E-5</v>
      </c>
      <c r="CV226" s="1">
        <f t="shared" si="41"/>
        <v>1.4375000000000028E-5</v>
      </c>
      <c r="CW226" s="1">
        <f t="shared" si="41"/>
        <v>1.4531250000000028E-5</v>
      </c>
      <c r="CX226" s="1">
        <f t="shared" si="41"/>
        <v>1.4687500000000028E-5</v>
      </c>
      <c r="CY226" s="1">
        <f t="shared" si="41"/>
        <v>1.4843750000000029E-5</v>
      </c>
      <c r="CZ226" s="1">
        <f t="shared" si="41"/>
        <v>1.5000000000000029E-5</v>
      </c>
      <c r="DA226" s="1">
        <f t="shared" ref="DA226:DD226" si="42">CZ226+$D225</f>
        <v>1.515625000000003E-5</v>
      </c>
      <c r="DB226" s="1">
        <f t="shared" si="42"/>
        <v>1.531250000000003E-5</v>
      </c>
      <c r="DC226" s="1">
        <f t="shared" si="42"/>
        <v>1.546875000000003E-5</v>
      </c>
      <c r="DD226" s="1">
        <f t="shared" si="42"/>
        <v>1.5625000000000031E-5</v>
      </c>
      <c r="DE226" s="1"/>
    </row>
    <row r="227" spans="1:109" x14ac:dyDescent="0.25">
      <c r="A227" s="68"/>
      <c r="B227" t="s">
        <v>820</v>
      </c>
      <c r="C227" t="s">
        <v>821</v>
      </c>
      <c r="E227" t="s">
        <v>18</v>
      </c>
      <c r="H227">
        <f>D222</f>
        <v>44.1</v>
      </c>
      <c r="I227">
        <f t="shared" ref="I227:AN227" si="43">$H227</f>
        <v>44.1</v>
      </c>
      <c r="J227">
        <f t="shared" si="43"/>
        <v>44.1</v>
      </c>
      <c r="K227">
        <f t="shared" si="43"/>
        <v>44.1</v>
      </c>
      <c r="L227">
        <f t="shared" si="43"/>
        <v>44.1</v>
      </c>
      <c r="M227">
        <f t="shared" si="43"/>
        <v>44.1</v>
      </c>
      <c r="N227">
        <f t="shared" si="43"/>
        <v>44.1</v>
      </c>
      <c r="O227">
        <f t="shared" si="43"/>
        <v>44.1</v>
      </c>
      <c r="P227">
        <f t="shared" si="43"/>
        <v>44.1</v>
      </c>
      <c r="Q227">
        <f t="shared" si="43"/>
        <v>44.1</v>
      </c>
      <c r="R227">
        <f t="shared" si="43"/>
        <v>44.1</v>
      </c>
      <c r="S227">
        <f t="shared" si="43"/>
        <v>44.1</v>
      </c>
      <c r="T227">
        <f t="shared" si="43"/>
        <v>44.1</v>
      </c>
      <c r="U227">
        <f t="shared" si="43"/>
        <v>44.1</v>
      </c>
      <c r="V227">
        <f t="shared" si="43"/>
        <v>44.1</v>
      </c>
      <c r="W227">
        <f t="shared" si="43"/>
        <v>44.1</v>
      </c>
      <c r="X227">
        <f t="shared" si="43"/>
        <v>44.1</v>
      </c>
      <c r="Y227">
        <f t="shared" si="43"/>
        <v>44.1</v>
      </c>
      <c r="Z227">
        <f t="shared" si="43"/>
        <v>44.1</v>
      </c>
      <c r="AA227">
        <f t="shared" si="43"/>
        <v>44.1</v>
      </c>
      <c r="AB227">
        <f t="shared" si="43"/>
        <v>44.1</v>
      </c>
      <c r="AC227">
        <f t="shared" si="43"/>
        <v>44.1</v>
      </c>
      <c r="AD227">
        <f t="shared" si="43"/>
        <v>44.1</v>
      </c>
      <c r="AE227">
        <f t="shared" si="43"/>
        <v>44.1</v>
      </c>
      <c r="AF227">
        <f t="shared" si="43"/>
        <v>44.1</v>
      </c>
      <c r="AG227">
        <f t="shared" si="43"/>
        <v>44.1</v>
      </c>
      <c r="AH227">
        <f t="shared" si="43"/>
        <v>44.1</v>
      </c>
      <c r="AI227">
        <f t="shared" si="43"/>
        <v>44.1</v>
      </c>
      <c r="AJ227">
        <f t="shared" si="43"/>
        <v>44.1</v>
      </c>
      <c r="AK227">
        <f t="shared" si="43"/>
        <v>44.1</v>
      </c>
      <c r="AL227">
        <f t="shared" si="43"/>
        <v>44.1</v>
      </c>
      <c r="AM227">
        <f t="shared" si="43"/>
        <v>44.1</v>
      </c>
      <c r="AN227">
        <f t="shared" si="43"/>
        <v>44.1</v>
      </c>
      <c r="AO227">
        <f t="shared" ref="AO227:BT227" si="44">$H227</f>
        <v>44.1</v>
      </c>
      <c r="AP227">
        <f t="shared" si="44"/>
        <v>44.1</v>
      </c>
      <c r="AQ227">
        <f t="shared" si="44"/>
        <v>44.1</v>
      </c>
      <c r="AR227">
        <f t="shared" si="44"/>
        <v>44.1</v>
      </c>
      <c r="AS227">
        <f t="shared" si="44"/>
        <v>44.1</v>
      </c>
      <c r="AT227">
        <f t="shared" si="44"/>
        <v>44.1</v>
      </c>
      <c r="AU227">
        <f t="shared" si="44"/>
        <v>44.1</v>
      </c>
      <c r="AV227">
        <f t="shared" si="44"/>
        <v>44.1</v>
      </c>
      <c r="AW227">
        <f t="shared" si="44"/>
        <v>44.1</v>
      </c>
      <c r="AX227">
        <f t="shared" si="44"/>
        <v>44.1</v>
      </c>
      <c r="AY227">
        <f t="shared" si="44"/>
        <v>44.1</v>
      </c>
      <c r="AZ227">
        <f t="shared" si="44"/>
        <v>44.1</v>
      </c>
      <c r="BA227">
        <f t="shared" si="44"/>
        <v>44.1</v>
      </c>
      <c r="BB227">
        <f t="shared" si="44"/>
        <v>44.1</v>
      </c>
      <c r="BC227">
        <f t="shared" si="44"/>
        <v>44.1</v>
      </c>
      <c r="BD227">
        <f t="shared" si="44"/>
        <v>44.1</v>
      </c>
      <c r="BE227">
        <f t="shared" si="44"/>
        <v>44.1</v>
      </c>
      <c r="BF227">
        <f t="shared" si="44"/>
        <v>44.1</v>
      </c>
      <c r="BG227">
        <f t="shared" si="44"/>
        <v>44.1</v>
      </c>
      <c r="BH227">
        <f t="shared" si="44"/>
        <v>44.1</v>
      </c>
      <c r="BI227">
        <f t="shared" si="44"/>
        <v>44.1</v>
      </c>
      <c r="BJ227">
        <f t="shared" si="44"/>
        <v>44.1</v>
      </c>
      <c r="BK227">
        <f t="shared" si="44"/>
        <v>44.1</v>
      </c>
      <c r="BL227">
        <f t="shared" si="44"/>
        <v>44.1</v>
      </c>
      <c r="BM227">
        <f t="shared" si="44"/>
        <v>44.1</v>
      </c>
      <c r="BN227">
        <f t="shared" si="44"/>
        <v>44.1</v>
      </c>
      <c r="BO227">
        <f t="shared" si="44"/>
        <v>44.1</v>
      </c>
      <c r="BP227">
        <f t="shared" si="44"/>
        <v>44.1</v>
      </c>
      <c r="BQ227">
        <f t="shared" si="44"/>
        <v>44.1</v>
      </c>
      <c r="BR227">
        <f t="shared" si="44"/>
        <v>44.1</v>
      </c>
      <c r="BS227">
        <f t="shared" si="44"/>
        <v>44.1</v>
      </c>
      <c r="BT227">
        <f t="shared" si="44"/>
        <v>44.1</v>
      </c>
      <c r="BU227">
        <f t="shared" ref="BU227:DD227" si="45">$H227</f>
        <v>44.1</v>
      </c>
      <c r="BV227">
        <f t="shared" si="45"/>
        <v>44.1</v>
      </c>
      <c r="BW227">
        <f t="shared" si="45"/>
        <v>44.1</v>
      </c>
      <c r="BX227">
        <f t="shared" si="45"/>
        <v>44.1</v>
      </c>
      <c r="BY227">
        <f t="shared" si="45"/>
        <v>44.1</v>
      </c>
      <c r="BZ227">
        <f t="shared" si="45"/>
        <v>44.1</v>
      </c>
      <c r="CA227">
        <f t="shared" si="45"/>
        <v>44.1</v>
      </c>
      <c r="CB227">
        <f t="shared" si="45"/>
        <v>44.1</v>
      </c>
      <c r="CC227">
        <f t="shared" si="45"/>
        <v>44.1</v>
      </c>
      <c r="CD227">
        <f t="shared" si="45"/>
        <v>44.1</v>
      </c>
      <c r="CE227">
        <f t="shared" si="45"/>
        <v>44.1</v>
      </c>
      <c r="CF227">
        <f t="shared" si="45"/>
        <v>44.1</v>
      </c>
      <c r="CG227">
        <f t="shared" si="45"/>
        <v>44.1</v>
      </c>
      <c r="CH227">
        <f t="shared" si="45"/>
        <v>44.1</v>
      </c>
      <c r="CI227">
        <f t="shared" si="45"/>
        <v>44.1</v>
      </c>
      <c r="CJ227">
        <f t="shared" si="45"/>
        <v>44.1</v>
      </c>
      <c r="CK227">
        <f t="shared" si="45"/>
        <v>44.1</v>
      </c>
      <c r="CL227">
        <f t="shared" si="45"/>
        <v>44.1</v>
      </c>
      <c r="CM227">
        <f t="shared" si="45"/>
        <v>44.1</v>
      </c>
      <c r="CN227">
        <f t="shared" si="45"/>
        <v>44.1</v>
      </c>
      <c r="CO227">
        <f t="shared" si="45"/>
        <v>44.1</v>
      </c>
      <c r="CP227">
        <f t="shared" si="45"/>
        <v>44.1</v>
      </c>
      <c r="CQ227">
        <f t="shared" si="45"/>
        <v>44.1</v>
      </c>
      <c r="CR227">
        <f t="shared" si="45"/>
        <v>44.1</v>
      </c>
      <c r="CS227">
        <f t="shared" si="45"/>
        <v>44.1</v>
      </c>
      <c r="CT227">
        <f t="shared" si="45"/>
        <v>44.1</v>
      </c>
      <c r="CU227">
        <f t="shared" si="45"/>
        <v>44.1</v>
      </c>
      <c r="CV227">
        <f t="shared" si="45"/>
        <v>44.1</v>
      </c>
      <c r="CW227">
        <f t="shared" si="45"/>
        <v>44.1</v>
      </c>
      <c r="CX227">
        <f t="shared" si="45"/>
        <v>44.1</v>
      </c>
      <c r="CY227">
        <f t="shared" si="45"/>
        <v>44.1</v>
      </c>
      <c r="CZ227">
        <f t="shared" si="45"/>
        <v>44.1</v>
      </c>
      <c r="DA227">
        <f t="shared" si="45"/>
        <v>44.1</v>
      </c>
      <c r="DB227">
        <f t="shared" si="45"/>
        <v>44.1</v>
      </c>
      <c r="DC227">
        <f t="shared" si="45"/>
        <v>44.1</v>
      </c>
      <c r="DD227">
        <f t="shared" si="45"/>
        <v>44.1</v>
      </c>
    </row>
    <row r="228" spans="1:109" x14ac:dyDescent="0.25">
      <c r="A228" s="68"/>
      <c r="B228" t="s">
        <v>813</v>
      </c>
      <c r="C228" t="s">
        <v>822</v>
      </c>
      <c r="E228" t="s">
        <v>17</v>
      </c>
      <c r="H228">
        <v>0</v>
      </c>
      <c r="I228">
        <f t="shared" ref="I228:AN228" si="46">H228 + $D225 * ((H227 - ($D219 + $D223)*H228 + ($D223*H229) - H230) /$D217)</f>
        <v>1.0440340909090911</v>
      </c>
      <c r="J228">
        <f t="shared" si="46"/>
        <v>2.0754190388384179</v>
      </c>
      <c r="K228">
        <f t="shared" si="46"/>
        <v>3.0939417322880312</v>
      </c>
      <c r="L228">
        <f t="shared" si="46"/>
        <v>4.0993969780661823</v>
      </c>
      <c r="M228">
        <f t="shared" si="46"/>
        <v>5.0915874846024076</v>
      </c>
      <c r="N228">
        <f t="shared" si="46"/>
        <v>6.070323842256367</v>
      </c>
      <c r="O228">
        <f t="shared" si="46"/>
        <v>7.0354245006684657</v>
      </c>
      <c r="P228">
        <f t="shared" si="46"/>
        <v>7.9867157431989018</v>
      </c>
      <c r="Q228">
        <f t="shared" si="46"/>
        <v>8.9240316585023827</v>
      </c>
      <c r="R228">
        <f t="shared" si="46"/>
        <v>9.8472141092863215</v>
      </c>
      <c r="S228">
        <f t="shared" si="46"/>
        <v>10.756112698300861</v>
      </c>
      <c r="T228">
        <f t="shared" si="46"/>
        <v>11.65058473160958</v>
      </c>
      <c r="U228">
        <f t="shared" si="46"/>
        <v>12.530495179190261</v>
      </c>
      <c r="V228">
        <f t="shared" si="46"/>
        <v>13.395716632915503</v>
      </c>
      <c r="W228">
        <f t="shared" si="46"/>
        <v>14.246129261963457</v>
      </c>
      <c r="X228">
        <f t="shared" si="46"/>
        <v>15.081620765709317</v>
      </c>
      <c r="Y228">
        <f t="shared" si="46"/>
        <v>15.90208632414865</v>
      </c>
      <c r="Z228">
        <f t="shared" si="46"/>
        <v>16.707428545903923</v>
      </c>
      <c r="AA228">
        <f t="shared" si="46"/>
        <v>17.497557413866001</v>
      </c>
      <c r="AB228">
        <f t="shared" si="46"/>
        <v>18.272390228522642</v>
      </c>
      <c r="AC228">
        <f t="shared" si="46"/>
        <v>19.031851549026317</v>
      </c>
      <c r="AD228">
        <f t="shared" si="46"/>
        <v>19.775873132053949</v>
      </c>
      <c r="AE228">
        <f t="shared" si="46"/>
        <v>20.504393868511375</v>
      </c>
      <c r="AF228">
        <f t="shared" si="46"/>
        <v>21.217359718135565</v>
      </c>
      <c r="AG228">
        <f t="shared" si="46"/>
        <v>21.914723642047825</v>
      </c>
      <c r="AH228">
        <f t="shared" si="46"/>
        <v>22.596445533311314</v>
      </c>
      <c r="AI228">
        <f t="shared" si="46"/>
        <v>23.262492145546435</v>
      </c>
      <c r="AJ228">
        <f t="shared" si="46"/>
        <v>23.912837019657687</v>
      </c>
      <c r="AK228">
        <f t="shared" si="46"/>
        <v>24.547460408725691</v>
      </c>
      <c r="AL228">
        <f t="shared" si="46"/>
        <v>25.166349201118202</v>
      </c>
      <c r="AM228">
        <f t="shared" si="46"/>
        <v>25.769496841873874</v>
      </c>
      <c r="AN228">
        <f t="shared" si="46"/>
        <v>26.356903252412685</v>
      </c>
      <c r="AO228">
        <f t="shared" ref="AO228:BT228" si="47">AN228 + $D225 * ((AN227 - ($D219 + $D223)*AN228 + ($D223*AN229) - AN230) /$D217)</f>
        <v>26.928574748626815</v>
      </c>
      <c r="AP228">
        <f t="shared" si="47"/>
        <v>27.484523957405841</v>
      </c>
      <c r="AQ228">
        <f t="shared" si="47"/>
        <v>28.02476973164999</v>
      </c>
      <c r="AR228">
        <f t="shared" si="47"/>
        <v>28.549337063825185</v>
      </c>
      <c r="AS228">
        <f t="shared" si="47"/>
        <v>29.058256998113524</v>
      </c>
      <c r="AT228">
        <f t="shared" si="47"/>
        <v>29.551566541212676</v>
      </c>
      <c r="AU228">
        <f t="shared" si="47"/>
        <v>30.029308571837614</v>
      </c>
      <c r="AV228">
        <f t="shared" si="47"/>
        <v>30.491531748977923</v>
      </c>
      <c r="AW228">
        <f t="shared" si="47"/>
        <v>30.938290418963764</v>
      </c>
      <c r="AX228">
        <f t="shared" si="47"/>
        <v>31.369644521393372</v>
      </c>
      <c r="AY228">
        <f t="shared" si="47"/>
        <v>31.785659493974798</v>
      </c>
      <c r="AZ228">
        <f t="shared" si="47"/>
        <v>32.186406176334323</v>
      </c>
      <c r="BA228">
        <f t="shared" si="47"/>
        <v>32.571960712843804</v>
      </c>
      <c r="BB228">
        <f t="shared" si="47"/>
        <v>32.942404454518851</v>
      </c>
      <c r="BC228">
        <f t="shared" si="47"/>
        <v>33.297823860039557</v>
      </c>
      <c r="BD228">
        <f t="shared" si="47"/>
        <v>33.638310395945162</v>
      </c>
      <c r="BE228">
        <f t="shared" si="47"/>
        <v>33.963960436053675</v>
      </c>
      <c r="BF228">
        <f t="shared" si="47"/>
        <v>34.274875160157244</v>
      </c>
      <c r="BG228">
        <f t="shared" si="47"/>
        <v>34.571160452043593</v>
      </c>
      <c r="BH228">
        <f t="shared" si="47"/>
        <v>34.85292679689362</v>
      </c>
      <c r="BI228">
        <f t="shared" si="47"/>
        <v>35.120289178104784</v>
      </c>
      <c r="BJ228">
        <f t="shared" si="47"/>
        <v>35.373366973589469</v>
      </c>
      <c r="BK228">
        <f t="shared" si="47"/>
        <v>35.612283851597269</v>
      </c>
      <c r="BL228">
        <f t="shared" si="47"/>
        <v>35.837167666109529</v>
      </c>
      <c r="BM228">
        <f t="shared" si="47"/>
        <v>36.048150351854161</v>
      </c>
      <c r="BN228">
        <f t="shared" si="47"/>
        <v>36.245367818988242</v>
      </c>
      <c r="BO228">
        <f t="shared" si="47"/>
        <v>36.428959847495477</v>
      </c>
      <c r="BP228">
        <f t="shared" si="47"/>
        <v>36.59906998134506</v>
      </c>
      <c r="BQ228">
        <f t="shared" si="47"/>
        <v>36.755845422458108</v>
      </c>
      <c r="BR228">
        <f t="shared" si="47"/>
        <v>36.89943692452713</v>
      </c>
      <c r="BS228">
        <f t="shared" si="47"/>
        <v>37.029998686733734</v>
      </c>
      <c r="BT228">
        <f t="shared" si="47"/>
        <v>37.147688247408972</v>
      </c>
      <c r="BU228">
        <f t="shared" ref="BU228:DD228" si="48">BT228 + $D225 * ((BT227 - ($D219 + $D223)*BT228 + ($D223*BT229) - BT230) /$D217)</f>
        <v>37.252666377680434</v>
      </c>
      <c r="BV228">
        <f t="shared" si="48"/>
        <v>37.345096975149481</v>
      </c>
      <c r="BW228">
        <f t="shared" si="48"/>
        <v>37.425146957641495</v>
      </c>
      <c r="BX228">
        <f t="shared" si="48"/>
        <v>37.492986157071499</v>
      </c>
      <c r="BY228">
        <f t="shared" si="48"/>
        <v>37.548787213466831</v>
      </c>
      <c r="BZ228">
        <f t="shared" si="48"/>
        <v>37.592725469188032</v>
      </c>
      <c r="CA228">
        <f t="shared" si="48"/>
        <v>37.624978863388492</v>
      </c>
      <c r="CB228">
        <f t="shared" si="48"/>
        <v>37.645727826752776</v>
      </c>
      <c r="CC228">
        <f t="shared" si="48"/>
        <v>37.655155176552903</v>
      </c>
      <c r="CD228">
        <f t="shared" si="48"/>
        <v>37.653446012061309</v>
      </c>
      <c r="CE228">
        <f t="shared" si="48"/>
        <v>37.640787610358537</v>
      </c>
      <c r="CF228">
        <f t="shared" si="48"/>
        <v>37.617369322573005</v>
      </c>
      <c r="CG228">
        <f t="shared" si="48"/>
        <v>37.583382470589662</v>
      </c>
      <c r="CH228">
        <f t="shared" si="48"/>
        <v>37.539020244263611</v>
      </c>
      <c r="CI228">
        <f t="shared" si="48"/>
        <v>37.484477599174149</v>
      </c>
      <c r="CJ228">
        <f t="shared" si="48"/>
        <v>37.419951154953964</v>
      </c>
      <c r="CK228">
        <f t="shared" si="48"/>
        <v>37.345639094227607</v>
      </c>
      <c r="CL228">
        <f t="shared" si="48"/>
        <v>37.261741062192662</v>
      </c>
      <c r="CM228">
        <f t="shared" si="48"/>
        <v>37.168458066876312</v>
      </c>
      <c r="CN228">
        <f t="shared" si="48"/>
        <v>37.065992380099381</v>
      </c>
      <c r="CO228">
        <f t="shared" si="48"/>
        <v>36.954547439179187</v>
      </c>
      <c r="CP228">
        <f t="shared" si="48"/>
        <v>36.834327749401837</v>
      </c>
      <c r="CQ228">
        <f t="shared" si="48"/>
        <v>36.705538787293953</v>
      </c>
      <c r="CR228">
        <f t="shared" si="48"/>
        <v>36.568386904723049</v>
      </c>
      <c r="CS228">
        <f t="shared" si="48"/>
        <v>36.423079233855077</v>
      </c>
      <c r="CT228">
        <f t="shared" si="48"/>
        <v>36.269823592997064</v>
      </c>
      <c r="CU228">
        <f t="shared" si="48"/>
        <v>36.108828393351807</v>
      </c>
      <c r="CV228">
        <f t="shared" si="48"/>
        <v>35.940302546711209</v>
      </c>
      <c r="CW228">
        <f t="shared" si="48"/>
        <v>35.764455374113751</v>
      </c>
      <c r="CX228">
        <f t="shared" si="48"/>
        <v>35.581496515491253</v>
      </c>
      <c r="CY228">
        <f t="shared" si="48"/>
        <v>35.391635840329016</v>
      </c>
      <c r="CZ228">
        <f t="shared" si="48"/>
        <v>35.195083359363004</v>
      </c>
      <c r="DA228">
        <f t="shared" si="48"/>
        <v>34.992049137336792</v>
      </c>
      <c r="DB228">
        <f t="shared" si="48"/>
        <v>34.782743206840422</v>
      </c>
      <c r="DC228">
        <f t="shared" si="48"/>
        <v>34.567375483252491</v>
      </c>
      <c r="DD228">
        <f t="shared" si="48"/>
        <v>34.346155680806191</v>
      </c>
    </row>
    <row r="229" spans="1:109" x14ac:dyDescent="0.25">
      <c r="A229" s="68"/>
      <c r="B229" t="s">
        <v>823</v>
      </c>
      <c r="C229" t="s">
        <v>824</v>
      </c>
      <c r="E229" t="s">
        <v>17</v>
      </c>
      <c r="H229">
        <v>0</v>
      </c>
      <c r="I229" s="1">
        <f t="shared" ref="I229:AN229" si="49">H229 + $D225 * (($D223*(H228 - H229) + H230) /$D218)</f>
        <v>0</v>
      </c>
      <c r="J229" s="1">
        <f t="shared" si="49"/>
        <v>1.2578897190260172E-3</v>
      </c>
      <c r="K229" s="1">
        <f t="shared" si="49"/>
        <v>3.8037099578032557E-3</v>
      </c>
      <c r="L229" s="1">
        <f t="shared" si="49"/>
        <v>7.6665852068145465E-3</v>
      </c>
      <c r="M229" s="1">
        <f t="shared" si="49"/>
        <v>1.2874723391807596E-2</v>
      </c>
      <c r="N229" s="1">
        <f t="shared" si="49"/>
        <v>1.945541599549587E-2</v>
      </c>
      <c r="O229" s="1">
        <f t="shared" si="49"/>
        <v>2.7435038550643685E-2</v>
      </c>
      <c r="P229" s="1">
        <f t="shared" si="49"/>
        <v>3.6839051499635837E-2</v>
      </c>
      <c r="Q229" s="1">
        <f t="shared" si="49"/>
        <v>4.7692001415544916E-2</v>
      </c>
      <c r="R229" s="1">
        <f t="shared" si="49"/>
        <v>6.0017522579625456E-2</v>
      </c>
      <c r="S229" s="1">
        <f t="shared" si="49"/>
        <v>7.3838338910083276E-2</v>
      </c>
      <c r="T229" s="1">
        <f t="shared" si="49"/>
        <v>8.9176266236890456E-2</v>
      </c>
      <c r="U229" s="1">
        <f t="shared" si="49"/>
        <v>0.10605221491734187</v>
      </c>
      <c r="V229" s="1">
        <f t="shared" si="49"/>
        <v>0.12448619278697762</v>
      </c>
      <c r="W229" s="1">
        <f t="shared" si="49"/>
        <v>0.14449730844042713</v>
      </c>
      <c r="X229" s="1">
        <f t="shared" si="49"/>
        <v>0.16610377483666572</v>
      </c>
      <c r="Y229" s="1">
        <f t="shared" si="49"/>
        <v>0.18932291322311137</v>
      </c>
      <c r="Z229" s="1">
        <f t="shared" si="49"/>
        <v>0.21417115737293127</v>
      </c>
      <c r="AA229" s="1">
        <f t="shared" si="49"/>
        <v>0.24066405812987027</v>
      </c>
      <c r="AB229" s="1">
        <f t="shared" si="49"/>
        <v>0.26881628825486126</v>
      </c>
      <c r="AC229" s="1">
        <f t="shared" si="49"/>
        <v>0.29864164756862671</v>
      </c>
      <c r="AD229" s="1">
        <f t="shared" si="49"/>
        <v>0.33015306838443365</v>
      </c>
      <c r="AE229" s="1">
        <f t="shared" si="49"/>
        <v>0.36336262122511997</v>
      </c>
      <c r="AF229" s="1">
        <f t="shared" si="49"/>
        <v>0.39828152081846918</v>
      </c>
      <c r="AG229" s="1">
        <f t="shared" si="49"/>
        <v>0.43492013236497151</v>
      </c>
      <c r="AH229" s="1">
        <f t="shared" si="49"/>
        <v>0.47328797807197487</v>
      </c>
      <c r="AI229" s="1">
        <f t="shared" si="49"/>
        <v>0.51339374394819604</v>
      </c>
      <c r="AJ229" s="1">
        <f t="shared" si="49"/>
        <v>0.55524528685253283</v>
      </c>
      <c r="AK229" s="1">
        <f t="shared" si="49"/>
        <v>0.59884964179109113</v>
      </c>
      <c r="AL229" s="1">
        <f t="shared" si="49"/>
        <v>0.64421302945631764</v>
      </c>
      <c r="AM229" s="1">
        <f t="shared" si="49"/>
        <v>0.69134086400210593</v>
      </c>
      <c r="AN229" s="1">
        <f t="shared" si="49"/>
        <v>0.74023776104872718</v>
      </c>
      <c r="AO229" s="1">
        <f t="shared" ref="AO229:BT229" si="50">AN229 + $D225 * (($D223*(AN228 - AN229) + AN230) /$D218)</f>
        <v>0.79090754591141987</v>
      </c>
      <c r="AP229" s="1">
        <f t="shared" si="50"/>
        <v>0.84335326204645988</v>
      </c>
      <c r="AQ229" s="1">
        <f t="shared" si="50"/>
        <v>0.89757717970852291</v>
      </c>
      <c r="AR229" s="1">
        <f t="shared" si="50"/>
        <v>0.95358080481314245</v>
      </c>
      <c r="AS229" s="1">
        <f t="shared" si="50"/>
        <v>1.0113648879980617</v>
      </c>
      <c r="AT229" s="1">
        <f t="shared" si="50"/>
        <v>1.0709294338772766</v>
      </c>
      <c r="AU229" s="1">
        <f t="shared" si="50"/>
        <v>1.1322737104815643</v>
      </c>
      <c r="AV229" s="1">
        <f t="shared" si="50"/>
        <v>1.1953962588792986</v>
      </c>
      <c r="AW229" s="1">
        <f t="shared" si="50"/>
        <v>1.2602949029713526</v>
      </c>
      <c r="AX229" s="1">
        <f t="shared" si="50"/>
        <v>1.3269667594539047</v>
      </c>
      <c r="AY229" s="1">
        <f t="shared" si="50"/>
        <v>1.395408247942965</v>
      </c>
      <c r="AZ229" s="1">
        <f t="shared" si="50"/>
        <v>1.4656151012544587</v>
      </c>
      <c r="BA229" s="1">
        <f t="shared" si="50"/>
        <v>1.5375823758337135</v>
      </c>
      <c r="BB229" s="1">
        <f t="shared" si="50"/>
        <v>1.6113044623282178</v>
      </c>
      <c r="BC229" s="1">
        <f t="shared" si="50"/>
        <v>1.6867750962975343</v>
      </c>
      <c r="BD229" s="1">
        <f t="shared" si="50"/>
        <v>1.763987369054274</v>
      </c>
      <c r="BE229" s="1">
        <f t="shared" si="50"/>
        <v>1.8429337386300633</v>
      </c>
      <c r="BF229" s="1">
        <f t="shared" si="50"/>
        <v>1.9236060408604587</v>
      </c>
      <c r="BG229" s="1">
        <f t="shared" si="50"/>
        <v>2.005995500582793</v>
      </c>
      <c r="BH229" s="1">
        <f t="shared" si="50"/>
        <v>2.0900927429409695</v>
      </c>
      <c r="BI229" s="1">
        <f t="shared" si="50"/>
        <v>2.1758878047912478</v>
      </c>
      <c r="BJ229" s="1">
        <f t="shared" si="50"/>
        <v>2.2633701462031053</v>
      </c>
      <c r="BK229" s="1">
        <f t="shared" si="50"/>
        <v>2.3525286620492882</v>
      </c>
      <c r="BL229" s="1">
        <f t="shared" si="50"/>
        <v>2.4433516936792108</v>
      </c>
      <c r="BM229" s="1">
        <f t="shared" si="50"/>
        <v>2.5358270406698935</v>
      </c>
      <c r="BN229" s="1">
        <f t="shared" si="50"/>
        <v>2.6299419726486826</v>
      </c>
      <c r="BO229" s="1">
        <f t="shared" si="50"/>
        <v>2.7256832411820264</v>
      </c>
      <c r="BP229" s="1">
        <f t="shared" si="50"/>
        <v>2.823037091724641</v>
      </c>
      <c r="BQ229" s="1">
        <f t="shared" si="50"/>
        <v>2.9219892756234307</v>
      </c>
      <c r="BR229" s="1">
        <f t="shared" si="50"/>
        <v>3.0225250621705939</v>
      </c>
      <c r="BS229" s="1">
        <f t="shared" si="50"/>
        <v>3.1246292507003819</v>
      </c>
      <c r="BT229" s="1">
        <f t="shared" si="50"/>
        <v>3.2282861827240379</v>
      </c>
      <c r="BU229" s="1">
        <f t="shared" ref="BU229:DD229" si="51">BT229 + $D225 * (($D223*(BT228 - BT229) + BT230) /$D218)</f>
        <v>3.3334797540974948</v>
      </c>
      <c r="BV229" s="1">
        <f t="shared" si="51"/>
        <v>3.440193427216466</v>
      </c>
      <c r="BW229" s="1">
        <f t="shared" si="51"/>
        <v>3.5484102432336195</v>
      </c>
      <c r="BX229" s="1">
        <f t="shared" si="51"/>
        <v>3.6581128342925866</v>
      </c>
      <c r="BY229" s="1">
        <f t="shared" si="51"/>
        <v>3.7692834357736089</v>
      </c>
      <c r="BZ229" s="1">
        <f t="shared" si="51"/>
        <v>3.8819038985456999</v>
      </c>
      <c r="CA229" s="1">
        <f t="shared" si="51"/>
        <v>3.9959557012202485</v>
      </c>
      <c r="CB229" s="1">
        <f t="shared" si="51"/>
        <v>4.111419962401059</v>
      </c>
      <c r="CC229" s="1">
        <f t="shared" si="51"/>
        <v>4.2282774529258935</v>
      </c>
      <c r="CD229" s="1">
        <f t="shared" si="51"/>
        <v>4.346508608094636</v>
      </c>
      <c r="CE229" s="1">
        <f t="shared" si="51"/>
        <v>4.4660935398792772</v>
      </c>
      <c r="CF229" s="1">
        <f t="shared" si="51"/>
        <v>4.5870120491109754</v>
      </c>
      <c r="CG229" s="1">
        <f t="shared" si="51"/>
        <v>4.7092436376395312</v>
      </c>
      <c r="CH229" s="1">
        <f t="shared" si="51"/>
        <v>4.8327675204606724</v>
      </c>
      <c r="CI229" s="1">
        <f t="shared" si="51"/>
        <v>4.9575626378066238</v>
      </c>
      <c r="CJ229" s="1">
        <f t="shared" si="51"/>
        <v>5.0836076671955022</v>
      </c>
      <c r="CK229" s="1">
        <f t="shared" si="51"/>
        <v>5.2108810354351611</v>
      </c>
      <c r="CL229" s="1">
        <f t="shared" si="51"/>
        <v>5.339360930577171</v>
      </c>
      <c r="CM229" s="1">
        <f t="shared" si="51"/>
        <v>5.4690253138167062</v>
      </c>
      <c r="CN229" s="1">
        <f t="shared" si="51"/>
        <v>5.5998519313341744</v>
      </c>
      <c r="CO229" s="1">
        <f t="shared" si="51"/>
        <v>5.7318183260745155</v>
      </c>
      <c r="CP229" s="1">
        <f t="shared" si="51"/>
        <v>5.8649018494601579</v>
      </c>
      <c r="CQ229" s="1">
        <f t="shared" si="51"/>
        <v>5.9990796730337088</v>
      </c>
      <c r="CR229" s="1">
        <f t="shared" si="51"/>
        <v>6.1343288000265277</v>
      </c>
      <c r="CS229" s="1">
        <f t="shared" si="51"/>
        <v>6.2706260768494175</v>
      </c>
      <c r="CT229" s="1">
        <f t="shared" si="51"/>
        <v>6.4079482045017384</v>
      </c>
      <c r="CU229" s="1">
        <f t="shared" si="51"/>
        <v>6.546271749895336</v>
      </c>
      <c r="CV229" s="1">
        <f t="shared" si="51"/>
        <v>6.6855731570897525</v>
      </c>
      <c r="CW229" s="1">
        <f t="shared" si="51"/>
        <v>6.8258287584352741</v>
      </c>
      <c r="CX229" s="1">
        <f t="shared" si="51"/>
        <v>6.9670147856204423</v>
      </c>
      <c r="CY229" s="1">
        <f t="shared" si="51"/>
        <v>7.1091073806207463</v>
      </c>
      <c r="CZ229" s="1">
        <f t="shared" si="51"/>
        <v>7.2520826065452884</v>
      </c>
      <c r="DA229" s="1">
        <f t="shared" si="51"/>
        <v>7.3959164583783021</v>
      </c>
      <c r="DB229" s="1">
        <f t="shared" si="51"/>
        <v>7.540584873612481</v>
      </c>
      <c r="DC229" s="1">
        <f t="shared" si="51"/>
        <v>7.68606374277116</v>
      </c>
      <c r="DD229" s="1">
        <f t="shared" si="51"/>
        <v>7.8323289198164741</v>
      </c>
      <c r="DE229" s="1"/>
    </row>
    <row r="230" spans="1:109" x14ac:dyDescent="0.25">
      <c r="A230" s="68"/>
      <c r="B230" t="s">
        <v>825</v>
      </c>
      <c r="C230" t="s">
        <v>826</v>
      </c>
      <c r="E230" t="s">
        <v>18</v>
      </c>
      <c r="H230">
        <v>0</v>
      </c>
      <c r="I230">
        <f t="shared" ref="I230:AN230" si="52">H230 + $D225 * ((H228 -H229) / $D224)</f>
        <v>0</v>
      </c>
      <c r="J230">
        <f t="shared" si="52"/>
        <v>1.5993169284759363E-2</v>
      </c>
      <c r="K230">
        <f t="shared" si="52"/>
        <v>4.7766471201416721E-2</v>
      </c>
      <c r="L230">
        <f t="shared" si="52"/>
        <v>9.5103144337602807E-2</v>
      </c>
      <c r="M230">
        <f t="shared" si="52"/>
        <v>0.1577828378556691</v>
      </c>
      <c r="N230">
        <f t="shared" si="52"/>
        <v>0.23558174657519423</v>
      </c>
      <c r="O230">
        <f t="shared" si="52"/>
        <v>0.32827274575198456</v>
      </c>
      <c r="P230">
        <f t="shared" si="52"/>
        <v>0.43562552550256395</v>
      </c>
      <c r="Q230">
        <f t="shared" si="52"/>
        <v>0.55740672482393749</v>
      </c>
      <c r="R230">
        <f t="shared" si="52"/>
        <v>0.6933800651592138</v>
      </c>
      <c r="S230">
        <f t="shared" si="52"/>
        <v>0.84330648346048065</v>
      </c>
      <c r="T230">
        <f t="shared" si="52"/>
        <v>1.0069442647011482</v>
      </c>
      <c r="U230">
        <f t="shared" si="52"/>
        <v>1.1840491737908034</v>
      </c>
      <c r="V230">
        <f t="shared" si="52"/>
        <v>1.3743745868464547</v>
      </c>
      <c r="W230">
        <f t="shared" si="52"/>
        <v>1.5776716217748943</v>
      </c>
      <c r="X230">
        <f t="shared" si="52"/>
        <v>1.7936892681217544</v>
      </c>
      <c r="Y230">
        <f t="shared" si="52"/>
        <v>2.0221745161437008</v>
      </c>
      <c r="Z230">
        <f t="shared" si="52"/>
        <v>2.2628724850610649</v>
      </c>
      <c r="AA230">
        <f t="shared" si="52"/>
        <v>2.5155265504491009</v>
      </c>
      <c r="AB230">
        <f t="shared" si="52"/>
        <v>2.7798784707269215</v>
      </c>
      <c r="AC230">
        <f t="shared" si="52"/>
        <v>3.055668512704063</v>
      </c>
      <c r="AD230">
        <f t="shared" si="52"/>
        <v>3.3426355761455104</v>
      </c>
      <c r="AE230">
        <f t="shared" si="52"/>
        <v>3.6405173173169185</v>
      </c>
      <c r="AF230">
        <f t="shared" si="52"/>
        <v>3.9490502714726516</v>
      </c>
      <c r="AG230">
        <f t="shared" si="52"/>
        <v>4.2679699742501809</v>
      </c>
      <c r="AH230">
        <f t="shared" si="52"/>
        <v>4.5970110819352739</v>
      </c>
      <c r="AI230">
        <f t="shared" si="52"/>
        <v>4.9359074905633271</v>
      </c>
      <c r="AJ230">
        <f t="shared" si="52"/>
        <v>5.284392453823104</v>
      </c>
      <c r="AK230">
        <f t="shared" si="52"/>
        <v>5.642198699730046</v>
      </c>
      <c r="AL230">
        <f t="shared" si="52"/>
        <v>6.009058546037255</v>
      </c>
      <c r="AM230">
        <f t="shared" si="52"/>
        <v>6.3847040143531544</v>
      </c>
      <c r="AN230">
        <f t="shared" si="52"/>
        <v>6.7688669429357491</v>
      </c>
      <c r="AO230">
        <f t="shared" ref="AO230:BT230" si="53">AN230 + $D225 * ((AN228 -AN229) / $D224)</f>
        <v>7.1612790981343393</v>
      </c>
      <c r="AP230">
        <f t="shared" si="53"/>
        <v>7.5616722844504451</v>
      </c>
      <c r="AQ230">
        <f t="shared" si="53"/>
        <v>7.9697784531906315</v>
      </c>
      <c r="AR230">
        <f t="shared" si="53"/>
        <v>8.3853298096848334</v>
      </c>
      <c r="AS230">
        <f t="shared" si="53"/>
        <v>8.808058919044699</v>
      </c>
      <c r="AT230">
        <f t="shared" si="53"/>
        <v>9.2376988104373989</v>
      </c>
      <c r="AU230">
        <f t="shared" si="53"/>
        <v>9.6739830798512383</v>
      </c>
      <c r="AV230">
        <f t="shared" si="53"/>
        <v>10.116645991330344</v>
      </c>
      <c r="AW230">
        <f t="shared" si="53"/>
        <v>10.56542257665661</v>
      </c>
      <c r="AX230">
        <f t="shared" si="53"/>
        <v>11.020048733457966</v>
      </c>
      <c r="AY230">
        <f t="shared" si="53"/>
        <v>11.480261321722971</v>
      </c>
      <c r="AZ230">
        <f t="shared" si="53"/>
        <v>11.945798258702625</v>
      </c>
      <c r="BA230">
        <f t="shared" si="53"/>
        <v>12.416398612181178</v>
      </c>
      <c r="BB230">
        <f t="shared" si="53"/>
        <v>12.891802692098612</v>
      </c>
      <c r="BC230">
        <f t="shared" si="53"/>
        <v>13.371752140508395</v>
      </c>
      <c r="BD230">
        <f t="shared" si="53"/>
        <v>13.855990019854934</v>
      </c>
      <c r="BE230">
        <f t="shared" si="53"/>
        <v>14.344260899556081</v>
      </c>
      <c r="BF230">
        <f t="shared" si="53"/>
        <v>14.836310940876908</v>
      </c>
      <c r="BG230">
        <f t="shared" si="53"/>
        <v>15.331887980081822</v>
      </c>
      <c r="BH230">
        <f t="shared" si="53"/>
        <v>15.830741609852975</v>
      </c>
      <c r="BI230">
        <f t="shared" si="53"/>
        <v>16.332623258963771</v>
      </c>
      <c r="BJ230">
        <f t="shared" si="53"/>
        <v>16.837286270197129</v>
      </c>
      <c r="BK230">
        <f t="shared" si="53"/>
        <v>17.344485976499005</v>
      </c>
      <c r="BL230">
        <f t="shared" si="53"/>
        <v>17.853979775358503</v>
      </c>
      <c r="BM230">
        <f t="shared" si="53"/>
        <v>18.365527201406763</v>
      </c>
      <c r="BN230">
        <f t="shared" si="53"/>
        <v>18.878889997227603</v>
      </c>
      <c r="BO230">
        <f t="shared" si="53"/>
        <v>19.393832182373735</v>
      </c>
      <c r="BP230">
        <f t="shared" si="53"/>
        <v>19.910120120583194</v>
      </c>
      <c r="BQ230">
        <f t="shared" si="53"/>
        <v>20.427522585191351</v>
      </c>
      <c r="BR230">
        <f t="shared" si="53"/>
        <v>20.945810822734774</v>
      </c>
      <c r="BS230">
        <f t="shared" si="53"/>
        <v>21.464758614743914</v>
      </c>
      <c r="BT230">
        <f t="shared" si="53"/>
        <v>21.984142337722368</v>
      </c>
      <c r="BU230">
        <f t="shared" ref="BU230:DD230" si="54">BT230 + $D225 * ((BT228 -BT229) / $D224)</f>
        <v>22.503741021311292</v>
      </c>
      <c r="BV230">
        <f t="shared" si="54"/>
        <v>23.023336404638236</v>
      </c>
      <c r="BW230">
        <f t="shared" si="54"/>
        <v>23.542712990850447</v>
      </c>
      <c r="BX230">
        <f t="shared" si="54"/>
        <v>24.061658099833412</v>
      </c>
      <c r="BY230">
        <f t="shared" si="54"/>
        <v>24.579961919116176</v>
      </c>
      <c r="BZ230">
        <f t="shared" si="54"/>
        <v>25.097417552965645</v>
      </c>
      <c r="CA230">
        <f t="shared" si="54"/>
        <v>25.613821069672788</v>
      </c>
      <c r="CB230">
        <f t="shared" si="54"/>
        <v>26.128971547034435</v>
      </c>
      <c r="CC230">
        <f t="shared" si="54"/>
        <v>26.642671116034922</v>
      </c>
      <c r="CD230">
        <f t="shared" si="54"/>
        <v>27.15472500273264</v>
      </c>
      <c r="CE230">
        <f t="shared" si="54"/>
        <v>27.664941568357129</v>
      </c>
      <c r="CF230">
        <f t="shared" si="54"/>
        <v>28.173132347623049</v>
      </c>
      <c r="CG230">
        <f t="shared" si="54"/>
        <v>28.679112085267995</v>
      </c>
      <c r="CH230">
        <f t="shared" si="54"/>
        <v>29.182698770821766</v>
      </c>
      <c r="CI230">
        <f t="shared" si="54"/>
        <v>29.683713671615315</v>
      </c>
      <c r="CJ230">
        <f t="shared" si="54"/>
        <v>30.181981364038226</v>
      </c>
      <c r="CK230">
        <f t="shared" si="54"/>
        <v>30.677329763054132</v>
      </c>
      <c r="CL230">
        <f t="shared" si="54"/>
        <v>31.169590149984163</v>
      </c>
      <c r="CM230">
        <f t="shared" si="54"/>
        <v>31.658597198568959</v>
      </c>
      <c r="CN230">
        <f t="shared" si="54"/>
        <v>32.144188999320484</v>
      </c>
      <c r="CO230">
        <f t="shared" si="54"/>
        <v>32.626207082175341</v>
      </c>
      <c r="CP230">
        <f t="shared" si="54"/>
        <v>33.104496437461869</v>
      </c>
      <c r="CQ230">
        <f t="shared" si="54"/>
        <v>33.578905535193819</v>
      </c>
      <c r="CR230">
        <f t="shared" si="54"/>
        <v>34.04928634270393</v>
      </c>
      <c r="CS230">
        <f t="shared" si="54"/>
        <v>34.515494340631264</v>
      </c>
      <c r="CT230">
        <f t="shared" si="54"/>
        <v>34.977388537276575</v>
      </c>
      <c r="CU230">
        <f t="shared" si="54"/>
        <v>35.434831481340538</v>
      </c>
      <c r="CV230">
        <f t="shared" si="54"/>
        <v>35.887689273060154</v>
      </c>
      <c r="CW230">
        <f t="shared" si="54"/>
        <v>36.335831573759009</v>
      </c>
      <c r="CX230">
        <f t="shared" si="54"/>
        <v>36.779131613827616</v>
      </c>
      <c r="CY230">
        <f t="shared" si="54"/>
        <v>37.217466199150394</v>
      </c>
      <c r="CZ230">
        <f t="shared" si="54"/>
        <v>37.650715715996412</v>
      </c>
      <c r="DA230">
        <f t="shared" si="54"/>
        <v>38.078764134391292</v>
      </c>
      <c r="DB230">
        <f t="shared" si="54"/>
        <v>38.501499009988081</v>
      </c>
      <c r="DC230">
        <f t="shared" si="54"/>
        <v>38.918811484455418</v>
      </c>
      <c r="DD230">
        <f t="shared" si="54"/>
        <v>39.330596284401516</v>
      </c>
    </row>
    <row r="231" spans="1:109" x14ac:dyDescent="0.25">
      <c r="A231" s="68"/>
      <c r="B231" t="s">
        <v>831</v>
      </c>
      <c r="C231" t="s">
        <v>845</v>
      </c>
      <c r="H231">
        <v>0</v>
      </c>
      <c r="I231">
        <f>H231+1</f>
        <v>1</v>
      </c>
      <c r="J231">
        <f>I231+1</f>
        <v>2</v>
      </c>
      <c r="K231">
        <f>J231+1</f>
        <v>3</v>
      </c>
      <c r="L231">
        <f>K231+1</f>
        <v>4</v>
      </c>
      <c r="M231">
        <f>L231+1</f>
        <v>5</v>
      </c>
      <c r="N231">
        <f t="shared" ref="N231:R231" si="55">M231+1</f>
        <v>6</v>
      </c>
      <c r="O231">
        <f t="shared" si="55"/>
        <v>7</v>
      </c>
      <c r="P231">
        <f t="shared" si="55"/>
        <v>8</v>
      </c>
      <c r="Q231">
        <f t="shared" si="55"/>
        <v>9</v>
      </c>
      <c r="R231">
        <f t="shared" si="55"/>
        <v>10</v>
      </c>
      <c r="S231">
        <f t="shared" ref="S231:W231" si="56">R231+1</f>
        <v>11</v>
      </c>
      <c r="T231">
        <f t="shared" si="56"/>
        <v>12</v>
      </c>
      <c r="U231">
        <f t="shared" si="56"/>
        <v>13</v>
      </c>
      <c r="V231">
        <f t="shared" si="56"/>
        <v>14</v>
      </c>
      <c r="W231">
        <f t="shared" si="56"/>
        <v>15</v>
      </c>
      <c r="X231">
        <f t="shared" ref="X231:BV231" si="57">W231+1</f>
        <v>16</v>
      </c>
      <c r="Y231">
        <f t="shared" si="57"/>
        <v>17</v>
      </c>
      <c r="Z231">
        <f t="shared" si="57"/>
        <v>18</v>
      </c>
      <c r="AA231">
        <f t="shared" si="57"/>
        <v>19</v>
      </c>
      <c r="AB231">
        <f t="shared" si="57"/>
        <v>20</v>
      </c>
      <c r="AC231">
        <f t="shared" si="57"/>
        <v>21</v>
      </c>
      <c r="AD231">
        <f t="shared" si="57"/>
        <v>22</v>
      </c>
      <c r="AE231">
        <f t="shared" si="57"/>
        <v>23</v>
      </c>
      <c r="AF231">
        <f t="shared" si="57"/>
        <v>24</v>
      </c>
      <c r="AG231">
        <f t="shared" si="57"/>
        <v>25</v>
      </c>
      <c r="AH231">
        <f t="shared" si="57"/>
        <v>26</v>
      </c>
      <c r="AI231">
        <f t="shared" si="57"/>
        <v>27</v>
      </c>
      <c r="AJ231">
        <f t="shared" si="57"/>
        <v>28</v>
      </c>
      <c r="AK231">
        <f t="shared" si="57"/>
        <v>29</v>
      </c>
      <c r="AL231">
        <f t="shared" si="57"/>
        <v>30</v>
      </c>
      <c r="AM231">
        <f t="shared" si="57"/>
        <v>31</v>
      </c>
      <c r="AN231">
        <f t="shared" si="57"/>
        <v>32</v>
      </c>
      <c r="AO231">
        <f t="shared" si="57"/>
        <v>33</v>
      </c>
      <c r="AP231">
        <f t="shared" si="57"/>
        <v>34</v>
      </c>
      <c r="AQ231">
        <f t="shared" si="57"/>
        <v>35</v>
      </c>
      <c r="AR231">
        <f t="shared" si="57"/>
        <v>36</v>
      </c>
      <c r="AS231">
        <f t="shared" si="57"/>
        <v>37</v>
      </c>
      <c r="AT231">
        <f t="shared" si="57"/>
        <v>38</v>
      </c>
      <c r="AU231">
        <f t="shared" si="57"/>
        <v>39</v>
      </c>
      <c r="AV231">
        <f t="shared" si="57"/>
        <v>40</v>
      </c>
      <c r="AW231">
        <f t="shared" si="57"/>
        <v>41</v>
      </c>
      <c r="AX231">
        <f t="shared" si="57"/>
        <v>42</v>
      </c>
      <c r="AY231">
        <f t="shared" si="57"/>
        <v>43</v>
      </c>
      <c r="AZ231">
        <f t="shared" si="57"/>
        <v>44</v>
      </c>
      <c r="BA231">
        <f t="shared" si="57"/>
        <v>45</v>
      </c>
      <c r="BB231">
        <f t="shared" si="57"/>
        <v>46</v>
      </c>
      <c r="BC231">
        <f t="shared" si="57"/>
        <v>47</v>
      </c>
      <c r="BD231">
        <f t="shared" si="57"/>
        <v>48</v>
      </c>
      <c r="BE231">
        <f t="shared" si="57"/>
        <v>49</v>
      </c>
      <c r="BF231">
        <f t="shared" si="57"/>
        <v>50</v>
      </c>
      <c r="BG231">
        <f t="shared" si="57"/>
        <v>51</v>
      </c>
      <c r="BH231">
        <f t="shared" si="57"/>
        <v>52</v>
      </c>
      <c r="BI231">
        <f t="shared" si="57"/>
        <v>53</v>
      </c>
      <c r="BJ231">
        <f t="shared" si="57"/>
        <v>54</v>
      </c>
      <c r="BK231">
        <f t="shared" si="57"/>
        <v>55</v>
      </c>
      <c r="BL231">
        <f t="shared" si="57"/>
        <v>56</v>
      </c>
      <c r="BM231">
        <f t="shared" si="57"/>
        <v>57</v>
      </c>
      <c r="BN231">
        <f t="shared" si="57"/>
        <v>58</v>
      </c>
      <c r="BO231">
        <f t="shared" si="57"/>
        <v>59</v>
      </c>
      <c r="BP231">
        <f t="shared" si="57"/>
        <v>60</v>
      </c>
      <c r="BQ231">
        <f t="shared" si="57"/>
        <v>61</v>
      </c>
      <c r="BR231">
        <f t="shared" si="57"/>
        <v>62</v>
      </c>
      <c r="BS231">
        <f t="shared" si="57"/>
        <v>63</v>
      </c>
      <c r="BT231">
        <f t="shared" si="57"/>
        <v>64</v>
      </c>
      <c r="BU231">
        <f t="shared" si="57"/>
        <v>65</v>
      </c>
      <c r="BV231">
        <f t="shared" si="57"/>
        <v>66</v>
      </c>
      <c r="BW231">
        <f t="shared" ref="BW231:DD231" si="58">BV231+1</f>
        <v>67</v>
      </c>
      <c r="BX231">
        <f t="shared" si="58"/>
        <v>68</v>
      </c>
      <c r="BY231">
        <f t="shared" si="58"/>
        <v>69</v>
      </c>
      <c r="BZ231">
        <f t="shared" si="58"/>
        <v>70</v>
      </c>
      <c r="CA231">
        <f t="shared" si="58"/>
        <v>71</v>
      </c>
      <c r="CB231">
        <f t="shared" si="58"/>
        <v>72</v>
      </c>
      <c r="CC231">
        <f t="shared" si="58"/>
        <v>73</v>
      </c>
      <c r="CD231">
        <f t="shared" si="58"/>
        <v>74</v>
      </c>
      <c r="CE231">
        <f t="shared" si="58"/>
        <v>75</v>
      </c>
      <c r="CF231">
        <f t="shared" si="58"/>
        <v>76</v>
      </c>
      <c r="CG231">
        <f t="shared" si="58"/>
        <v>77</v>
      </c>
      <c r="CH231">
        <f t="shared" si="58"/>
        <v>78</v>
      </c>
      <c r="CI231">
        <f t="shared" si="58"/>
        <v>79</v>
      </c>
      <c r="CJ231">
        <f t="shared" si="58"/>
        <v>80</v>
      </c>
      <c r="CK231">
        <f t="shared" si="58"/>
        <v>81</v>
      </c>
      <c r="CL231">
        <f t="shared" si="58"/>
        <v>82</v>
      </c>
      <c r="CM231">
        <f t="shared" si="58"/>
        <v>83</v>
      </c>
      <c r="CN231">
        <f t="shared" si="58"/>
        <v>84</v>
      </c>
      <c r="CO231">
        <f t="shared" si="58"/>
        <v>85</v>
      </c>
      <c r="CP231">
        <f t="shared" si="58"/>
        <v>86</v>
      </c>
      <c r="CQ231">
        <f t="shared" si="58"/>
        <v>87</v>
      </c>
      <c r="CR231">
        <f t="shared" si="58"/>
        <v>88</v>
      </c>
      <c r="CS231">
        <f t="shared" si="58"/>
        <v>89</v>
      </c>
      <c r="CT231">
        <f t="shared" si="58"/>
        <v>90</v>
      </c>
      <c r="CU231">
        <f t="shared" si="58"/>
        <v>91</v>
      </c>
      <c r="CV231">
        <f t="shared" si="58"/>
        <v>92</v>
      </c>
      <c r="CW231">
        <f t="shared" si="58"/>
        <v>93</v>
      </c>
      <c r="CX231">
        <f t="shared" si="58"/>
        <v>94</v>
      </c>
      <c r="CY231">
        <f t="shared" si="58"/>
        <v>95</v>
      </c>
      <c r="CZ231">
        <f t="shared" si="58"/>
        <v>96</v>
      </c>
      <c r="DA231">
        <f t="shared" si="58"/>
        <v>97</v>
      </c>
      <c r="DB231">
        <f t="shared" si="58"/>
        <v>98</v>
      </c>
      <c r="DC231">
        <f t="shared" si="58"/>
        <v>99</v>
      </c>
      <c r="DD231">
        <f t="shared" si="58"/>
        <v>100</v>
      </c>
    </row>
    <row r="232" spans="1:109" x14ac:dyDescent="0.25">
      <c r="A232" s="68"/>
      <c r="B232" t="s">
        <v>832</v>
      </c>
      <c r="C232" t="s">
        <v>846</v>
      </c>
      <c r="H232">
        <f>H230*$D214</f>
        <v>0</v>
      </c>
      <c r="I232">
        <f>I230*$D214</f>
        <v>0</v>
      </c>
      <c r="J232">
        <f t="shared" ref="J232:AO232" si="59">J230*POWER($D214, 2)</f>
        <v>1.155506480823864</v>
      </c>
      <c r="K232">
        <f t="shared" si="59"/>
        <v>3.4511275443023579</v>
      </c>
      <c r="L232">
        <f t="shared" si="59"/>
        <v>6.8712021783918029</v>
      </c>
      <c r="M232">
        <f t="shared" si="59"/>
        <v>11.399810035072093</v>
      </c>
      <c r="N232">
        <f t="shared" si="59"/>
        <v>17.020781190057782</v>
      </c>
      <c r="O232">
        <f t="shared" si="59"/>
        <v>23.717705880580883</v>
      </c>
      <c r="P232">
        <f t="shared" si="59"/>
        <v>31.473944217560245</v>
      </c>
      <c r="Q232">
        <f t="shared" si="59"/>
        <v>40.272635868529484</v>
      </c>
      <c r="R232">
        <f t="shared" si="59"/>
        <v>50.096709707753199</v>
      </c>
      <c r="S232">
        <f t="shared" si="59"/>
        <v>60.928893430019727</v>
      </c>
      <c r="T232">
        <f t="shared" si="59"/>
        <v>72.751723124657957</v>
      </c>
      <c r="U232">
        <f t="shared" si="59"/>
        <v>85.547552806385553</v>
      </c>
      <c r="V232">
        <f t="shared" si="59"/>
        <v>99.298563899656358</v>
      </c>
      <c r="W232">
        <f t="shared" si="59"/>
        <v>113.98677467323611</v>
      </c>
      <c r="X232">
        <f t="shared" si="59"/>
        <v>129.59404962179676</v>
      </c>
      <c r="Y232">
        <f t="shared" si="59"/>
        <v>146.10210879138239</v>
      </c>
      <c r="Z232">
        <f t="shared" si="59"/>
        <v>163.49253704566195</v>
      </c>
      <c r="AA232">
        <f t="shared" si="59"/>
        <v>181.74679326994755</v>
      </c>
      <c r="AB232">
        <f t="shared" si="59"/>
        <v>200.84621951002009</v>
      </c>
      <c r="AC232">
        <f t="shared" si="59"/>
        <v>220.77205004286856</v>
      </c>
      <c r="AD232">
        <f t="shared" si="59"/>
        <v>241.50542037651311</v>
      </c>
      <c r="AE232">
        <f t="shared" si="59"/>
        <v>263.02737617614736</v>
      </c>
      <c r="AF232">
        <f t="shared" si="59"/>
        <v>285.31888211389906</v>
      </c>
      <c r="AG232">
        <f t="shared" si="59"/>
        <v>308.36083063957557</v>
      </c>
      <c r="AH232">
        <f t="shared" si="59"/>
        <v>332.13405066982352</v>
      </c>
      <c r="AI232">
        <f t="shared" si="59"/>
        <v>356.6193161932004</v>
      </c>
      <c r="AJ232">
        <f t="shared" si="59"/>
        <v>381.79735478871925</v>
      </c>
      <c r="AK232">
        <f t="shared" si="59"/>
        <v>407.6488560554958</v>
      </c>
      <c r="AL232">
        <f t="shared" si="59"/>
        <v>434.15447995119166</v>
      </c>
      <c r="AM232">
        <f t="shared" si="59"/>
        <v>461.29486503701543</v>
      </c>
      <c r="AN232">
        <f t="shared" si="59"/>
        <v>489.05063662710785</v>
      </c>
      <c r="AO232">
        <f t="shared" si="59"/>
        <v>517.40241484020601</v>
      </c>
      <c r="AP232">
        <f t="shared" ref="AP232:BU232" si="60">AP230*POWER($D214, 2)</f>
        <v>546.33082255154466</v>
      </c>
      <c r="AQ232">
        <f t="shared" si="60"/>
        <v>575.81649324302316</v>
      </c>
      <c r="AR232">
        <f t="shared" si="60"/>
        <v>605.84007874972917</v>
      </c>
      <c r="AS232">
        <f t="shared" si="60"/>
        <v>636.38225690097954</v>
      </c>
      <c r="AT232">
        <f t="shared" si="60"/>
        <v>667.42373905410204</v>
      </c>
      <c r="AU232">
        <f t="shared" si="60"/>
        <v>698.94527751925193</v>
      </c>
      <c r="AV232">
        <f t="shared" si="60"/>
        <v>730.92767287361733</v>
      </c>
      <c r="AW232">
        <f t="shared" si="60"/>
        <v>763.35178116344014</v>
      </c>
      <c r="AX232">
        <f t="shared" si="60"/>
        <v>796.19852099233799</v>
      </c>
      <c r="AY232">
        <f t="shared" si="60"/>
        <v>829.44888049448457</v>
      </c>
      <c r="AZ232">
        <f t="shared" si="60"/>
        <v>863.08392419126471</v>
      </c>
      <c r="BA232">
        <f t="shared" si="60"/>
        <v>897.08479973009014</v>
      </c>
      <c r="BB232">
        <f t="shared" si="60"/>
        <v>931.43274450412468</v>
      </c>
      <c r="BC232">
        <f t="shared" si="60"/>
        <v>966.10909215173149</v>
      </c>
      <c r="BD232">
        <f t="shared" si="60"/>
        <v>1001.095278934519</v>
      </c>
      <c r="BE232">
        <f t="shared" si="60"/>
        <v>1036.3728499929268</v>
      </c>
      <c r="BF232">
        <f t="shared" si="60"/>
        <v>1071.9234654783565</v>
      </c>
      <c r="BG232">
        <f t="shared" si="60"/>
        <v>1107.7289065609116</v>
      </c>
      <c r="BH232">
        <f t="shared" si="60"/>
        <v>1143.7710813118774</v>
      </c>
      <c r="BI232">
        <f t="shared" si="60"/>
        <v>1180.0320304601325</v>
      </c>
      <c r="BJ232">
        <f t="shared" si="60"/>
        <v>1216.4939330217426</v>
      </c>
      <c r="BK232">
        <f t="shared" si="60"/>
        <v>1253.1391118020531</v>
      </c>
      <c r="BL232">
        <f t="shared" si="60"/>
        <v>1289.9500387696519</v>
      </c>
      <c r="BM232">
        <f t="shared" si="60"/>
        <v>1326.9093403016386</v>
      </c>
      <c r="BN232">
        <f t="shared" si="60"/>
        <v>1363.9998022996942</v>
      </c>
      <c r="BO232">
        <f t="shared" si="60"/>
        <v>1401.2043751765025</v>
      </c>
      <c r="BP232">
        <f t="shared" si="60"/>
        <v>1438.5061787121358</v>
      </c>
      <c r="BQ232">
        <f t="shared" si="60"/>
        <v>1475.8885067800752</v>
      </c>
      <c r="BR232">
        <f t="shared" si="60"/>
        <v>1513.3348319425875</v>
      </c>
      <c r="BS232">
        <f t="shared" si="60"/>
        <v>1550.8288099152478</v>
      </c>
      <c r="BT232">
        <f t="shared" si="60"/>
        <v>1588.354283900441</v>
      </c>
      <c r="BU232">
        <f t="shared" si="60"/>
        <v>1625.8952887897408</v>
      </c>
      <c r="BV232">
        <f t="shared" ref="BV232:DD232" si="61">BV230*POWER($D214, 2)</f>
        <v>1663.4360552351125</v>
      </c>
      <c r="BW232">
        <f t="shared" si="61"/>
        <v>1700.9610135889448</v>
      </c>
      <c r="BX232">
        <f t="shared" si="61"/>
        <v>1738.4547977129641</v>
      </c>
      <c r="BY232">
        <f t="shared" si="61"/>
        <v>1775.9022486561437</v>
      </c>
      <c r="BZ232">
        <f t="shared" si="61"/>
        <v>1813.2884182017679</v>
      </c>
      <c r="CA232">
        <f t="shared" si="61"/>
        <v>1850.5985722838589</v>
      </c>
      <c r="CB232">
        <f t="shared" si="61"/>
        <v>1887.8181942732379</v>
      </c>
      <c r="CC232">
        <f t="shared" si="61"/>
        <v>1924.9329881335232</v>
      </c>
      <c r="CD232">
        <f t="shared" si="61"/>
        <v>1961.9288814474332</v>
      </c>
      <c r="CE232">
        <f t="shared" si="61"/>
        <v>1998.7920283138026</v>
      </c>
      <c r="CF232">
        <f t="shared" si="61"/>
        <v>2035.5088121157653</v>
      </c>
      <c r="CG232">
        <f t="shared" si="61"/>
        <v>2072.0658481606129</v>
      </c>
      <c r="CH232">
        <f t="shared" si="61"/>
        <v>2108.4499861918725</v>
      </c>
      <c r="CI232">
        <f t="shared" si="61"/>
        <v>2144.6483127742067</v>
      </c>
      <c r="CJ232">
        <f t="shared" si="61"/>
        <v>2180.6481535517619</v>
      </c>
      <c r="CK232">
        <f t="shared" si="61"/>
        <v>2216.4370753806611</v>
      </c>
      <c r="CL232">
        <f t="shared" si="61"/>
        <v>2252.0028883363557</v>
      </c>
      <c r="CM232">
        <f t="shared" si="61"/>
        <v>2287.3336475966071</v>
      </c>
      <c r="CN232">
        <f t="shared" si="61"/>
        <v>2322.4176552009048</v>
      </c>
      <c r="CO232">
        <f t="shared" si="61"/>
        <v>2357.2434616871683</v>
      </c>
      <c r="CP232">
        <f t="shared" si="61"/>
        <v>2391.79986760662</v>
      </c>
      <c r="CQ232">
        <f t="shared" si="61"/>
        <v>2426.0759249177536</v>
      </c>
      <c r="CR232">
        <f t="shared" si="61"/>
        <v>2460.0609382603589</v>
      </c>
      <c r="CS232">
        <f t="shared" si="61"/>
        <v>2493.7444661106088</v>
      </c>
      <c r="CT232">
        <f t="shared" si="61"/>
        <v>2527.1163218182323</v>
      </c>
      <c r="CU232">
        <f t="shared" si="61"/>
        <v>2560.1665745268538</v>
      </c>
      <c r="CV232">
        <f t="shared" si="61"/>
        <v>2592.8855499785959</v>
      </c>
      <c r="CW232">
        <f t="shared" si="61"/>
        <v>2625.2638312040885</v>
      </c>
      <c r="CX232">
        <f t="shared" si="61"/>
        <v>2657.2922590990452</v>
      </c>
      <c r="CY232">
        <f t="shared" si="61"/>
        <v>2688.961932888616</v>
      </c>
      <c r="CZ232">
        <f t="shared" si="61"/>
        <v>2720.264210480741</v>
      </c>
      <c r="DA232">
        <f t="shared" si="61"/>
        <v>2751.1907087097707</v>
      </c>
      <c r="DB232">
        <f t="shared" si="61"/>
        <v>2781.7333034716389</v>
      </c>
      <c r="DC232">
        <f t="shared" si="61"/>
        <v>2811.8841297519039</v>
      </c>
      <c r="DD232">
        <f t="shared" si="61"/>
        <v>2841.6355815480097</v>
      </c>
    </row>
    <row r="233" spans="1:109" x14ac:dyDescent="0.25">
      <c r="A233" s="62"/>
      <c r="C233" t="s">
        <v>850</v>
      </c>
      <c r="H233" t="b">
        <f t="shared" ref="H233:AM233" si="62">H228&gt;$D220</f>
        <v>0</v>
      </c>
      <c r="I233" t="b">
        <f t="shared" si="62"/>
        <v>0</v>
      </c>
      <c r="J233" t="b">
        <f t="shared" si="62"/>
        <v>0</v>
      </c>
      <c r="K233" t="b">
        <f t="shared" si="62"/>
        <v>0</v>
      </c>
      <c r="L233" t="b">
        <f t="shared" si="62"/>
        <v>0</v>
      </c>
      <c r="M233" t="b">
        <f t="shared" si="62"/>
        <v>0</v>
      </c>
      <c r="N233" t="b">
        <f t="shared" si="62"/>
        <v>0</v>
      </c>
      <c r="O233" t="b">
        <f t="shared" si="62"/>
        <v>0</v>
      </c>
      <c r="P233" t="b">
        <f t="shared" si="62"/>
        <v>0</v>
      </c>
      <c r="Q233" t="b">
        <f t="shared" si="62"/>
        <v>0</v>
      </c>
      <c r="R233" t="b">
        <f t="shared" si="62"/>
        <v>0</v>
      </c>
      <c r="S233" t="b">
        <f t="shared" si="62"/>
        <v>0</v>
      </c>
      <c r="T233" t="b">
        <f t="shared" si="62"/>
        <v>0</v>
      </c>
      <c r="U233" t="b">
        <f t="shared" si="62"/>
        <v>0</v>
      </c>
      <c r="V233" t="b">
        <f t="shared" si="62"/>
        <v>0</v>
      </c>
      <c r="W233" t="b">
        <f t="shared" si="62"/>
        <v>0</v>
      </c>
      <c r="X233" t="b">
        <f t="shared" si="62"/>
        <v>0</v>
      </c>
      <c r="Y233" t="b">
        <f t="shared" si="62"/>
        <v>0</v>
      </c>
      <c r="Z233" t="b">
        <f t="shared" si="62"/>
        <v>0</v>
      </c>
      <c r="AA233" t="b">
        <f t="shared" si="62"/>
        <v>0</v>
      </c>
      <c r="AB233" t="b">
        <f t="shared" si="62"/>
        <v>0</v>
      </c>
      <c r="AC233" t="b">
        <f t="shared" si="62"/>
        <v>0</v>
      </c>
      <c r="AD233" t="b">
        <f t="shared" si="62"/>
        <v>0</v>
      </c>
      <c r="AE233" t="b">
        <f t="shared" si="62"/>
        <v>1</v>
      </c>
      <c r="AF233" t="b">
        <f t="shared" si="62"/>
        <v>1</v>
      </c>
      <c r="AG233" t="b">
        <f t="shared" si="62"/>
        <v>1</v>
      </c>
      <c r="AH233" t="b">
        <f t="shared" si="62"/>
        <v>1</v>
      </c>
      <c r="AI233" t="b">
        <f t="shared" si="62"/>
        <v>1</v>
      </c>
      <c r="AJ233" t="b">
        <f t="shared" si="62"/>
        <v>1</v>
      </c>
      <c r="AK233" t="b">
        <f t="shared" si="62"/>
        <v>1</v>
      </c>
      <c r="AL233" t="b">
        <f t="shared" si="62"/>
        <v>1</v>
      </c>
      <c r="AM233" t="b">
        <f t="shared" si="62"/>
        <v>1</v>
      </c>
      <c r="AN233" t="b">
        <f t="shared" ref="AN233:BS233" si="63">AN228&gt;$D220</f>
        <v>1</v>
      </c>
      <c r="AO233" t="b">
        <f t="shared" si="63"/>
        <v>1</v>
      </c>
      <c r="AP233" t="b">
        <f t="shared" si="63"/>
        <v>1</v>
      </c>
      <c r="AQ233" t="b">
        <f t="shared" si="63"/>
        <v>1</v>
      </c>
      <c r="AR233" t="b">
        <f t="shared" si="63"/>
        <v>1</v>
      </c>
      <c r="AS233" t="b">
        <f t="shared" si="63"/>
        <v>1</v>
      </c>
      <c r="AT233" t="b">
        <f t="shared" si="63"/>
        <v>1</v>
      </c>
      <c r="AU233" t="b">
        <f t="shared" si="63"/>
        <v>1</v>
      </c>
      <c r="AV233" t="b">
        <f t="shared" si="63"/>
        <v>1</v>
      </c>
      <c r="AW233" t="b">
        <f t="shared" si="63"/>
        <v>1</v>
      </c>
      <c r="AX233" t="b">
        <f t="shared" si="63"/>
        <v>1</v>
      </c>
      <c r="AY233" t="b">
        <f t="shared" si="63"/>
        <v>1</v>
      </c>
      <c r="AZ233" t="b">
        <f t="shared" si="63"/>
        <v>1</v>
      </c>
      <c r="BA233" t="b">
        <f t="shared" si="63"/>
        <v>1</v>
      </c>
      <c r="BB233" t="b">
        <f t="shared" si="63"/>
        <v>1</v>
      </c>
      <c r="BC233" t="b">
        <f t="shared" si="63"/>
        <v>1</v>
      </c>
      <c r="BD233" t="b">
        <f t="shared" si="63"/>
        <v>1</v>
      </c>
      <c r="BE233" t="b">
        <f t="shared" si="63"/>
        <v>1</v>
      </c>
      <c r="BF233" t="b">
        <f t="shared" si="63"/>
        <v>1</v>
      </c>
      <c r="BG233" t="b">
        <f t="shared" si="63"/>
        <v>1</v>
      </c>
      <c r="BH233" t="b">
        <f t="shared" si="63"/>
        <v>1</v>
      </c>
      <c r="BI233" t="b">
        <f t="shared" si="63"/>
        <v>1</v>
      </c>
      <c r="BJ233" t="b">
        <f t="shared" si="63"/>
        <v>1</v>
      </c>
      <c r="BK233" t="b">
        <f t="shared" si="63"/>
        <v>1</v>
      </c>
      <c r="BL233" t="b">
        <f t="shared" si="63"/>
        <v>1</v>
      </c>
      <c r="BM233" t="b">
        <f t="shared" si="63"/>
        <v>1</v>
      </c>
      <c r="BN233" t="b">
        <f t="shared" si="63"/>
        <v>1</v>
      </c>
      <c r="BO233" t="b">
        <f t="shared" si="63"/>
        <v>1</v>
      </c>
      <c r="BP233" t="b">
        <f t="shared" si="63"/>
        <v>1</v>
      </c>
      <c r="BQ233" t="b">
        <f t="shared" si="63"/>
        <v>1</v>
      </c>
      <c r="BR233" t="b">
        <f t="shared" si="63"/>
        <v>1</v>
      </c>
      <c r="BS233" t="b">
        <f t="shared" si="63"/>
        <v>1</v>
      </c>
      <c r="BT233" t="b">
        <f t="shared" ref="BT233:DD233" si="64">BT228&gt;$D220</f>
        <v>1</v>
      </c>
      <c r="BU233" t="b">
        <f t="shared" si="64"/>
        <v>1</v>
      </c>
      <c r="BV233" t="b">
        <f t="shared" si="64"/>
        <v>1</v>
      </c>
      <c r="BW233" t="b">
        <f t="shared" si="64"/>
        <v>1</v>
      </c>
      <c r="BX233" t="b">
        <f t="shared" si="64"/>
        <v>1</v>
      </c>
      <c r="BY233" t="b">
        <f t="shared" si="64"/>
        <v>1</v>
      </c>
      <c r="BZ233" t="b">
        <f t="shared" si="64"/>
        <v>1</v>
      </c>
      <c r="CA233" t="b">
        <f t="shared" si="64"/>
        <v>1</v>
      </c>
      <c r="CB233" t="b">
        <f t="shared" si="64"/>
        <v>1</v>
      </c>
      <c r="CC233" t="b">
        <f t="shared" si="64"/>
        <v>1</v>
      </c>
      <c r="CD233" t="b">
        <f t="shared" si="64"/>
        <v>1</v>
      </c>
      <c r="CE233" t="b">
        <f t="shared" si="64"/>
        <v>1</v>
      </c>
      <c r="CF233" t="b">
        <f t="shared" si="64"/>
        <v>1</v>
      </c>
      <c r="CG233" t="b">
        <f t="shared" si="64"/>
        <v>1</v>
      </c>
      <c r="CH233" t="b">
        <f t="shared" si="64"/>
        <v>1</v>
      </c>
      <c r="CI233" t="b">
        <f t="shared" si="64"/>
        <v>1</v>
      </c>
      <c r="CJ233" t="b">
        <f t="shared" si="64"/>
        <v>1</v>
      </c>
      <c r="CK233" t="b">
        <f t="shared" si="64"/>
        <v>1</v>
      </c>
      <c r="CL233" t="b">
        <f t="shared" si="64"/>
        <v>1</v>
      </c>
      <c r="CM233" t="b">
        <f t="shared" si="64"/>
        <v>1</v>
      </c>
      <c r="CN233" t="b">
        <f t="shared" si="64"/>
        <v>1</v>
      </c>
      <c r="CO233" t="b">
        <f t="shared" si="64"/>
        <v>1</v>
      </c>
      <c r="CP233" t="b">
        <f t="shared" si="64"/>
        <v>1</v>
      </c>
      <c r="CQ233" t="b">
        <f t="shared" si="64"/>
        <v>1</v>
      </c>
      <c r="CR233" t="b">
        <f t="shared" si="64"/>
        <v>1</v>
      </c>
      <c r="CS233" t="b">
        <f t="shared" si="64"/>
        <v>1</v>
      </c>
      <c r="CT233" t="b">
        <f t="shared" si="64"/>
        <v>1</v>
      </c>
      <c r="CU233" t="b">
        <f t="shared" si="64"/>
        <v>1</v>
      </c>
      <c r="CV233" t="b">
        <f t="shared" si="64"/>
        <v>1</v>
      </c>
      <c r="CW233" t="b">
        <f t="shared" si="64"/>
        <v>1</v>
      </c>
      <c r="CX233" t="b">
        <f t="shared" si="64"/>
        <v>1</v>
      </c>
      <c r="CY233" t="b">
        <f t="shared" si="64"/>
        <v>1</v>
      </c>
      <c r="CZ233" t="b">
        <f t="shared" si="64"/>
        <v>1</v>
      </c>
      <c r="DA233" t="b">
        <f t="shared" si="64"/>
        <v>1</v>
      </c>
      <c r="DB233" t="b">
        <f t="shared" si="64"/>
        <v>1</v>
      </c>
      <c r="DC233" t="b">
        <f t="shared" si="64"/>
        <v>1</v>
      </c>
      <c r="DD233" t="b">
        <f t="shared" si="64"/>
        <v>1</v>
      </c>
    </row>
    <row r="234" spans="1:109" x14ac:dyDescent="0.25">
      <c r="C234" t="s">
        <v>849</v>
      </c>
      <c r="D234">
        <f>MATCH(TRUE, H233:DD233, 0)-1</f>
        <v>23</v>
      </c>
    </row>
    <row r="235" spans="1:109" x14ac:dyDescent="0.25">
      <c r="B235" t="s">
        <v>859</v>
      </c>
      <c r="C235" t="s">
        <v>855</v>
      </c>
      <c r="D235">
        <f>INDEX(H230:DD230, 1, D234)</f>
        <v>3.3426355761455104</v>
      </c>
    </row>
    <row r="236" spans="1:109" x14ac:dyDescent="0.25">
      <c r="B236" t="s">
        <v>858</v>
      </c>
      <c r="C236" t="s">
        <v>855</v>
      </c>
      <c r="D236">
        <f>D235*POWER(D214, 2)</f>
        <v>241.50542037651311</v>
      </c>
    </row>
    <row r="237" spans="1:109" x14ac:dyDescent="0.25">
      <c r="B237" t="s">
        <v>857</v>
      </c>
      <c r="D237">
        <f>INDEX(H228:DD228, 1, D234)</f>
        <v>19.775873132053949</v>
      </c>
    </row>
    <row r="238" spans="1:109" x14ac:dyDescent="0.25">
      <c r="B238" t="s">
        <v>860</v>
      </c>
      <c r="D238">
        <f>INDEX(H229:DD229, 1, D234)</f>
        <v>0.33015306838443365</v>
      </c>
    </row>
    <row r="239" spans="1:109" x14ac:dyDescent="0.25">
      <c r="B239" t="s">
        <v>861</v>
      </c>
      <c r="D239">
        <f>INDEX(H226:DD226, 1, D234)</f>
        <v>3.4375000000000001E-6</v>
      </c>
    </row>
    <row r="244" spans="1:1" x14ac:dyDescent="0.25">
      <c r="A244" t="s">
        <v>813</v>
      </c>
    </row>
    <row r="246" spans="1:1" x14ac:dyDescent="0.25">
      <c r="A246" t="s">
        <v>813</v>
      </c>
    </row>
    <row r="248" spans="1:1" x14ac:dyDescent="0.25">
      <c r="A248" t="s">
        <v>813</v>
      </c>
    </row>
    <row r="253" spans="1:1" x14ac:dyDescent="0.25">
      <c r="A253" t="s">
        <v>813</v>
      </c>
    </row>
    <row r="255" spans="1:1" x14ac:dyDescent="0.25">
      <c r="A255" t="s">
        <v>813</v>
      </c>
    </row>
    <row r="256" spans="1:1" x14ac:dyDescent="0.25">
      <c r="A256" t="s">
        <v>813</v>
      </c>
    </row>
    <row r="260" spans="1:5" x14ac:dyDescent="0.25">
      <c r="A260" s="17"/>
    </row>
    <row r="261" spans="1:5" x14ac:dyDescent="0.25">
      <c r="A261" s="68" t="s">
        <v>321</v>
      </c>
      <c r="C261" t="s">
        <v>194</v>
      </c>
    </row>
    <row r="262" spans="1:5" x14ac:dyDescent="0.25">
      <c r="A262" s="68"/>
      <c r="B262" s="2" t="s">
        <v>30</v>
      </c>
      <c r="C262" s="2"/>
      <c r="D262" s="2">
        <f>D7</f>
        <v>44.1</v>
      </c>
      <c r="E262" s="2" t="s">
        <v>18</v>
      </c>
    </row>
    <row r="263" spans="1:5" x14ac:dyDescent="0.25">
      <c r="A263" s="68"/>
      <c r="B263" s="2" t="s">
        <v>29</v>
      </c>
      <c r="C263" s="2"/>
      <c r="D263" s="2">
        <f>D5</f>
        <v>35.400000000000006</v>
      </c>
      <c r="E263" s="2" t="s">
        <v>18</v>
      </c>
    </row>
    <row r="264" spans="1:5" x14ac:dyDescent="0.25">
      <c r="A264" s="68"/>
      <c r="B264" t="s">
        <v>694</v>
      </c>
      <c r="D264" s="34">
        <v>2000</v>
      </c>
      <c r="E264" s="7" t="s">
        <v>21</v>
      </c>
    </row>
    <row r="265" spans="1:5" x14ac:dyDescent="0.25">
      <c r="A265" s="68"/>
      <c r="C265" t="s">
        <v>693</v>
      </c>
      <c r="D265" s="18">
        <f>D262/D267</f>
        <v>16.333333333333332</v>
      </c>
    </row>
    <row r="266" spans="1:5" x14ac:dyDescent="0.25">
      <c r="A266" s="68"/>
      <c r="B266" t="s">
        <v>695</v>
      </c>
      <c r="D266" s="18">
        <f>D265*D264</f>
        <v>32666.666666666664</v>
      </c>
      <c r="E266" s="7" t="s">
        <v>21</v>
      </c>
    </row>
    <row r="267" spans="1:5" x14ac:dyDescent="0.25">
      <c r="A267" s="68"/>
      <c r="C267" t="s">
        <v>195</v>
      </c>
      <c r="D267" s="34">
        <v>2.7</v>
      </c>
      <c r="E267" t="s">
        <v>18</v>
      </c>
    </row>
    <row r="268" spans="1:5" x14ac:dyDescent="0.25">
      <c r="A268" s="68"/>
      <c r="B268" t="s">
        <v>696</v>
      </c>
      <c r="D268" s="34">
        <v>33000</v>
      </c>
      <c r="E268" s="7" t="s">
        <v>21</v>
      </c>
    </row>
    <row r="269" spans="1:5" x14ac:dyDescent="0.25">
      <c r="A269" s="68"/>
      <c r="C269" t="s">
        <v>705</v>
      </c>
      <c r="D269" s="34">
        <v>1</v>
      </c>
      <c r="E269" s="7" t="s">
        <v>139</v>
      </c>
    </row>
    <row r="270" spans="1:5" x14ac:dyDescent="0.25">
      <c r="A270" s="68"/>
      <c r="B270" t="s">
        <v>307</v>
      </c>
      <c r="D270" s="18">
        <f>D262/(D264+D268)</f>
        <v>1.2600000000000001E-3</v>
      </c>
      <c r="E270" t="s">
        <v>17</v>
      </c>
    </row>
    <row r="271" spans="1:5" x14ac:dyDescent="0.25">
      <c r="A271" s="68"/>
      <c r="B271" t="s">
        <v>703</v>
      </c>
      <c r="D271" s="18">
        <f>POWER(D270, 2)*D268</f>
        <v>5.2390800000000001E-2</v>
      </c>
      <c r="E271" t="s">
        <v>19</v>
      </c>
    </row>
    <row r="272" spans="1:5" x14ac:dyDescent="0.25">
      <c r="A272" s="68"/>
      <c r="B272" t="s">
        <v>704</v>
      </c>
      <c r="D272" s="18">
        <f>POWER(D270, 2)*D264</f>
        <v>3.1752E-3</v>
      </c>
      <c r="E272" t="s">
        <v>19</v>
      </c>
    </row>
    <row r="273" spans="1:6" x14ac:dyDescent="0.25">
      <c r="A273" s="68"/>
      <c r="B273" t="s">
        <v>134</v>
      </c>
      <c r="D273" s="18">
        <f>D271+D272</f>
        <v>5.5566000000000004E-2</v>
      </c>
      <c r="E273" t="s">
        <v>19</v>
      </c>
    </row>
    <row r="274" spans="1:6" x14ac:dyDescent="0.25">
      <c r="A274" s="68"/>
      <c r="B274" t="s">
        <v>221</v>
      </c>
      <c r="D274" s="36">
        <v>4.6999999999999999E-6</v>
      </c>
      <c r="E274" s="7" t="s">
        <v>21</v>
      </c>
    </row>
    <row r="275" spans="1:6" x14ac:dyDescent="0.25">
      <c r="A275" s="68"/>
      <c r="B275" t="s">
        <v>697</v>
      </c>
      <c r="D275" s="18">
        <f>(D264*D268)/(D264+D268)</f>
        <v>1885.7142857142858</v>
      </c>
      <c r="E275" s="7" t="s">
        <v>21</v>
      </c>
    </row>
    <row r="276" spans="1:6" x14ac:dyDescent="0.25">
      <c r="A276" s="68"/>
      <c r="B276" t="s">
        <v>716</v>
      </c>
      <c r="C276" t="s">
        <v>717</v>
      </c>
      <c r="D276" s="33">
        <f>D274*D275</f>
        <v>8.8628571428571428E-3</v>
      </c>
      <c r="E276" s="7" t="s">
        <v>220</v>
      </c>
    </row>
    <row r="277" spans="1:6" x14ac:dyDescent="0.25">
      <c r="A277" s="68"/>
      <c r="B277" t="s">
        <v>718</v>
      </c>
      <c r="D277" s="33">
        <f>D276*LN(100)</f>
        <v>4.0814965476957316E-2</v>
      </c>
      <c r="E277" s="7" t="s">
        <v>220</v>
      </c>
    </row>
    <row r="278" spans="1:6" x14ac:dyDescent="0.25">
      <c r="A278" s="68"/>
      <c r="B278" t="s">
        <v>692</v>
      </c>
      <c r="D278" s="36">
        <v>3.9999999999999998E-6</v>
      </c>
      <c r="E278" s="7" t="s">
        <v>17</v>
      </c>
    </row>
    <row r="279" spans="1:6" x14ac:dyDescent="0.25">
      <c r="A279" s="68"/>
      <c r="C279" t="s">
        <v>698</v>
      </c>
      <c r="D279" s="18">
        <f>(D262-(D268*D278))/(1+(D268/D264))</f>
        <v>2.5124571428571429</v>
      </c>
      <c r="E279" s="7" t="s">
        <v>18</v>
      </c>
    </row>
    <row r="280" spans="1:6" x14ac:dyDescent="0.25">
      <c r="A280" s="68"/>
      <c r="C280" t="s">
        <v>699</v>
      </c>
      <c r="D280" s="18">
        <f>D262/(1+(D268/D264))</f>
        <v>2.52</v>
      </c>
      <c r="E280" s="7" t="s">
        <v>18</v>
      </c>
    </row>
    <row r="281" spans="1:6" x14ac:dyDescent="0.25">
      <c r="A281" s="68"/>
      <c r="C281" t="s">
        <v>701</v>
      </c>
      <c r="D281" s="18">
        <f>D280-D279</f>
        <v>7.5428571428570734E-3</v>
      </c>
      <c r="E281" s="7" t="s">
        <v>18</v>
      </c>
    </row>
    <row r="282" spans="1:6" x14ac:dyDescent="0.25">
      <c r="A282" s="68"/>
      <c r="C282" t="s">
        <v>700</v>
      </c>
      <c r="D282" s="18">
        <f>(D263-(D268*D278))/(1+(D268/D264))</f>
        <v>2.0153142857142861</v>
      </c>
      <c r="E282" s="7" t="s">
        <v>18</v>
      </c>
    </row>
    <row r="283" spans="1:6" x14ac:dyDescent="0.25">
      <c r="A283" s="68"/>
      <c r="B283" t="s">
        <v>721</v>
      </c>
      <c r="C283" t="s">
        <v>720</v>
      </c>
      <c r="D283" s="18">
        <f>D263/(1+(D268/D264))</f>
        <v>2.0228571428571431</v>
      </c>
      <c r="E283" s="7" t="s">
        <v>18</v>
      </c>
    </row>
    <row r="284" spans="1:6" x14ac:dyDescent="0.25">
      <c r="A284" s="68"/>
      <c r="B284" t="s">
        <v>721</v>
      </c>
      <c r="C284" t="s">
        <v>722</v>
      </c>
      <c r="D284" s="18">
        <f>D283-D282</f>
        <v>7.5428571428570734E-3</v>
      </c>
      <c r="E284" s="7" t="s">
        <v>18</v>
      </c>
    </row>
    <row r="285" spans="1:6" x14ac:dyDescent="0.25">
      <c r="A285" s="68"/>
      <c r="C285" t="s">
        <v>702</v>
      </c>
      <c r="D285" s="18">
        <f>100*D284/D283</f>
        <v>0.3728813559321999</v>
      </c>
      <c r="E285" s="7" t="s">
        <v>139</v>
      </c>
    </row>
    <row r="286" spans="1:6" x14ac:dyDescent="0.25">
      <c r="A286" s="68"/>
      <c r="C286" t="s">
        <v>706</v>
      </c>
      <c r="D286" s="18">
        <f>(D285/100)*D263</f>
        <v>0.13199999999999878</v>
      </c>
      <c r="E286" s="7" t="s">
        <v>18</v>
      </c>
    </row>
    <row r="287" spans="1:6" x14ac:dyDescent="0.25">
      <c r="A287" s="68"/>
      <c r="C287" t="s">
        <v>719</v>
      </c>
      <c r="D287" s="18">
        <f>D269/100</f>
        <v>0.01</v>
      </c>
      <c r="E287" s="7"/>
    </row>
    <row r="288" spans="1:6" x14ac:dyDescent="0.25">
      <c r="A288" s="68"/>
      <c r="C288" t="s">
        <v>708</v>
      </c>
      <c r="D288" s="18">
        <f>D268/(D264)</f>
        <v>16.5</v>
      </c>
      <c r="E288" s="7"/>
      <c r="F288" t="s">
        <v>884</v>
      </c>
    </row>
    <row r="289" spans="1:5" x14ac:dyDescent="0.25">
      <c r="A289" s="68"/>
      <c r="C289" t="s">
        <v>707</v>
      </c>
      <c r="D289" s="18">
        <f>D268*(1+D287)/(D264*(1-D287))</f>
        <v>16.833333333333332</v>
      </c>
      <c r="E289" s="7"/>
    </row>
    <row r="290" spans="1:5" x14ac:dyDescent="0.25">
      <c r="A290" s="68"/>
      <c r="C290" t="s">
        <v>709</v>
      </c>
      <c r="D290" s="18">
        <f>D268*(1-D287)/(D264*(1+D287))</f>
        <v>16.173267326732674</v>
      </c>
      <c r="E290" s="7"/>
    </row>
    <row r="291" spans="1:5" x14ac:dyDescent="0.25">
      <c r="A291" s="68"/>
      <c r="C291" t="s">
        <v>710</v>
      </c>
      <c r="D291" s="18">
        <f>(D289-D288)/D288</f>
        <v>2.0202020202020131E-2</v>
      </c>
      <c r="E291" s="7"/>
    </row>
    <row r="292" spans="1:5" x14ac:dyDescent="0.25">
      <c r="A292" s="68"/>
      <c r="C292" t="s">
        <v>711</v>
      </c>
      <c r="D292" s="18">
        <f>(D290-D288)/D288</f>
        <v>-1.9801980198019764E-2</v>
      </c>
      <c r="E292" s="7"/>
    </row>
    <row r="293" spans="1:5" x14ac:dyDescent="0.25">
      <c r="A293" s="68"/>
      <c r="C293" t="s">
        <v>712</v>
      </c>
      <c r="D293" s="18">
        <f>100*D291</f>
        <v>2.0202020202020132</v>
      </c>
      <c r="E293" s="7" t="s">
        <v>139</v>
      </c>
    </row>
    <row r="294" spans="1:5" x14ac:dyDescent="0.25">
      <c r="A294" s="68"/>
      <c r="C294" t="s">
        <v>713</v>
      </c>
      <c r="D294" s="18">
        <f>D292*100</f>
        <v>-1.9801980198019764</v>
      </c>
      <c r="E294" s="7" t="s">
        <v>139</v>
      </c>
    </row>
    <row r="295" spans="1:5" x14ac:dyDescent="0.25">
      <c r="A295" s="68"/>
      <c r="C295" t="s">
        <v>714</v>
      </c>
      <c r="D295" s="18">
        <f>MAX(ABS(D294), ABS(D293))</f>
        <v>2.0202020202020132</v>
      </c>
      <c r="E295" s="7" t="s">
        <v>139</v>
      </c>
    </row>
    <row r="296" spans="1:5" x14ac:dyDescent="0.25">
      <c r="A296" s="68"/>
      <c r="C296" t="s">
        <v>715</v>
      </c>
      <c r="D296" s="18">
        <f>D285+D295</f>
        <v>2.393083376134213</v>
      </c>
      <c r="E296" s="7" t="s">
        <v>139</v>
      </c>
    </row>
    <row r="297" spans="1:5" x14ac:dyDescent="0.25">
      <c r="A297" s="68"/>
      <c r="E297" s="7"/>
    </row>
    <row r="298" spans="1:5" x14ac:dyDescent="0.25">
      <c r="A298" s="17"/>
      <c r="E298" s="7"/>
    </row>
    <row r="299" spans="1:5" ht="15" customHeight="1" x14ac:dyDescent="0.25">
      <c r="A299" s="68" t="s">
        <v>666</v>
      </c>
      <c r="B299" s="2"/>
      <c r="C299" s="2" t="s">
        <v>4</v>
      </c>
      <c r="D299" s="2">
        <f>D4</f>
        <v>1.2</v>
      </c>
      <c r="E299" s="56"/>
    </row>
    <row r="300" spans="1:5" x14ac:dyDescent="0.25">
      <c r="A300" s="68"/>
      <c r="B300" s="2" t="s">
        <v>36</v>
      </c>
      <c r="C300" s="2"/>
      <c r="D300" s="2">
        <f>D3</f>
        <v>16000</v>
      </c>
      <c r="E300" s="2" t="s">
        <v>48</v>
      </c>
    </row>
    <row r="301" spans="1:5" x14ac:dyDescent="0.25">
      <c r="A301" s="68"/>
      <c r="B301" s="2" t="s">
        <v>573</v>
      </c>
      <c r="C301" s="2" t="s">
        <v>574</v>
      </c>
      <c r="D301" s="2">
        <f>D7</f>
        <v>44.1</v>
      </c>
      <c r="E301" s="2"/>
    </row>
    <row r="302" spans="1:5" x14ac:dyDescent="0.25">
      <c r="A302" s="68"/>
      <c r="B302" s="2" t="s">
        <v>32</v>
      </c>
      <c r="C302" s="2"/>
      <c r="D302" s="2">
        <f>D189</f>
        <v>20</v>
      </c>
      <c r="E302" s="2" t="s">
        <v>17</v>
      </c>
    </row>
    <row r="303" spans="1:5" x14ac:dyDescent="0.25">
      <c r="A303" s="68"/>
      <c r="B303" s="2" t="s">
        <v>599</v>
      </c>
      <c r="C303" s="2" t="s">
        <v>600</v>
      </c>
      <c r="D303" s="59" t="e">
        <f>#REF!</f>
        <v>#REF!</v>
      </c>
      <c r="E303" s="56" t="s">
        <v>131</v>
      </c>
    </row>
    <row r="304" spans="1:5" x14ac:dyDescent="0.25">
      <c r="A304" s="68"/>
      <c r="B304" t="s">
        <v>31</v>
      </c>
      <c r="D304" s="34">
        <v>0.5</v>
      </c>
    </row>
    <row r="305" spans="1:6" x14ac:dyDescent="0.25">
      <c r="A305" s="68"/>
      <c r="B305" t="s">
        <v>197</v>
      </c>
      <c r="D305" s="34">
        <v>2.3E-2</v>
      </c>
      <c r="E305" s="7" t="s">
        <v>21</v>
      </c>
    </row>
    <row r="306" spans="1:6" x14ac:dyDescent="0.25">
      <c r="A306" s="68"/>
      <c r="B306" t="s">
        <v>196</v>
      </c>
      <c r="D306" s="18">
        <f>POWER(D302,2)*D304*D305/3</f>
        <v>1.5333333333333332</v>
      </c>
      <c r="E306" t="s">
        <v>19</v>
      </c>
    </row>
    <row r="307" spans="1:6" x14ac:dyDescent="0.25">
      <c r="A307" s="68"/>
      <c r="B307" t="s">
        <v>198</v>
      </c>
      <c r="C307" t="s">
        <v>672</v>
      </c>
      <c r="D307" s="33">
        <f>D304*D302*D299</f>
        <v>12</v>
      </c>
      <c r="E307" t="s">
        <v>17</v>
      </c>
    </row>
    <row r="308" spans="1:6" x14ac:dyDescent="0.25">
      <c r="A308" s="68"/>
      <c r="B308" t="s">
        <v>664</v>
      </c>
      <c r="C308" t="s">
        <v>671</v>
      </c>
      <c r="D308" s="36">
        <v>60</v>
      </c>
      <c r="E308" t="s">
        <v>17</v>
      </c>
    </row>
    <row r="309" spans="1:6" x14ac:dyDescent="0.25">
      <c r="A309" s="68"/>
      <c r="C309" t="s">
        <v>665</v>
      </c>
      <c r="D309" s="33" t="b">
        <f>D308&gt;=D307</f>
        <v>1</v>
      </c>
    </row>
    <row r="310" spans="1:6" x14ac:dyDescent="0.25">
      <c r="A310" s="68"/>
      <c r="B310" t="s">
        <v>199</v>
      </c>
      <c r="D310" s="33">
        <f>D301*D299</f>
        <v>52.92</v>
      </c>
      <c r="E310" t="s">
        <v>18</v>
      </c>
    </row>
    <row r="311" spans="1:6" x14ac:dyDescent="0.25">
      <c r="A311" s="68"/>
      <c r="B311" t="s">
        <v>208</v>
      </c>
      <c r="D311" s="34">
        <v>250</v>
      </c>
      <c r="E311" t="s">
        <v>18</v>
      </c>
    </row>
    <row r="312" spans="1:6" x14ac:dyDescent="0.25">
      <c r="A312" s="68"/>
      <c r="C312" t="s">
        <v>222</v>
      </c>
      <c r="D312" s="18" t="b">
        <f>D311&gt;=D310</f>
        <v>1</v>
      </c>
    </row>
    <row r="313" spans="1:6" x14ac:dyDescent="0.25">
      <c r="A313" s="68"/>
      <c r="B313" t="s">
        <v>200</v>
      </c>
      <c r="D313" s="34"/>
      <c r="E313" t="s">
        <v>221</v>
      </c>
    </row>
    <row r="314" spans="1:6" x14ac:dyDescent="0.25">
      <c r="A314" s="68"/>
      <c r="B314" t="s">
        <v>201</v>
      </c>
      <c r="D314" s="34"/>
      <c r="E314" t="s">
        <v>221</v>
      </c>
    </row>
    <row r="315" spans="1:6" x14ac:dyDescent="0.25">
      <c r="A315" s="68"/>
      <c r="B315" t="s">
        <v>202</v>
      </c>
      <c r="C315" t="s">
        <v>203</v>
      </c>
      <c r="D315" s="36">
        <v>4.9999999999999998E-8</v>
      </c>
      <c r="E315" t="s">
        <v>221</v>
      </c>
    </row>
    <row r="316" spans="1:6" x14ac:dyDescent="0.25">
      <c r="A316" s="68"/>
      <c r="B316" t="s">
        <v>204</v>
      </c>
      <c r="D316" s="33">
        <f>D300*D315*2</f>
        <v>1.5999999999999999E-3</v>
      </c>
      <c r="E316" t="s">
        <v>17</v>
      </c>
    </row>
    <row r="317" spans="1:6" x14ac:dyDescent="0.25">
      <c r="A317" s="68"/>
      <c r="B317" t="s">
        <v>615</v>
      </c>
      <c r="C317" t="s">
        <v>616</v>
      </c>
      <c r="D317" s="36">
        <v>14</v>
      </c>
    </row>
    <row r="318" spans="1:6" x14ac:dyDescent="0.25">
      <c r="A318" s="68"/>
      <c r="B318" s="22" t="s">
        <v>602</v>
      </c>
      <c r="C318" t="s">
        <v>601</v>
      </c>
      <c r="D318" s="34">
        <v>0.05</v>
      </c>
      <c r="E318" t="s">
        <v>18</v>
      </c>
    </row>
    <row r="319" spans="1:6" x14ac:dyDescent="0.25">
      <c r="A319" s="68"/>
      <c r="B319" s="22" t="s">
        <v>604</v>
      </c>
      <c r="C319" t="s">
        <v>606</v>
      </c>
      <c r="D319" s="33">
        <f>D315/D318</f>
        <v>9.9999999999999995E-7</v>
      </c>
      <c r="E319" t="s">
        <v>20</v>
      </c>
    </row>
    <row r="320" spans="1:6" x14ac:dyDescent="0.25">
      <c r="A320" s="68"/>
      <c r="B320" s="22" t="s">
        <v>603</v>
      </c>
      <c r="C320" t="s">
        <v>607</v>
      </c>
      <c r="D320" s="18">
        <f>0.000001</f>
        <v>9.9999999999999995E-7</v>
      </c>
      <c r="E320" t="s">
        <v>20</v>
      </c>
      <c r="F320" s="4"/>
    </row>
    <row r="321" spans="1:8" x14ac:dyDescent="0.25">
      <c r="A321" s="68"/>
      <c r="B321" s="22" t="s">
        <v>605</v>
      </c>
      <c r="C321" t="s">
        <v>608</v>
      </c>
      <c r="D321" s="33">
        <f>D315/D320</f>
        <v>0.05</v>
      </c>
      <c r="E321" t="s">
        <v>18</v>
      </c>
    </row>
    <row r="322" spans="1:8" x14ac:dyDescent="0.25">
      <c r="A322" s="68"/>
      <c r="B322" s="22"/>
      <c r="C322" t="s">
        <v>617</v>
      </c>
      <c r="D322" s="33" t="b">
        <f>D321&lt;=D318</f>
        <v>1</v>
      </c>
    </row>
    <row r="323" spans="1:8" x14ac:dyDescent="0.25">
      <c r="A323" s="68"/>
      <c r="B323" s="22" t="s">
        <v>628</v>
      </c>
      <c r="C323" t="s">
        <v>629</v>
      </c>
      <c r="D323" s="33">
        <f>D321*D320</f>
        <v>4.9999999999999998E-8</v>
      </c>
      <c r="E323" t="s">
        <v>221</v>
      </c>
    </row>
    <row r="324" spans="1:8" x14ac:dyDescent="0.25">
      <c r="A324" s="68"/>
      <c r="B324" s="22" t="s">
        <v>630</v>
      </c>
      <c r="C324" t="s">
        <v>631</v>
      </c>
      <c r="D324" s="33">
        <f>D323*D300</f>
        <v>7.9999999999999993E-4</v>
      </c>
      <c r="E324" t="s">
        <v>17</v>
      </c>
    </row>
    <row r="325" spans="1:8" x14ac:dyDescent="0.25">
      <c r="A325" s="68"/>
      <c r="B325" s="22" t="s">
        <v>612</v>
      </c>
      <c r="C325" t="s">
        <v>613</v>
      </c>
      <c r="D325" s="34">
        <v>0.95</v>
      </c>
      <c r="E325" t="s">
        <v>18</v>
      </c>
    </row>
    <row r="326" spans="1:8" x14ac:dyDescent="0.25">
      <c r="A326" s="68"/>
      <c r="B326" t="s">
        <v>579</v>
      </c>
      <c r="C326" t="s">
        <v>581</v>
      </c>
      <c r="D326" s="35">
        <f>D317</f>
        <v>14</v>
      </c>
      <c r="E326" t="s">
        <v>18</v>
      </c>
    </row>
    <row r="327" spans="1:8" x14ac:dyDescent="0.25">
      <c r="A327" s="68"/>
      <c r="B327" t="s">
        <v>614</v>
      </c>
      <c r="C327" t="s">
        <v>580</v>
      </c>
      <c r="D327" s="33">
        <f>D317-D325-D321</f>
        <v>13</v>
      </c>
      <c r="E327" t="s">
        <v>18</v>
      </c>
    </row>
    <row r="328" spans="1:8" x14ac:dyDescent="0.25">
      <c r="A328" s="68"/>
      <c r="B328" t="s">
        <v>768</v>
      </c>
      <c r="C328" t="s">
        <v>769</v>
      </c>
      <c r="D328" s="36">
        <v>1.9</v>
      </c>
      <c r="E328" s="7" t="s">
        <v>21</v>
      </c>
    </row>
    <row r="329" spans="1:8" x14ac:dyDescent="0.25">
      <c r="A329" s="68"/>
      <c r="B329" t="s">
        <v>770</v>
      </c>
      <c r="C329" t="s">
        <v>771</v>
      </c>
      <c r="D329" s="36">
        <v>4.7</v>
      </c>
      <c r="E329" s="7" t="s">
        <v>21</v>
      </c>
    </row>
    <row r="330" spans="1:8" x14ac:dyDescent="0.25">
      <c r="A330" s="68"/>
      <c r="C330" t="s">
        <v>779</v>
      </c>
      <c r="D330" s="36">
        <v>0.5</v>
      </c>
      <c r="E330" s="7" t="s">
        <v>139</v>
      </c>
    </row>
    <row r="331" spans="1:8" x14ac:dyDescent="0.25">
      <c r="A331" s="68"/>
      <c r="B331" t="s">
        <v>780</v>
      </c>
      <c r="C331" t="s">
        <v>781</v>
      </c>
      <c r="D331" s="33">
        <f>D329*(100-D330)/100</f>
        <v>4.6765000000000008</v>
      </c>
      <c r="E331" s="7"/>
    </row>
    <row r="332" spans="1:8" x14ac:dyDescent="0.25">
      <c r="A332" s="68"/>
      <c r="B332" t="s">
        <v>772</v>
      </c>
      <c r="C332" t="s">
        <v>773</v>
      </c>
      <c r="D332" s="33">
        <v>0</v>
      </c>
      <c r="E332" s="7"/>
    </row>
    <row r="333" spans="1:8" x14ac:dyDescent="0.25">
      <c r="A333" s="68"/>
      <c r="B333" t="s">
        <v>205</v>
      </c>
      <c r="D333" s="33">
        <f>D328+D329+D332</f>
        <v>6.6</v>
      </c>
      <c r="E333" s="7" t="s">
        <v>21</v>
      </c>
      <c r="H333" s="34"/>
    </row>
    <row r="334" spans="1:8" x14ac:dyDescent="0.25">
      <c r="A334" s="68"/>
      <c r="B334" t="s">
        <v>776</v>
      </c>
      <c r="C334" t="s">
        <v>777</v>
      </c>
      <c r="D334" s="33">
        <f>D326/D331</f>
        <v>2.9936918635731846</v>
      </c>
      <c r="E334" s="7"/>
      <c r="H334" s="34"/>
    </row>
    <row r="335" spans="1:8" x14ac:dyDescent="0.25">
      <c r="A335" s="68"/>
      <c r="B335" t="s">
        <v>774</v>
      </c>
      <c r="C335" t="s">
        <v>775</v>
      </c>
      <c r="D335" s="18">
        <f>D326/D333</f>
        <v>2.1212121212121211</v>
      </c>
      <c r="E335" t="s">
        <v>17</v>
      </c>
      <c r="H335" s="34"/>
    </row>
    <row r="336" spans="1:8" x14ac:dyDescent="0.25">
      <c r="A336" s="68"/>
      <c r="C336" t="s">
        <v>778</v>
      </c>
      <c r="D336" s="33"/>
      <c r="H336" s="34"/>
    </row>
    <row r="337" spans="1:8" x14ac:dyDescent="0.25">
      <c r="A337" s="68"/>
      <c r="H337" s="34"/>
    </row>
    <row r="338" spans="1:8" x14ac:dyDescent="0.25">
      <c r="A338" s="68"/>
      <c r="C338" t="s">
        <v>206</v>
      </c>
      <c r="D338" s="34">
        <v>3</v>
      </c>
      <c r="E338" t="s">
        <v>17</v>
      </c>
      <c r="H338" s="34"/>
    </row>
    <row r="339" spans="1:8" x14ac:dyDescent="0.25">
      <c r="A339" s="68"/>
      <c r="C339" t="s">
        <v>207</v>
      </c>
      <c r="D339" s="18">
        <f>D338/D299</f>
        <v>2.5</v>
      </c>
      <c r="E339" t="s">
        <v>17</v>
      </c>
      <c r="H339" s="34"/>
    </row>
    <row r="340" spans="1:8" x14ac:dyDescent="0.25">
      <c r="A340" s="68"/>
      <c r="C340" t="s">
        <v>782</v>
      </c>
      <c r="D340" s="18" t="b">
        <f>AND(D334&lt;D338, D335&lt;=D339)</f>
        <v>1</v>
      </c>
      <c r="H340" s="34"/>
    </row>
    <row r="341" spans="1:8" x14ac:dyDescent="0.25">
      <c r="A341" s="68"/>
      <c r="B341" t="s">
        <v>634</v>
      </c>
      <c r="D341" s="34">
        <v>0</v>
      </c>
      <c r="E341" s="7" t="s">
        <v>21</v>
      </c>
    </row>
    <row r="342" spans="1:8" x14ac:dyDescent="0.25">
      <c r="A342" s="68"/>
      <c r="B342" t="s">
        <v>643</v>
      </c>
      <c r="D342" s="34">
        <v>0.02</v>
      </c>
      <c r="E342" s="7" t="s">
        <v>21</v>
      </c>
      <c r="H342" t="s">
        <v>669</v>
      </c>
    </row>
    <row r="343" spans="1:8" x14ac:dyDescent="0.25">
      <c r="A343" s="68"/>
      <c r="B343" t="s">
        <v>734</v>
      </c>
      <c r="C343" t="s">
        <v>735</v>
      </c>
      <c r="D343" s="34">
        <v>7</v>
      </c>
      <c r="E343" s="7" t="s">
        <v>21</v>
      </c>
      <c r="H343" t="s">
        <v>670</v>
      </c>
    </row>
    <row r="344" spans="1:8" x14ac:dyDescent="0.25">
      <c r="A344" s="68"/>
      <c r="B344" t="s">
        <v>633</v>
      </c>
      <c r="C344" t="s">
        <v>632</v>
      </c>
      <c r="D344" s="18">
        <f>D341+D342+D343</f>
        <v>7.02</v>
      </c>
      <c r="E344" s="7" t="s">
        <v>21</v>
      </c>
    </row>
    <row r="345" spans="1:8" x14ac:dyDescent="0.25">
      <c r="A345" s="68"/>
      <c r="B345" t="s">
        <v>736</v>
      </c>
      <c r="D345" s="18">
        <f>D343*D320</f>
        <v>6.9999999999999999E-6</v>
      </c>
      <c r="E345" s="7"/>
    </row>
    <row r="346" spans="1:8" x14ac:dyDescent="0.25">
      <c r="A346" s="68"/>
      <c r="B346" t="s">
        <v>737</v>
      </c>
      <c r="D346" s="18">
        <f>5*D345</f>
        <v>3.4999999999999997E-5</v>
      </c>
      <c r="E346" s="7"/>
    </row>
    <row r="347" spans="1:8" x14ac:dyDescent="0.25">
      <c r="A347" s="68"/>
      <c r="C347" t="s">
        <v>738</v>
      </c>
      <c r="D347" s="18" t="b">
        <f>D346&lt;(1/D300)</f>
        <v>1</v>
      </c>
      <c r="E347" s="7"/>
    </row>
    <row r="348" spans="1:8" x14ac:dyDescent="0.25">
      <c r="A348" s="68"/>
      <c r="B348" t="s">
        <v>636</v>
      </c>
      <c r="C348" t="s">
        <v>637</v>
      </c>
      <c r="D348" s="34">
        <v>7.5</v>
      </c>
      <c r="E348" s="7" t="s">
        <v>18</v>
      </c>
    </row>
    <row r="349" spans="1:8" x14ac:dyDescent="0.25">
      <c r="A349" s="68"/>
      <c r="B349" t="s">
        <v>639</v>
      </c>
      <c r="C349" t="s">
        <v>635</v>
      </c>
      <c r="D349" s="33">
        <f>D317/D344</f>
        <v>1.9943019943019944</v>
      </c>
      <c r="E349" s="7" t="s">
        <v>17</v>
      </c>
    </row>
    <row r="350" spans="1:8" x14ac:dyDescent="0.25">
      <c r="A350" s="68"/>
      <c r="B350" t="s">
        <v>640</v>
      </c>
      <c r="D350" s="33">
        <f>D321/D344</f>
        <v>7.1225071225071235E-3</v>
      </c>
      <c r="E350" s="7" t="s">
        <v>17</v>
      </c>
    </row>
    <row r="351" spans="1:8" x14ac:dyDescent="0.25">
      <c r="A351" s="68"/>
      <c r="B351" t="s">
        <v>642</v>
      </c>
      <c r="D351" s="38">
        <v>35</v>
      </c>
      <c r="E351" s="7" t="s">
        <v>17</v>
      </c>
    </row>
    <row r="352" spans="1:8" x14ac:dyDescent="0.25">
      <c r="A352" s="68"/>
      <c r="C352" t="s">
        <v>638</v>
      </c>
      <c r="D352" s="37" t="b">
        <f>AND(D351&gt;=D349*D299, D351&gt;=D350*D299)</f>
        <v>1</v>
      </c>
      <c r="E352" s="7"/>
    </row>
    <row r="353" spans="1:8" x14ac:dyDescent="0.25">
      <c r="A353" s="68"/>
      <c r="B353" t="s">
        <v>641</v>
      </c>
      <c r="D353" s="38">
        <v>200</v>
      </c>
      <c r="E353" s="7" t="s">
        <v>18</v>
      </c>
    </row>
    <row r="354" spans="1:8" x14ac:dyDescent="0.25">
      <c r="A354" s="68"/>
      <c r="C354" t="s">
        <v>644</v>
      </c>
      <c r="D354" s="37" t="b">
        <f>D353&gt;=2*D317</f>
        <v>1</v>
      </c>
      <c r="E354" s="7"/>
    </row>
    <row r="355" spans="1:8" x14ac:dyDescent="0.25">
      <c r="A355" s="68"/>
      <c r="B355" t="s">
        <v>582</v>
      </c>
      <c r="C355" t="s">
        <v>589</v>
      </c>
      <c r="D355" s="33">
        <f>D315*D333/D326</f>
        <v>2.357142857142857E-8</v>
      </c>
      <c r="E355" t="s">
        <v>220</v>
      </c>
    </row>
    <row r="356" spans="1:8" x14ac:dyDescent="0.25">
      <c r="A356" s="68"/>
      <c r="B356" t="s">
        <v>583</v>
      </c>
      <c r="C356" t="s">
        <v>577</v>
      </c>
      <c r="D356" s="33">
        <f>D355</f>
        <v>2.357142857142857E-8</v>
      </c>
      <c r="E356" t="s">
        <v>220</v>
      </c>
    </row>
    <row r="357" spans="1:8" x14ac:dyDescent="0.25">
      <c r="A357" s="68"/>
      <c r="B357" t="s">
        <v>584</v>
      </c>
      <c r="C357" t="s">
        <v>578</v>
      </c>
      <c r="D357" s="33">
        <f>D356</f>
        <v>2.357142857142857E-8</v>
      </c>
      <c r="E357" t="s">
        <v>220</v>
      </c>
    </row>
    <row r="358" spans="1:8" x14ac:dyDescent="0.25">
      <c r="A358" s="68"/>
      <c r="B358" t="s">
        <v>585</v>
      </c>
      <c r="C358" t="s">
        <v>588</v>
      </c>
      <c r="D358" s="33">
        <f>D315*D333/D327</f>
        <v>2.5384615384615382E-8</v>
      </c>
      <c r="E358" t="s">
        <v>220</v>
      </c>
    </row>
    <row r="359" spans="1:8" x14ac:dyDescent="0.25">
      <c r="A359" s="68"/>
      <c r="B359" t="s">
        <v>586</v>
      </c>
      <c r="C359" t="s">
        <v>590</v>
      </c>
      <c r="D359" s="33">
        <f>D358</f>
        <v>2.5384615384615382E-8</v>
      </c>
      <c r="E359" t="s">
        <v>220</v>
      </c>
    </row>
    <row r="360" spans="1:8" x14ac:dyDescent="0.25">
      <c r="A360" s="68"/>
      <c r="B360" t="s">
        <v>587</v>
      </c>
      <c r="C360" t="s">
        <v>591</v>
      </c>
      <c r="D360" s="33">
        <f>D359</f>
        <v>2.5384615384615382E-8</v>
      </c>
      <c r="E360" t="s">
        <v>220</v>
      </c>
    </row>
    <row r="361" spans="1:8" x14ac:dyDescent="0.25">
      <c r="A361" s="68"/>
    </row>
    <row r="362" spans="1:8" x14ac:dyDescent="0.25">
      <c r="A362" s="68"/>
    </row>
    <row r="363" spans="1:8" x14ac:dyDescent="0.25">
      <c r="A363" s="68"/>
    </row>
    <row r="364" spans="1:8" x14ac:dyDescent="0.25">
      <c r="A364" s="68"/>
    </row>
    <row r="365" spans="1:8" x14ac:dyDescent="0.25">
      <c r="A365" s="68"/>
      <c r="B365" t="s">
        <v>646</v>
      </c>
      <c r="C365" t="s">
        <v>645</v>
      </c>
      <c r="D365" s="33">
        <f>D321/(D341+D342+D343)</f>
        <v>7.1225071225071235E-3</v>
      </c>
    </row>
    <row r="366" spans="1:8" x14ac:dyDescent="0.25">
      <c r="A366" s="68"/>
      <c r="B366" t="s">
        <v>647</v>
      </c>
      <c r="C366" t="s">
        <v>650</v>
      </c>
      <c r="D366" s="36">
        <v>2E-8</v>
      </c>
      <c r="E366" t="s">
        <v>131</v>
      </c>
      <c r="H366" t="s">
        <v>668</v>
      </c>
    </row>
    <row r="367" spans="1:8" x14ac:dyDescent="0.25">
      <c r="A367" s="68"/>
      <c r="B367" t="s">
        <v>648</v>
      </c>
      <c r="C367" t="s">
        <v>649</v>
      </c>
      <c r="D367" s="1">
        <v>5.0000000000000001E-9</v>
      </c>
      <c r="E367" t="s">
        <v>220</v>
      </c>
    </row>
    <row r="368" spans="1:8" x14ac:dyDescent="0.25">
      <c r="A368" s="68"/>
      <c r="B368" t="s">
        <v>661</v>
      </c>
      <c r="C368" t="s">
        <v>651</v>
      </c>
      <c r="D368" s="1">
        <f xml:space="preserve"> D366*D365/D367</f>
        <v>2.8490028490028491E-2</v>
      </c>
      <c r="E368" t="s">
        <v>18</v>
      </c>
    </row>
    <row r="369" spans="1:5" x14ac:dyDescent="0.25">
      <c r="A369" s="68"/>
      <c r="B369" t="s">
        <v>593</v>
      </c>
      <c r="C369" t="s">
        <v>224</v>
      </c>
      <c r="D369" s="33">
        <f>D315*D326*D300</f>
        <v>1.12E-2</v>
      </c>
      <c r="E369" t="s">
        <v>19</v>
      </c>
    </row>
    <row r="370" spans="1:5" x14ac:dyDescent="0.25">
      <c r="A370" s="68"/>
      <c r="D370" s="36"/>
      <c r="E370" t="s">
        <v>221</v>
      </c>
    </row>
    <row r="371" spans="1:5" x14ac:dyDescent="0.25">
      <c r="A371" s="68"/>
      <c r="B371" t="s">
        <v>653</v>
      </c>
      <c r="C371" t="s">
        <v>654</v>
      </c>
      <c r="D371" s="36">
        <v>2.4999999999999999E-8</v>
      </c>
      <c r="E371" t="s">
        <v>220</v>
      </c>
    </row>
    <row r="372" spans="1:5" x14ac:dyDescent="0.25">
      <c r="A372" s="68"/>
      <c r="B372" t="s">
        <v>652</v>
      </c>
      <c r="C372" t="s">
        <v>667</v>
      </c>
      <c r="D372" s="37">
        <v>0.25</v>
      </c>
      <c r="E372" t="s">
        <v>17</v>
      </c>
    </row>
    <row r="373" spans="1:5" x14ac:dyDescent="0.25">
      <c r="A373" s="68"/>
      <c r="B373" t="s">
        <v>658</v>
      </c>
      <c r="C373" t="s">
        <v>655</v>
      </c>
      <c r="D373" s="37">
        <f>D366*D372/D371</f>
        <v>0.2</v>
      </c>
      <c r="E373" t="s">
        <v>18</v>
      </c>
    </row>
    <row r="374" spans="1:5" x14ac:dyDescent="0.25">
      <c r="A374" s="68"/>
      <c r="B374" t="s">
        <v>662</v>
      </c>
      <c r="C374" t="s">
        <v>659</v>
      </c>
      <c r="D374" s="38">
        <v>0.2</v>
      </c>
      <c r="E374" t="s">
        <v>18</v>
      </c>
    </row>
    <row r="375" spans="1:5" x14ac:dyDescent="0.25">
      <c r="A375" s="68"/>
      <c r="B375" t="s">
        <v>656</v>
      </c>
      <c r="C375" t="s">
        <v>660</v>
      </c>
      <c r="D375" s="34">
        <v>0.2</v>
      </c>
      <c r="E375" t="s">
        <v>18</v>
      </c>
    </row>
    <row r="376" spans="1:5" x14ac:dyDescent="0.25">
      <c r="A376" s="68"/>
      <c r="B376" t="s">
        <v>663</v>
      </c>
      <c r="D376" s="18" t="b">
        <f>D374&gt;=D368</f>
        <v>1</v>
      </c>
    </row>
    <row r="377" spans="1:5" x14ac:dyDescent="0.25">
      <c r="A377" s="68"/>
      <c r="B377" t="s">
        <v>657</v>
      </c>
      <c r="D377" s="18" t="b">
        <f>D375&lt;=D373</f>
        <v>1</v>
      </c>
    </row>
    <row r="378" spans="1:5" x14ac:dyDescent="0.25">
      <c r="A378" s="68"/>
      <c r="B378" t="s">
        <v>576</v>
      </c>
      <c r="D378" s="18">
        <f>D301</f>
        <v>44.1</v>
      </c>
      <c r="E378" t="s">
        <v>18</v>
      </c>
    </row>
    <row r="379" spans="1:5" x14ac:dyDescent="0.25">
      <c r="A379" s="68"/>
      <c r="B379" t="s">
        <v>575</v>
      </c>
      <c r="D379" s="18">
        <f>D302</f>
        <v>20</v>
      </c>
      <c r="E379" t="s">
        <v>17</v>
      </c>
    </row>
    <row r="380" spans="1:5" x14ac:dyDescent="0.25">
      <c r="A380" s="68"/>
      <c r="B380" t="s">
        <v>592</v>
      </c>
      <c r="D380" s="33">
        <f>0.5*D378*D379*(D356+D357)*D300</f>
        <v>0.33263999999999999</v>
      </c>
      <c r="E380" t="s">
        <v>19</v>
      </c>
    </row>
    <row r="381" spans="1:5" x14ac:dyDescent="0.25">
      <c r="A381" s="68"/>
      <c r="B381" t="s">
        <v>594</v>
      </c>
      <c r="C381" t="s">
        <v>595</v>
      </c>
      <c r="D381" s="33">
        <f>D306+D380</f>
        <v>1.8659733333333333</v>
      </c>
      <c r="E381" t="s">
        <v>19</v>
      </c>
    </row>
    <row r="382" spans="1:5" x14ac:dyDescent="0.25">
      <c r="A382" s="68"/>
      <c r="B382" t="s">
        <v>596</v>
      </c>
      <c r="C382" t="s">
        <v>597</v>
      </c>
      <c r="D382" s="33">
        <f>4*D381</f>
        <v>7.463893333333333</v>
      </c>
      <c r="E382" t="s">
        <v>19</v>
      </c>
    </row>
    <row r="383" spans="1:5" x14ac:dyDescent="0.25">
      <c r="A383" s="68"/>
      <c r="B383" t="s">
        <v>209</v>
      </c>
      <c r="D383" s="34">
        <v>1000</v>
      </c>
      <c r="E383" s="7" t="s">
        <v>21</v>
      </c>
    </row>
    <row r="384" spans="1:5" x14ac:dyDescent="0.25">
      <c r="A384" s="68"/>
      <c r="B384" t="s">
        <v>212</v>
      </c>
      <c r="D384" s="34">
        <v>2.5</v>
      </c>
      <c r="E384" t="s">
        <v>18</v>
      </c>
    </row>
    <row r="385" spans="1:5" x14ac:dyDescent="0.25">
      <c r="A385" s="68"/>
      <c r="B385" t="s">
        <v>213</v>
      </c>
      <c r="C385" t="s">
        <v>598</v>
      </c>
      <c r="D385" s="34">
        <v>210</v>
      </c>
      <c r="E385" t="s">
        <v>17</v>
      </c>
    </row>
    <row r="386" spans="1:5" x14ac:dyDescent="0.25">
      <c r="A386" s="68"/>
      <c r="B386" t="s">
        <v>210</v>
      </c>
      <c r="C386" t="s">
        <v>211</v>
      </c>
      <c r="D386" s="33">
        <f>-D383*(D315/D326)*LN(D384/D326)</f>
        <v>6.1527378490753689E-6</v>
      </c>
      <c r="E386" t="s">
        <v>220</v>
      </c>
    </row>
    <row r="387" spans="1:5" x14ac:dyDescent="0.25">
      <c r="A387" s="68"/>
      <c r="C387" t="s">
        <v>223</v>
      </c>
      <c r="D387" s="33" t="e">
        <f>D302+(D301*D386/D303)</f>
        <v>#REF!</v>
      </c>
      <c r="E387" t="s">
        <v>17</v>
      </c>
    </row>
    <row r="388" spans="1:5" x14ac:dyDescent="0.25">
      <c r="A388" s="68"/>
      <c r="B388" t="s">
        <v>214</v>
      </c>
      <c r="D388" s="34">
        <v>60</v>
      </c>
      <c r="E388" t="s">
        <v>17</v>
      </c>
    </row>
    <row r="389" spans="1:5" x14ac:dyDescent="0.25">
      <c r="A389" s="68"/>
      <c r="C389" t="s">
        <v>216</v>
      </c>
      <c r="D389" s="18" t="e">
        <f>D387&lt;D385</f>
        <v>#REF!</v>
      </c>
    </row>
    <row r="390" spans="1:5" x14ac:dyDescent="0.25">
      <c r="A390" s="68"/>
      <c r="C390" t="s">
        <v>215</v>
      </c>
      <c r="D390" s="18" t="e">
        <f>D387&lt;D388</f>
        <v>#REF!</v>
      </c>
    </row>
    <row r="391" spans="1:5" x14ac:dyDescent="0.25">
      <c r="A391" s="68"/>
      <c r="B391" t="s">
        <v>217</v>
      </c>
      <c r="C391" t="s">
        <v>218</v>
      </c>
      <c r="D391" s="18">
        <f>0.5*POWER(D326, 2)/D383</f>
        <v>9.8000000000000004E-2</v>
      </c>
      <c r="E391" t="s">
        <v>19</v>
      </c>
    </row>
    <row r="392" spans="1:5" x14ac:dyDescent="0.25">
      <c r="A392" s="68"/>
      <c r="B392" s="22" t="s">
        <v>609</v>
      </c>
      <c r="C392" t="s">
        <v>610</v>
      </c>
      <c r="D392" s="34">
        <v>9.6999999999999993</v>
      </c>
    </row>
    <row r="393" spans="1:5" x14ac:dyDescent="0.25">
      <c r="A393" s="68"/>
      <c r="B393" s="22" t="s">
        <v>623</v>
      </c>
      <c r="C393" t="s">
        <v>611</v>
      </c>
      <c r="D393" s="33">
        <f>D327-D392</f>
        <v>3.3000000000000007</v>
      </c>
    </row>
    <row r="394" spans="1:5" x14ac:dyDescent="0.25">
      <c r="A394" s="68"/>
      <c r="B394" t="s">
        <v>618</v>
      </c>
      <c r="C394" t="s">
        <v>619</v>
      </c>
      <c r="D394" s="18">
        <v>2</v>
      </c>
    </row>
    <row r="395" spans="1:5" x14ac:dyDescent="0.25">
      <c r="A395" s="68"/>
      <c r="B395" s="22"/>
      <c r="C395" t="s">
        <v>626</v>
      </c>
      <c r="D395" s="33" t="b">
        <f>D393&gt;=D394</f>
        <v>1</v>
      </c>
    </row>
    <row r="396" spans="1:5" x14ac:dyDescent="0.25">
      <c r="A396" s="68"/>
      <c r="B396" t="s">
        <v>622</v>
      </c>
      <c r="D396" s="34">
        <v>9.6999999999999993</v>
      </c>
    </row>
    <row r="397" spans="1:5" x14ac:dyDescent="0.25">
      <c r="A397" s="68"/>
      <c r="B397" t="s">
        <v>620</v>
      </c>
      <c r="C397" t="s">
        <v>621</v>
      </c>
      <c r="D397" s="33">
        <f xml:space="preserve"> D317</f>
        <v>14</v>
      </c>
    </row>
    <row r="398" spans="1:5" ht="15" customHeight="1" x14ac:dyDescent="0.25">
      <c r="A398" s="68"/>
      <c r="B398" s="22" t="s">
        <v>624</v>
      </c>
      <c r="C398" t="s">
        <v>625</v>
      </c>
      <c r="D398" s="33">
        <f>D397-D396</f>
        <v>4.3000000000000007</v>
      </c>
    </row>
    <row r="399" spans="1:5" ht="15" customHeight="1" x14ac:dyDescent="0.25">
      <c r="A399" s="68"/>
      <c r="C399" t="s">
        <v>627</v>
      </c>
      <c r="D399" s="18" t="b">
        <f>D398&gt;=D394</f>
        <v>1</v>
      </c>
    </row>
    <row r="400" spans="1:5" ht="15" customHeight="1" x14ac:dyDescent="0.25">
      <c r="A400" s="68"/>
      <c r="D400" s="33"/>
    </row>
    <row r="401" spans="1:5" ht="15" customHeight="1" x14ac:dyDescent="0.25">
      <c r="A401" s="68"/>
      <c r="B401" s="22" t="s">
        <v>755</v>
      </c>
      <c r="C401" t="s">
        <v>756</v>
      </c>
      <c r="D401" s="33">
        <f>D333</f>
        <v>6.6</v>
      </c>
    </row>
    <row r="402" spans="1:5" ht="15" customHeight="1" x14ac:dyDescent="0.25">
      <c r="A402" s="68"/>
      <c r="B402" s="22" t="s">
        <v>757</v>
      </c>
      <c r="C402" t="s">
        <v>758</v>
      </c>
      <c r="D402" s="36">
        <f>0.00000000361</f>
        <v>3.6100000000000001E-9</v>
      </c>
    </row>
    <row r="403" spans="1:5" ht="15" customHeight="1" x14ac:dyDescent="0.25">
      <c r="A403" s="68"/>
      <c r="B403" s="22" t="s">
        <v>759</v>
      </c>
      <c r="C403" t="s">
        <v>760</v>
      </c>
      <c r="D403" s="33">
        <f>D743</f>
        <v>2.2741325637156556E-10</v>
      </c>
    </row>
    <row r="404" spans="1:5" ht="15" customHeight="1" x14ac:dyDescent="0.25">
      <c r="A404" s="68"/>
      <c r="B404" s="22" t="s">
        <v>784</v>
      </c>
      <c r="C404" t="s">
        <v>783</v>
      </c>
      <c r="D404" s="33">
        <v>2.0000000000000001E-9</v>
      </c>
    </row>
    <row r="405" spans="1:5" ht="15" customHeight="1" x14ac:dyDescent="0.25">
      <c r="A405" s="68"/>
      <c r="B405" s="22" t="s">
        <v>785</v>
      </c>
      <c r="D405" s="33">
        <f>D403+D404</f>
        <v>2.2274132563715655E-9</v>
      </c>
    </row>
    <row r="406" spans="1:5" ht="15" customHeight="1" x14ac:dyDescent="0.25">
      <c r="A406" s="68"/>
      <c r="B406" s="22" t="s">
        <v>754</v>
      </c>
      <c r="D406" s="33">
        <f>D401*0.5*SQRT(D402/D405)</f>
        <v>4.2011398692792943</v>
      </c>
    </row>
    <row r="407" spans="1:5" ht="15" customHeight="1" x14ac:dyDescent="0.25">
      <c r="A407" s="68"/>
    </row>
    <row r="408" spans="1:5" ht="15" customHeight="1" x14ac:dyDescent="0.25">
      <c r="A408" s="31"/>
      <c r="D408" s="18"/>
    </row>
    <row r="409" spans="1:5" x14ac:dyDescent="0.25">
      <c r="A409" s="68" t="s">
        <v>396</v>
      </c>
      <c r="B409" t="s">
        <v>219</v>
      </c>
      <c r="C409" t="s">
        <v>886</v>
      </c>
      <c r="D409" s="1">
        <f>D381</f>
        <v>1.8659733333333333</v>
      </c>
      <c r="E409" t="s">
        <v>19</v>
      </c>
    </row>
    <row r="410" spans="1:5" x14ac:dyDescent="0.25">
      <c r="A410" s="68"/>
      <c r="C410" t="s">
        <v>397</v>
      </c>
      <c r="D410" s="34">
        <v>0.9</v>
      </c>
      <c r="E410" s="21" t="s">
        <v>398</v>
      </c>
    </row>
    <row r="411" spans="1:5" x14ac:dyDescent="0.25">
      <c r="A411" s="68"/>
      <c r="C411" t="s">
        <v>399</v>
      </c>
      <c r="D411" s="34">
        <v>0</v>
      </c>
      <c r="E411" s="22" t="s">
        <v>110</v>
      </c>
    </row>
    <row r="412" spans="1:5" x14ac:dyDescent="0.25">
      <c r="A412" s="68"/>
      <c r="C412" t="s">
        <v>400</v>
      </c>
      <c r="D412" s="36">
        <v>1.4999999999999999E-4</v>
      </c>
      <c r="E412" s="23" t="s">
        <v>181</v>
      </c>
    </row>
    <row r="413" spans="1:5" x14ac:dyDescent="0.25">
      <c r="A413" s="68"/>
      <c r="B413" t="s">
        <v>402</v>
      </c>
      <c r="C413" t="s">
        <v>403</v>
      </c>
      <c r="D413" s="18">
        <f>D411/(1000*D410*D412)</f>
        <v>0</v>
      </c>
      <c r="E413" s="22"/>
    </row>
    <row r="414" spans="1:5" x14ac:dyDescent="0.25">
      <c r="A414" s="68"/>
      <c r="B414" t="s">
        <v>404</v>
      </c>
      <c r="C414" t="s">
        <v>405</v>
      </c>
      <c r="D414" s="34">
        <f>3.5+0.5</f>
        <v>4</v>
      </c>
      <c r="E414" s="22"/>
    </row>
    <row r="415" spans="1:5" x14ac:dyDescent="0.25">
      <c r="A415" s="68"/>
      <c r="B415" t="s">
        <v>406</v>
      </c>
      <c r="C415" t="s">
        <v>407</v>
      </c>
      <c r="D415" s="34">
        <v>6.6665999999999999</v>
      </c>
      <c r="E415" s="21"/>
    </row>
    <row r="416" spans="1:5" x14ac:dyDescent="0.25">
      <c r="A416" s="68"/>
      <c r="C416" t="s">
        <v>401</v>
      </c>
      <c r="D416" s="18">
        <f>D413+D414+D415</f>
        <v>10.666599999999999</v>
      </c>
      <c r="E416" s="21"/>
    </row>
    <row r="417" spans="1:6" x14ac:dyDescent="0.25">
      <c r="A417" s="68"/>
      <c r="B417" t="s">
        <v>409</v>
      </c>
      <c r="C417" t="s">
        <v>408</v>
      </c>
      <c r="D417" s="33">
        <f>D416*D409</f>
        <v>19.903591157333331</v>
      </c>
      <c r="E417" s="21"/>
    </row>
    <row r="418" spans="1:6" x14ac:dyDescent="0.25">
      <c r="A418" s="68"/>
      <c r="C418" t="s">
        <v>410</v>
      </c>
      <c r="D418" s="34">
        <v>35</v>
      </c>
      <c r="E418" s="21"/>
    </row>
    <row r="419" spans="1:6" x14ac:dyDescent="0.25">
      <c r="A419" s="68"/>
      <c r="C419" t="s">
        <v>411</v>
      </c>
      <c r="D419" s="33">
        <f>D418+D417</f>
        <v>54.903591157333331</v>
      </c>
      <c r="E419" s="21"/>
    </row>
    <row r="420" spans="1:6" x14ac:dyDescent="0.25">
      <c r="A420" s="68"/>
      <c r="C420" t="s">
        <v>412</v>
      </c>
      <c r="D420">
        <v>150</v>
      </c>
      <c r="E420" s="21"/>
    </row>
    <row r="421" spans="1:6" x14ac:dyDescent="0.25">
      <c r="A421" s="68"/>
      <c r="C421" t="s">
        <v>413</v>
      </c>
      <c r="D421" s="18" t="b">
        <f>D419&lt;D420/D4</f>
        <v>1</v>
      </c>
    </row>
    <row r="422" spans="1:6" x14ac:dyDescent="0.25">
      <c r="A422" s="68"/>
      <c r="D422">
        <v>60</v>
      </c>
      <c r="F422" t="s">
        <v>893</v>
      </c>
    </row>
    <row r="423" spans="1:6" s="6" customFormat="1" x14ac:dyDescent="0.25">
      <c r="A423" s="60"/>
      <c r="C423" s="6" t="s">
        <v>887</v>
      </c>
    </row>
    <row r="424" spans="1:6" ht="15" customHeight="1" x14ac:dyDescent="0.25">
      <c r="A424" s="68" t="s">
        <v>685</v>
      </c>
      <c r="B424" s="2" t="s">
        <v>529</v>
      </c>
      <c r="C424" s="2" t="s">
        <v>502</v>
      </c>
      <c r="D424" s="2" t="e">
        <f>#REF!</f>
        <v>#REF!</v>
      </c>
      <c r="E424" s="2" t="s">
        <v>17</v>
      </c>
    </row>
    <row r="425" spans="1:6" x14ac:dyDescent="0.25">
      <c r="A425" s="68"/>
      <c r="B425" t="s">
        <v>528</v>
      </c>
      <c r="D425" s="18" t="e">
        <f>D424/SQRT(3)</f>
        <v>#REF!</v>
      </c>
      <c r="E425" t="s">
        <v>17</v>
      </c>
    </row>
    <row r="426" spans="1:6" ht="15.75" x14ac:dyDescent="0.3">
      <c r="A426" s="68"/>
      <c r="B426" s="29" t="s">
        <v>504</v>
      </c>
      <c r="C426" t="s">
        <v>503</v>
      </c>
      <c r="D426" s="34">
        <f xml:space="preserve"> 40</f>
        <v>40</v>
      </c>
      <c r="E426" t="s">
        <v>17</v>
      </c>
    </row>
    <row r="427" spans="1:6" ht="15.75" x14ac:dyDescent="0.3">
      <c r="A427" s="68"/>
      <c r="B427" s="29" t="s">
        <v>506</v>
      </c>
      <c r="C427" t="s">
        <v>505</v>
      </c>
      <c r="D427" s="8">
        <f>D426/SQRT(3)</f>
        <v>23.094010767585033</v>
      </c>
      <c r="E427" t="s">
        <v>17</v>
      </c>
    </row>
    <row r="428" spans="1:6" ht="15.75" x14ac:dyDescent="0.3">
      <c r="A428" s="68"/>
      <c r="B428" s="29" t="s">
        <v>491</v>
      </c>
      <c r="C428" t="s">
        <v>492</v>
      </c>
      <c r="D428" s="6">
        <f>D3</f>
        <v>16000</v>
      </c>
      <c r="E428" t="s">
        <v>48</v>
      </c>
    </row>
    <row r="429" spans="1:6" ht="15.75" x14ac:dyDescent="0.3">
      <c r="A429" s="68"/>
      <c r="B429" s="29" t="s">
        <v>493</v>
      </c>
      <c r="C429" t="s">
        <v>494</v>
      </c>
      <c r="D429" s="39">
        <v>200</v>
      </c>
    </row>
    <row r="430" spans="1:6" ht="15.75" x14ac:dyDescent="0.3">
      <c r="A430" s="68"/>
      <c r="B430" s="29" t="s">
        <v>518</v>
      </c>
      <c r="D430" s="8" t="e">
        <f>D424/D429</f>
        <v>#REF!</v>
      </c>
      <c r="E430" t="s">
        <v>17</v>
      </c>
    </row>
    <row r="431" spans="1:6" x14ac:dyDescent="0.25">
      <c r="A431" s="68"/>
      <c r="B431" t="s">
        <v>507</v>
      </c>
      <c r="D431" s="8">
        <f>D426/D429</f>
        <v>0.2</v>
      </c>
      <c r="E431" t="s">
        <v>17</v>
      </c>
    </row>
    <row r="432" spans="1:6" x14ac:dyDescent="0.25">
      <c r="A432" s="68"/>
      <c r="B432" t="s">
        <v>527</v>
      </c>
      <c r="D432" s="8" t="e">
        <f>D425/D429</f>
        <v>#REF!</v>
      </c>
      <c r="E432" t="s">
        <v>17</v>
      </c>
    </row>
    <row r="433" spans="1:5" x14ac:dyDescent="0.25">
      <c r="A433" s="68"/>
      <c r="B433" t="s">
        <v>508</v>
      </c>
      <c r="D433" s="8">
        <f>D427/D429</f>
        <v>0.11547005383792516</v>
      </c>
      <c r="E433" t="s">
        <v>17</v>
      </c>
    </row>
    <row r="434" spans="1:5" x14ac:dyDescent="0.25">
      <c r="A434" s="68"/>
      <c r="B434" t="s">
        <v>495</v>
      </c>
      <c r="C434" t="s">
        <v>509</v>
      </c>
      <c r="D434" s="39">
        <v>2</v>
      </c>
      <c r="E434" t="s">
        <v>18</v>
      </c>
    </row>
    <row r="435" spans="1:5" x14ac:dyDescent="0.25">
      <c r="A435" s="68"/>
      <c r="B435" t="s">
        <v>496</v>
      </c>
      <c r="C435" t="s">
        <v>497</v>
      </c>
      <c r="D435" s="34">
        <v>1.05</v>
      </c>
      <c r="E435" t="s">
        <v>18</v>
      </c>
    </row>
    <row r="436" spans="1:5" x14ac:dyDescent="0.25">
      <c r="A436" s="68"/>
      <c r="B436" t="s">
        <v>499</v>
      </c>
      <c r="C436" t="s">
        <v>498</v>
      </c>
      <c r="D436" s="18">
        <f>(D434)/D431</f>
        <v>10</v>
      </c>
      <c r="E436" s="7" t="s">
        <v>21</v>
      </c>
    </row>
    <row r="437" spans="1:5" x14ac:dyDescent="0.25">
      <c r="A437" s="68"/>
      <c r="B437" t="s">
        <v>500</v>
      </c>
      <c r="C437" t="s">
        <v>501</v>
      </c>
      <c r="D437" s="34">
        <f>D436</f>
        <v>10</v>
      </c>
      <c r="E437" s="7" t="s">
        <v>21</v>
      </c>
    </row>
    <row r="438" spans="1:5" x14ac:dyDescent="0.25">
      <c r="A438" s="68"/>
      <c r="B438" t="s">
        <v>513</v>
      </c>
      <c r="C438" t="s">
        <v>512</v>
      </c>
      <c r="D438" s="18">
        <f xml:space="preserve"> D431*D437</f>
        <v>2</v>
      </c>
      <c r="E438" t="s">
        <v>18</v>
      </c>
    </row>
    <row r="439" spans="1:5" x14ac:dyDescent="0.25">
      <c r="A439" s="68"/>
    </row>
    <row r="440" spans="1:5" x14ac:dyDescent="0.25">
      <c r="A440" s="68"/>
      <c r="B440" t="s">
        <v>515</v>
      </c>
      <c r="C440" t="s">
        <v>510</v>
      </c>
      <c r="D440" s="18">
        <f xml:space="preserve"> POWER(D431, 2)*D437</f>
        <v>0.40000000000000008</v>
      </c>
      <c r="E440" t="s">
        <v>19</v>
      </c>
    </row>
    <row r="441" spans="1:5" x14ac:dyDescent="0.25">
      <c r="A441" s="68"/>
      <c r="B441" t="s">
        <v>523</v>
      </c>
      <c r="C441" t="s">
        <v>526</v>
      </c>
      <c r="D441" s="18">
        <f>POWER(D433, 2)*D437</f>
        <v>0.13333333333333336</v>
      </c>
      <c r="E441" t="s">
        <v>19</v>
      </c>
    </row>
    <row r="442" spans="1:5" x14ac:dyDescent="0.25">
      <c r="A442" s="68"/>
      <c r="B442" t="s">
        <v>517</v>
      </c>
      <c r="C442" t="s">
        <v>516</v>
      </c>
      <c r="D442" s="18" t="e">
        <f>POWER(D430, 2)*D437</f>
        <v>#REF!</v>
      </c>
      <c r="E442" t="s">
        <v>19</v>
      </c>
    </row>
    <row r="443" spans="1:5" x14ac:dyDescent="0.25">
      <c r="A443" s="68"/>
      <c r="B443" t="s">
        <v>524</v>
      </c>
      <c r="C443" t="s">
        <v>525</v>
      </c>
      <c r="D443" s="18" t="e">
        <f>POWER(D432, 2)*D437</f>
        <v>#REF!</v>
      </c>
      <c r="E443" t="s">
        <v>19</v>
      </c>
    </row>
    <row r="444" spans="1:5" x14ac:dyDescent="0.25">
      <c r="A444" s="68"/>
      <c r="B444" t="s">
        <v>514</v>
      </c>
      <c r="C444" t="s">
        <v>511</v>
      </c>
      <c r="D444" s="18">
        <f>D435*D431</f>
        <v>0.21000000000000002</v>
      </c>
      <c r="E444" t="s">
        <v>19</v>
      </c>
    </row>
    <row r="445" spans="1:5" x14ac:dyDescent="0.25">
      <c r="A445" s="68"/>
      <c r="B445" t="s">
        <v>519</v>
      </c>
      <c r="C445" t="s">
        <v>520</v>
      </c>
      <c r="D445" s="18" t="e">
        <f>D435*D430</f>
        <v>#REF!</v>
      </c>
    </row>
    <row r="446" spans="1:5" x14ac:dyDescent="0.25">
      <c r="A446" s="68"/>
      <c r="D446" s="18"/>
    </row>
    <row r="447" spans="1:5" x14ac:dyDescent="0.25">
      <c r="A447" s="68"/>
      <c r="B447" t="s">
        <v>530</v>
      </c>
      <c r="C447" t="s">
        <v>531</v>
      </c>
      <c r="D447" s="18">
        <f>D437+(2*(D435/D431))</f>
        <v>20.5</v>
      </c>
      <c r="E447" s="7" t="s">
        <v>21</v>
      </c>
    </row>
    <row r="448" spans="1:5" x14ac:dyDescent="0.25">
      <c r="A448" s="68"/>
      <c r="B448" t="s">
        <v>521</v>
      </c>
      <c r="C448" t="s">
        <v>522</v>
      </c>
      <c r="D448" s="18" t="e">
        <f>D430*D437</f>
        <v>#REF!</v>
      </c>
      <c r="E448" t="s">
        <v>18</v>
      </c>
    </row>
    <row r="449" spans="1:105" x14ac:dyDescent="0.25">
      <c r="A449" s="68"/>
      <c r="B449" t="s">
        <v>532</v>
      </c>
      <c r="C449" t="s">
        <v>533</v>
      </c>
      <c r="D449" s="18">
        <f>D431</f>
        <v>0.2</v>
      </c>
    </row>
    <row r="450" spans="1:105" x14ac:dyDescent="0.25">
      <c r="A450" s="68"/>
      <c r="B450" t="s">
        <v>534</v>
      </c>
      <c r="C450" t="s">
        <v>535</v>
      </c>
      <c r="D450" t="s">
        <v>303</v>
      </c>
    </row>
    <row r="451" spans="1:105" x14ac:dyDescent="0.25">
      <c r="A451" s="68"/>
      <c r="B451" t="s">
        <v>536</v>
      </c>
      <c r="C451" t="s">
        <v>537</v>
      </c>
    </row>
    <row r="452" spans="1:105" x14ac:dyDescent="0.25">
      <c r="A452" s="68"/>
      <c r="B452" t="s">
        <v>538</v>
      </c>
      <c r="C452" t="s">
        <v>539</v>
      </c>
      <c r="D452" s="34">
        <v>100</v>
      </c>
      <c r="E452" s="7" t="s">
        <v>21</v>
      </c>
    </row>
    <row r="453" spans="1:105" x14ac:dyDescent="0.25">
      <c r="A453" s="68"/>
      <c r="B453" t="s">
        <v>540</v>
      </c>
      <c r="D453">
        <f xml:space="preserve"> (1/D428)/2</f>
        <v>3.1250000000000001E-5</v>
      </c>
      <c r="E453" s="7"/>
    </row>
    <row r="454" spans="1:105" x14ac:dyDescent="0.25">
      <c r="A454" s="68"/>
      <c r="B454" t="s">
        <v>541</v>
      </c>
      <c r="C454" t="s">
        <v>542</v>
      </c>
      <c r="D454">
        <v>100</v>
      </c>
      <c r="E454" s="7"/>
    </row>
    <row r="455" spans="1:105" x14ac:dyDescent="0.25">
      <c r="A455" s="68"/>
      <c r="B455" t="s">
        <v>409</v>
      </c>
      <c r="C455" t="s">
        <v>543</v>
      </c>
      <c r="D455">
        <f>D453/D454</f>
        <v>3.1250000000000003E-7</v>
      </c>
      <c r="E455" s="7"/>
    </row>
    <row r="456" spans="1:105" x14ac:dyDescent="0.25">
      <c r="A456" s="68"/>
      <c r="B456" t="s">
        <v>546</v>
      </c>
      <c r="C456">
        <f>D426</f>
        <v>40</v>
      </c>
      <c r="D456">
        <f>D426</f>
        <v>40</v>
      </c>
      <c r="H456" s="7">
        <f>D456</f>
        <v>40</v>
      </c>
      <c r="I456">
        <f t="shared" ref="I456:T456" si="65">H456</f>
        <v>40</v>
      </c>
      <c r="J456">
        <f t="shared" si="65"/>
        <v>40</v>
      </c>
      <c r="K456">
        <f t="shared" si="65"/>
        <v>40</v>
      </c>
      <c r="L456">
        <f t="shared" si="65"/>
        <v>40</v>
      </c>
      <c r="M456">
        <f t="shared" si="65"/>
        <v>40</v>
      </c>
      <c r="N456">
        <f t="shared" si="65"/>
        <v>40</v>
      </c>
      <c r="O456">
        <f t="shared" si="65"/>
        <v>40</v>
      </c>
      <c r="P456">
        <f t="shared" si="65"/>
        <v>40</v>
      </c>
      <c r="Q456">
        <f t="shared" si="65"/>
        <v>40</v>
      </c>
      <c r="R456">
        <f t="shared" si="65"/>
        <v>40</v>
      </c>
      <c r="S456">
        <f t="shared" si="65"/>
        <v>40</v>
      </c>
      <c r="T456">
        <f t="shared" si="65"/>
        <v>40</v>
      </c>
      <c r="U456">
        <f t="shared" ref="U456:BU456" si="66">T456</f>
        <v>40</v>
      </c>
      <c r="V456">
        <f t="shared" si="66"/>
        <v>40</v>
      </c>
      <c r="W456">
        <f>V456</f>
        <v>40</v>
      </c>
      <c r="X456">
        <f t="shared" si="66"/>
        <v>40</v>
      </c>
      <c r="Y456">
        <f t="shared" si="66"/>
        <v>40</v>
      </c>
      <c r="Z456">
        <f t="shared" si="66"/>
        <v>40</v>
      </c>
      <c r="AA456">
        <f t="shared" si="66"/>
        <v>40</v>
      </c>
      <c r="AB456">
        <f t="shared" si="66"/>
        <v>40</v>
      </c>
      <c r="AC456">
        <f t="shared" si="66"/>
        <v>40</v>
      </c>
      <c r="AD456">
        <f t="shared" si="66"/>
        <v>40</v>
      </c>
      <c r="AE456">
        <f t="shared" si="66"/>
        <v>40</v>
      </c>
      <c r="AF456">
        <f t="shared" si="66"/>
        <v>40</v>
      </c>
      <c r="AG456">
        <f t="shared" si="66"/>
        <v>40</v>
      </c>
      <c r="AH456">
        <f t="shared" si="66"/>
        <v>40</v>
      </c>
      <c r="AI456">
        <f t="shared" si="66"/>
        <v>40</v>
      </c>
      <c r="AJ456">
        <f t="shared" si="66"/>
        <v>40</v>
      </c>
      <c r="AK456">
        <f t="shared" si="66"/>
        <v>40</v>
      </c>
      <c r="AL456">
        <f t="shared" si="66"/>
        <v>40</v>
      </c>
      <c r="AM456">
        <f t="shared" si="66"/>
        <v>40</v>
      </c>
      <c r="AN456">
        <f t="shared" si="66"/>
        <v>40</v>
      </c>
      <c r="AO456">
        <f t="shared" si="66"/>
        <v>40</v>
      </c>
      <c r="AP456">
        <f t="shared" si="66"/>
        <v>40</v>
      </c>
      <c r="AQ456">
        <f t="shared" si="66"/>
        <v>40</v>
      </c>
      <c r="AR456">
        <f t="shared" si="66"/>
        <v>40</v>
      </c>
      <c r="AS456">
        <f t="shared" si="66"/>
        <v>40</v>
      </c>
      <c r="AT456">
        <f t="shared" si="66"/>
        <v>40</v>
      </c>
      <c r="AU456">
        <f t="shared" si="66"/>
        <v>40</v>
      </c>
      <c r="AV456">
        <f t="shared" si="66"/>
        <v>40</v>
      </c>
      <c r="AW456">
        <f t="shared" si="66"/>
        <v>40</v>
      </c>
      <c r="AX456">
        <f t="shared" si="66"/>
        <v>40</v>
      </c>
      <c r="AY456">
        <f t="shared" si="66"/>
        <v>40</v>
      </c>
      <c r="AZ456">
        <f t="shared" si="66"/>
        <v>40</v>
      </c>
      <c r="BA456">
        <f t="shared" si="66"/>
        <v>40</v>
      </c>
      <c r="BB456">
        <f t="shared" si="66"/>
        <v>40</v>
      </c>
      <c r="BC456">
        <f t="shared" si="66"/>
        <v>40</v>
      </c>
      <c r="BD456">
        <f t="shared" si="66"/>
        <v>40</v>
      </c>
      <c r="BE456">
        <f t="shared" si="66"/>
        <v>40</v>
      </c>
      <c r="BF456">
        <f t="shared" si="66"/>
        <v>40</v>
      </c>
      <c r="BG456">
        <f t="shared" si="66"/>
        <v>40</v>
      </c>
      <c r="BH456">
        <f t="shared" si="66"/>
        <v>40</v>
      </c>
      <c r="BI456">
        <f t="shared" si="66"/>
        <v>40</v>
      </c>
      <c r="BJ456">
        <f t="shared" si="66"/>
        <v>40</v>
      </c>
      <c r="BK456">
        <f t="shared" si="66"/>
        <v>40</v>
      </c>
      <c r="BL456">
        <f t="shared" si="66"/>
        <v>40</v>
      </c>
      <c r="BM456">
        <f t="shared" si="66"/>
        <v>40</v>
      </c>
      <c r="BN456">
        <f t="shared" si="66"/>
        <v>40</v>
      </c>
      <c r="BO456">
        <f t="shared" si="66"/>
        <v>40</v>
      </c>
      <c r="BP456">
        <f t="shared" si="66"/>
        <v>40</v>
      </c>
      <c r="BQ456">
        <f t="shared" si="66"/>
        <v>40</v>
      </c>
      <c r="BR456">
        <f t="shared" si="66"/>
        <v>40</v>
      </c>
      <c r="BS456">
        <f t="shared" si="66"/>
        <v>40</v>
      </c>
      <c r="BT456">
        <f t="shared" si="66"/>
        <v>40</v>
      </c>
      <c r="BU456">
        <f t="shared" si="66"/>
        <v>40</v>
      </c>
      <c r="BV456">
        <f t="shared" ref="BV456:DA456" si="67">BU456</f>
        <v>40</v>
      </c>
      <c r="BW456">
        <f t="shared" si="67"/>
        <v>40</v>
      </c>
      <c r="BX456">
        <f t="shared" si="67"/>
        <v>40</v>
      </c>
      <c r="BY456">
        <f t="shared" si="67"/>
        <v>40</v>
      </c>
      <c r="BZ456">
        <f t="shared" si="67"/>
        <v>40</v>
      </c>
      <c r="CA456">
        <f t="shared" si="67"/>
        <v>40</v>
      </c>
      <c r="CB456">
        <f t="shared" si="67"/>
        <v>40</v>
      </c>
      <c r="CC456">
        <f t="shared" si="67"/>
        <v>40</v>
      </c>
      <c r="CD456">
        <f t="shared" si="67"/>
        <v>40</v>
      </c>
      <c r="CE456">
        <f t="shared" si="67"/>
        <v>40</v>
      </c>
      <c r="CF456">
        <f t="shared" si="67"/>
        <v>40</v>
      </c>
      <c r="CG456">
        <f t="shared" si="67"/>
        <v>40</v>
      </c>
      <c r="CH456">
        <f t="shared" si="67"/>
        <v>40</v>
      </c>
      <c r="CI456">
        <f t="shared" si="67"/>
        <v>40</v>
      </c>
      <c r="CJ456">
        <f t="shared" si="67"/>
        <v>40</v>
      </c>
      <c r="CK456">
        <f t="shared" si="67"/>
        <v>40</v>
      </c>
      <c r="CL456">
        <f t="shared" si="67"/>
        <v>40</v>
      </c>
      <c r="CM456">
        <f t="shared" si="67"/>
        <v>40</v>
      </c>
      <c r="CN456">
        <f t="shared" si="67"/>
        <v>40</v>
      </c>
      <c r="CO456">
        <f t="shared" si="67"/>
        <v>40</v>
      </c>
      <c r="CP456">
        <f t="shared" si="67"/>
        <v>40</v>
      </c>
      <c r="CQ456">
        <f t="shared" si="67"/>
        <v>40</v>
      </c>
      <c r="CR456">
        <f t="shared" si="67"/>
        <v>40</v>
      </c>
      <c r="CS456">
        <f t="shared" si="67"/>
        <v>40</v>
      </c>
      <c r="CT456">
        <f t="shared" si="67"/>
        <v>40</v>
      </c>
      <c r="CU456">
        <f t="shared" si="67"/>
        <v>40</v>
      </c>
      <c r="CV456">
        <f t="shared" si="67"/>
        <v>40</v>
      </c>
      <c r="CW456">
        <f t="shared" si="67"/>
        <v>40</v>
      </c>
      <c r="CX456">
        <f t="shared" si="67"/>
        <v>40</v>
      </c>
      <c r="CY456">
        <f t="shared" si="67"/>
        <v>40</v>
      </c>
      <c r="CZ456">
        <f t="shared" si="67"/>
        <v>40</v>
      </c>
      <c r="DA456">
        <f t="shared" si="67"/>
        <v>40</v>
      </c>
    </row>
    <row r="457" spans="1:105" x14ac:dyDescent="0.25">
      <c r="A457" s="68"/>
      <c r="B457" t="s">
        <v>544</v>
      </c>
      <c r="C457">
        <v>1</v>
      </c>
      <c r="D457">
        <v>2</v>
      </c>
      <c r="H457" s="7">
        <v>3</v>
      </c>
      <c r="I457">
        <v>4</v>
      </c>
      <c r="J457" s="7">
        <v>5</v>
      </c>
      <c r="K457">
        <v>6</v>
      </c>
      <c r="L457" s="7">
        <v>7</v>
      </c>
      <c r="M457">
        <v>8</v>
      </c>
      <c r="N457" s="7">
        <v>9</v>
      </c>
      <c r="O457">
        <v>10</v>
      </c>
      <c r="P457" s="7">
        <v>11</v>
      </c>
      <c r="Q457">
        <v>12</v>
      </c>
      <c r="R457" s="7">
        <v>13</v>
      </c>
      <c r="S457">
        <v>14</v>
      </c>
      <c r="T457" s="7">
        <v>15</v>
      </c>
      <c r="U457">
        <v>16</v>
      </c>
      <c r="V457" s="7">
        <v>17</v>
      </c>
      <c r="W457">
        <v>18</v>
      </c>
      <c r="X457" s="7">
        <v>19</v>
      </c>
      <c r="Y457">
        <v>20</v>
      </c>
      <c r="Z457" s="7">
        <v>21</v>
      </c>
      <c r="AA457">
        <v>22</v>
      </c>
      <c r="AB457" s="7">
        <v>23</v>
      </c>
      <c r="AC457">
        <v>24</v>
      </c>
      <c r="AD457" s="7">
        <v>25</v>
      </c>
      <c r="AE457">
        <v>26</v>
      </c>
      <c r="AF457" s="7">
        <v>27</v>
      </c>
      <c r="AG457">
        <v>28</v>
      </c>
      <c r="AH457" s="7">
        <v>29</v>
      </c>
      <c r="AI457">
        <v>30</v>
      </c>
      <c r="AJ457" s="7">
        <v>31</v>
      </c>
      <c r="AK457">
        <v>32</v>
      </c>
      <c r="AL457" s="7">
        <v>33</v>
      </c>
      <c r="AM457">
        <v>34</v>
      </c>
      <c r="AN457" s="7">
        <v>35</v>
      </c>
      <c r="AO457">
        <v>36</v>
      </c>
      <c r="AP457" s="7">
        <v>37</v>
      </c>
      <c r="AQ457">
        <v>38</v>
      </c>
      <c r="AR457" s="7">
        <v>39</v>
      </c>
      <c r="AS457">
        <v>40</v>
      </c>
      <c r="AT457" s="7">
        <v>41</v>
      </c>
      <c r="AU457">
        <v>42</v>
      </c>
      <c r="AV457" s="7">
        <v>43</v>
      </c>
      <c r="AW457">
        <v>44</v>
      </c>
      <c r="AX457" s="7">
        <v>45</v>
      </c>
      <c r="AY457">
        <v>46</v>
      </c>
      <c r="AZ457" s="7">
        <v>47</v>
      </c>
      <c r="BA457">
        <v>48</v>
      </c>
      <c r="BB457" s="7">
        <v>49</v>
      </c>
      <c r="BC457">
        <v>50</v>
      </c>
      <c r="BD457" s="7">
        <v>51</v>
      </c>
      <c r="BE457">
        <v>52</v>
      </c>
      <c r="BF457" s="7">
        <v>53</v>
      </c>
      <c r="BG457">
        <v>54</v>
      </c>
      <c r="BH457" s="7">
        <v>55</v>
      </c>
      <c r="BI457">
        <v>56</v>
      </c>
      <c r="BJ457" s="7">
        <v>57</v>
      </c>
      <c r="BK457">
        <v>58</v>
      </c>
      <c r="BL457" s="7">
        <v>59</v>
      </c>
      <c r="BM457">
        <v>60</v>
      </c>
      <c r="BN457" s="7">
        <v>61</v>
      </c>
      <c r="BO457">
        <v>62</v>
      </c>
      <c r="BP457" s="7">
        <v>63</v>
      </c>
      <c r="BQ457">
        <v>64</v>
      </c>
      <c r="BR457" s="7">
        <v>65</v>
      </c>
      <c r="BS457">
        <v>66</v>
      </c>
      <c r="BT457" s="7">
        <v>67</v>
      </c>
      <c r="BU457">
        <v>68</v>
      </c>
      <c r="BV457" s="7">
        <v>69</v>
      </c>
      <c r="BW457">
        <v>70</v>
      </c>
      <c r="BX457" s="7">
        <v>71</v>
      </c>
      <c r="BY457">
        <v>72</v>
      </c>
      <c r="BZ457" s="7">
        <v>73</v>
      </c>
      <c r="CA457">
        <v>74</v>
      </c>
      <c r="CB457" s="7">
        <v>75</v>
      </c>
      <c r="CC457">
        <v>76</v>
      </c>
      <c r="CD457" s="7">
        <v>77</v>
      </c>
      <c r="CE457">
        <v>78</v>
      </c>
      <c r="CF457" s="7">
        <v>79</v>
      </c>
      <c r="CG457">
        <v>80</v>
      </c>
      <c r="CH457" s="7">
        <v>81</v>
      </c>
      <c r="CI457">
        <v>82</v>
      </c>
      <c r="CJ457" s="7">
        <v>83</v>
      </c>
      <c r="CK457">
        <v>84</v>
      </c>
      <c r="CL457" s="7">
        <v>85</v>
      </c>
      <c r="CM457">
        <v>86</v>
      </c>
      <c r="CN457" s="7">
        <v>87</v>
      </c>
      <c r="CO457">
        <v>88</v>
      </c>
      <c r="CP457" s="7">
        <v>89</v>
      </c>
      <c r="CQ457">
        <v>90</v>
      </c>
      <c r="CR457" s="7">
        <v>91</v>
      </c>
      <c r="CS457">
        <v>92</v>
      </c>
      <c r="CT457" s="7">
        <v>93</v>
      </c>
      <c r="CU457">
        <v>94</v>
      </c>
      <c r="CV457" s="7">
        <v>95</v>
      </c>
      <c r="CW457">
        <v>96</v>
      </c>
      <c r="CX457" s="7">
        <v>97</v>
      </c>
      <c r="CY457">
        <v>98</v>
      </c>
      <c r="CZ457" s="7">
        <v>99</v>
      </c>
      <c r="DA457">
        <v>100</v>
      </c>
    </row>
    <row r="458" spans="1:105" x14ac:dyDescent="0.25">
      <c r="A458" s="68"/>
      <c r="B458" t="s">
        <v>545</v>
      </c>
      <c r="C458">
        <f>(C457/50)*C456</f>
        <v>0.8</v>
      </c>
      <c r="D458">
        <f>(D457/50)*D456</f>
        <v>1.6</v>
      </c>
      <c r="H458">
        <f t="shared" ref="H458:T458" si="68">(H457/50)*H456</f>
        <v>2.4</v>
      </c>
      <c r="I458">
        <f t="shared" si="68"/>
        <v>3.2</v>
      </c>
      <c r="J458">
        <f t="shared" si="68"/>
        <v>4</v>
      </c>
      <c r="K458">
        <f t="shared" si="68"/>
        <v>4.8</v>
      </c>
      <c r="L458">
        <f t="shared" si="68"/>
        <v>5.6000000000000005</v>
      </c>
      <c r="M458">
        <f t="shared" si="68"/>
        <v>6.4</v>
      </c>
      <c r="N458">
        <f t="shared" si="68"/>
        <v>7.1999999999999993</v>
      </c>
      <c r="O458">
        <f t="shared" si="68"/>
        <v>8</v>
      </c>
      <c r="P458">
        <f t="shared" si="68"/>
        <v>8.8000000000000007</v>
      </c>
      <c r="Q458">
        <f t="shared" si="68"/>
        <v>9.6</v>
      </c>
      <c r="R458">
        <f t="shared" si="68"/>
        <v>10.4</v>
      </c>
      <c r="S458">
        <f t="shared" si="68"/>
        <v>11.200000000000001</v>
      </c>
      <c r="T458">
        <f t="shared" si="68"/>
        <v>12</v>
      </c>
      <c r="U458">
        <f t="shared" ref="U458:BC458" si="69">(U457/50)*U456</f>
        <v>12.8</v>
      </c>
      <c r="V458">
        <f t="shared" si="69"/>
        <v>13.600000000000001</v>
      </c>
      <c r="W458">
        <f t="shared" si="69"/>
        <v>14.399999999999999</v>
      </c>
      <c r="X458">
        <f t="shared" si="69"/>
        <v>15.2</v>
      </c>
      <c r="Y458">
        <f t="shared" si="69"/>
        <v>16</v>
      </c>
      <c r="Z458">
        <f t="shared" si="69"/>
        <v>16.8</v>
      </c>
      <c r="AA458">
        <f t="shared" si="69"/>
        <v>17.600000000000001</v>
      </c>
      <c r="AB458">
        <f t="shared" si="69"/>
        <v>18.400000000000002</v>
      </c>
      <c r="AC458">
        <f t="shared" si="69"/>
        <v>19.2</v>
      </c>
      <c r="AD458">
        <f t="shared" si="69"/>
        <v>20</v>
      </c>
      <c r="AE458">
        <f t="shared" si="69"/>
        <v>20.8</v>
      </c>
      <c r="AF458">
        <f t="shared" si="69"/>
        <v>21.6</v>
      </c>
      <c r="AG458">
        <f t="shared" si="69"/>
        <v>22.400000000000002</v>
      </c>
      <c r="AH458">
        <f t="shared" si="69"/>
        <v>23.2</v>
      </c>
      <c r="AI458">
        <f t="shared" si="69"/>
        <v>24</v>
      </c>
      <c r="AJ458">
        <f t="shared" si="69"/>
        <v>24.8</v>
      </c>
      <c r="AK458">
        <f t="shared" si="69"/>
        <v>25.6</v>
      </c>
      <c r="AL458">
        <f t="shared" si="69"/>
        <v>26.400000000000002</v>
      </c>
      <c r="AM458">
        <f t="shared" si="69"/>
        <v>27.200000000000003</v>
      </c>
      <c r="AN458">
        <f t="shared" si="69"/>
        <v>28</v>
      </c>
      <c r="AO458">
        <f t="shared" si="69"/>
        <v>28.799999999999997</v>
      </c>
      <c r="AP458">
        <f t="shared" si="69"/>
        <v>29.6</v>
      </c>
      <c r="AQ458">
        <f t="shared" si="69"/>
        <v>30.4</v>
      </c>
      <c r="AR458">
        <f t="shared" si="69"/>
        <v>31.200000000000003</v>
      </c>
      <c r="AS458">
        <f t="shared" si="69"/>
        <v>32</v>
      </c>
      <c r="AT458">
        <f t="shared" si="69"/>
        <v>32.799999999999997</v>
      </c>
      <c r="AU458">
        <f t="shared" si="69"/>
        <v>33.6</v>
      </c>
      <c r="AV458">
        <f t="shared" si="69"/>
        <v>34.4</v>
      </c>
      <c r="AW458">
        <f t="shared" si="69"/>
        <v>35.200000000000003</v>
      </c>
      <c r="AX458">
        <f t="shared" si="69"/>
        <v>36</v>
      </c>
      <c r="AY458">
        <f t="shared" si="69"/>
        <v>36.800000000000004</v>
      </c>
      <c r="AZ458">
        <f t="shared" si="69"/>
        <v>37.599999999999994</v>
      </c>
      <c r="BA458">
        <f t="shared" si="69"/>
        <v>38.4</v>
      </c>
      <c r="BB458">
        <f t="shared" si="69"/>
        <v>39.200000000000003</v>
      </c>
      <c r="BC458">
        <f t="shared" si="69"/>
        <v>40</v>
      </c>
      <c r="BD458">
        <f>(((100-BD457)/50)*BD456)</f>
        <v>39.200000000000003</v>
      </c>
      <c r="BE458">
        <f t="shared" ref="BE458:BG458" si="70">(((100-BE457)/50)*BE456)</f>
        <v>38.4</v>
      </c>
      <c r="BF458">
        <f t="shared" si="70"/>
        <v>37.599999999999994</v>
      </c>
      <c r="BG458">
        <f t="shared" si="70"/>
        <v>36.800000000000004</v>
      </c>
      <c r="BH458">
        <f t="shared" ref="BH458" si="71">(((100-BH457)/50)*BH456)</f>
        <v>36</v>
      </c>
      <c r="BI458">
        <f t="shared" ref="BI458:BJ458" si="72">(((100-BI457)/50)*BI456)</f>
        <v>35.200000000000003</v>
      </c>
      <c r="BJ458">
        <f t="shared" si="72"/>
        <v>34.4</v>
      </c>
      <c r="BK458">
        <f t="shared" ref="BK458" si="73">(((100-BK457)/50)*BK456)</f>
        <v>33.6</v>
      </c>
      <c r="BL458">
        <f t="shared" ref="BL458:BM458" si="74">(((100-BL457)/50)*BL456)</f>
        <v>32.799999999999997</v>
      </c>
      <c r="BM458">
        <f t="shared" si="74"/>
        <v>32</v>
      </c>
      <c r="BN458">
        <f t="shared" ref="BN458" si="75">(((100-BN457)/50)*BN456)</f>
        <v>31.200000000000003</v>
      </c>
      <c r="BO458">
        <f t="shared" ref="BO458:BP458" si="76">(((100-BO457)/50)*BO456)</f>
        <v>30.4</v>
      </c>
      <c r="BP458">
        <f t="shared" si="76"/>
        <v>29.6</v>
      </c>
      <c r="BQ458">
        <f t="shared" ref="BQ458" si="77">(((100-BQ457)/50)*BQ456)</f>
        <v>28.799999999999997</v>
      </c>
      <c r="BR458">
        <f t="shared" ref="BR458:BS458" si="78">(((100-BR457)/50)*BR456)</f>
        <v>28</v>
      </c>
      <c r="BS458">
        <f t="shared" si="78"/>
        <v>27.200000000000003</v>
      </c>
      <c r="BT458">
        <f t="shared" ref="BT458" si="79">(((100-BT457)/50)*BT456)</f>
        <v>26.400000000000002</v>
      </c>
      <c r="BU458">
        <f t="shared" ref="BU458:BV458" si="80">(((100-BU457)/50)*BU456)</f>
        <v>25.6</v>
      </c>
      <c r="BV458">
        <f t="shared" si="80"/>
        <v>24.8</v>
      </c>
      <c r="BW458">
        <f t="shared" ref="BW458" si="81">(((100-BW457)/50)*BW456)</f>
        <v>24</v>
      </c>
      <c r="BX458">
        <f t="shared" ref="BX458:BY458" si="82">(((100-BX457)/50)*BX456)</f>
        <v>23.2</v>
      </c>
      <c r="BY458">
        <f t="shared" si="82"/>
        <v>22.400000000000002</v>
      </c>
      <c r="BZ458">
        <f t="shared" ref="BZ458" si="83">(((100-BZ457)/50)*BZ456)</f>
        <v>21.6</v>
      </c>
      <c r="CA458">
        <f t="shared" ref="CA458:CB458" si="84">(((100-CA457)/50)*CA456)</f>
        <v>20.8</v>
      </c>
      <c r="CB458">
        <f t="shared" si="84"/>
        <v>20</v>
      </c>
      <c r="CC458">
        <f t="shared" ref="CC458" si="85">(((100-CC457)/50)*CC456)</f>
        <v>19.2</v>
      </c>
      <c r="CD458">
        <f t="shared" ref="CD458:CE458" si="86">(((100-CD457)/50)*CD456)</f>
        <v>18.400000000000002</v>
      </c>
      <c r="CE458">
        <f t="shared" si="86"/>
        <v>17.600000000000001</v>
      </c>
      <c r="CF458">
        <f t="shared" ref="CF458" si="87">(((100-CF457)/50)*CF456)</f>
        <v>16.8</v>
      </c>
      <c r="CG458">
        <f t="shared" ref="CG458:CH458" si="88">(((100-CG457)/50)*CG456)</f>
        <v>16</v>
      </c>
      <c r="CH458">
        <f t="shared" si="88"/>
        <v>15.2</v>
      </c>
      <c r="CI458">
        <f t="shared" ref="CI458" si="89">(((100-CI457)/50)*CI456)</f>
        <v>14.399999999999999</v>
      </c>
      <c r="CJ458">
        <f t="shared" ref="CJ458:CK458" si="90">(((100-CJ457)/50)*CJ456)</f>
        <v>13.600000000000001</v>
      </c>
      <c r="CK458">
        <f t="shared" si="90"/>
        <v>12.8</v>
      </c>
      <c r="CL458">
        <f t="shared" ref="CL458" si="91">(((100-CL457)/50)*CL456)</f>
        <v>12</v>
      </c>
      <c r="CM458">
        <f t="shared" ref="CM458:CN458" si="92">(((100-CM457)/50)*CM456)</f>
        <v>11.200000000000001</v>
      </c>
      <c r="CN458">
        <f t="shared" si="92"/>
        <v>10.4</v>
      </c>
      <c r="CO458">
        <f t="shared" ref="CO458" si="93">(((100-CO457)/50)*CO456)</f>
        <v>9.6</v>
      </c>
      <c r="CP458">
        <f t="shared" ref="CP458:CQ458" si="94">(((100-CP457)/50)*CP456)</f>
        <v>8.8000000000000007</v>
      </c>
      <c r="CQ458">
        <f t="shared" si="94"/>
        <v>8</v>
      </c>
      <c r="CR458">
        <f t="shared" ref="CR458" si="95">(((100-CR457)/50)*CR456)</f>
        <v>7.1999999999999993</v>
      </c>
      <c r="CS458">
        <f t="shared" ref="CS458:CT458" si="96">(((100-CS457)/50)*CS456)</f>
        <v>6.4</v>
      </c>
      <c r="CT458">
        <f t="shared" si="96"/>
        <v>5.6000000000000005</v>
      </c>
      <c r="CU458">
        <f t="shared" ref="CU458" si="97">(((100-CU457)/50)*CU456)</f>
        <v>4.8</v>
      </c>
      <c r="CV458">
        <f t="shared" ref="CV458:CW458" si="98">(((100-CV457)/50)*CV456)</f>
        <v>4</v>
      </c>
      <c r="CW458">
        <f t="shared" si="98"/>
        <v>3.2</v>
      </c>
      <c r="CX458">
        <f t="shared" ref="CX458" si="99">(((100-CX457)/50)*CX456)</f>
        <v>2.4</v>
      </c>
      <c r="CY458">
        <f t="shared" ref="CY458:CZ458" si="100">(((100-CY457)/50)*CY456)</f>
        <v>1.6</v>
      </c>
      <c r="CZ458">
        <f t="shared" si="100"/>
        <v>0.8</v>
      </c>
      <c r="DA458">
        <f t="shared" ref="DA458" si="101">(((100-DA457)/50)*DA456)</f>
        <v>0</v>
      </c>
    </row>
    <row r="459" spans="1:105" x14ac:dyDescent="0.25">
      <c r="A459" s="68"/>
      <c r="B459" t="s">
        <v>547</v>
      </c>
      <c r="C459">
        <f t="shared" ref="C459:D459" si="102">C458/$D$429</f>
        <v>4.0000000000000001E-3</v>
      </c>
      <c r="D459">
        <f t="shared" si="102"/>
        <v>8.0000000000000002E-3</v>
      </c>
      <c r="H459">
        <f t="shared" ref="H459:AK459" si="103">H458/$D$429</f>
        <v>1.2E-2</v>
      </c>
      <c r="I459">
        <f t="shared" si="103"/>
        <v>1.6E-2</v>
      </c>
      <c r="J459">
        <f t="shared" si="103"/>
        <v>0.02</v>
      </c>
      <c r="K459">
        <f t="shared" si="103"/>
        <v>2.4E-2</v>
      </c>
      <c r="L459">
        <f t="shared" si="103"/>
        <v>2.8000000000000004E-2</v>
      </c>
      <c r="M459">
        <f t="shared" si="103"/>
        <v>3.2000000000000001E-2</v>
      </c>
      <c r="N459">
        <f t="shared" si="103"/>
        <v>3.5999999999999997E-2</v>
      </c>
      <c r="O459">
        <f t="shared" si="103"/>
        <v>0.04</v>
      </c>
      <c r="P459">
        <f t="shared" si="103"/>
        <v>4.4000000000000004E-2</v>
      </c>
      <c r="Q459">
        <f t="shared" si="103"/>
        <v>4.8000000000000001E-2</v>
      </c>
      <c r="R459">
        <f t="shared" si="103"/>
        <v>5.2000000000000005E-2</v>
      </c>
      <c r="S459">
        <f t="shared" si="103"/>
        <v>5.6000000000000008E-2</v>
      </c>
      <c r="T459">
        <f t="shared" si="103"/>
        <v>0.06</v>
      </c>
      <c r="U459">
        <f t="shared" si="103"/>
        <v>6.4000000000000001E-2</v>
      </c>
      <c r="V459">
        <f t="shared" si="103"/>
        <v>6.8000000000000005E-2</v>
      </c>
      <c r="W459">
        <f t="shared" si="103"/>
        <v>7.1999999999999995E-2</v>
      </c>
      <c r="X459">
        <f t="shared" si="103"/>
        <v>7.5999999999999998E-2</v>
      </c>
      <c r="Y459">
        <f t="shared" si="103"/>
        <v>0.08</v>
      </c>
      <c r="Z459">
        <f t="shared" si="103"/>
        <v>8.4000000000000005E-2</v>
      </c>
      <c r="AA459">
        <f t="shared" si="103"/>
        <v>8.8000000000000009E-2</v>
      </c>
      <c r="AB459">
        <f t="shared" si="103"/>
        <v>9.2000000000000012E-2</v>
      </c>
      <c r="AC459">
        <f t="shared" si="103"/>
        <v>9.6000000000000002E-2</v>
      </c>
      <c r="AD459">
        <f t="shared" si="103"/>
        <v>0.1</v>
      </c>
      <c r="AE459">
        <f t="shared" si="103"/>
        <v>0.10400000000000001</v>
      </c>
      <c r="AF459">
        <f t="shared" si="103"/>
        <v>0.10800000000000001</v>
      </c>
      <c r="AG459">
        <f t="shared" si="103"/>
        <v>0.11200000000000002</v>
      </c>
      <c r="AH459">
        <f t="shared" si="103"/>
        <v>0.11599999999999999</v>
      </c>
      <c r="AI459">
        <f t="shared" si="103"/>
        <v>0.12</v>
      </c>
      <c r="AJ459">
        <f t="shared" si="103"/>
        <v>0.124</v>
      </c>
      <c r="AK459">
        <f t="shared" si="103"/>
        <v>0.128</v>
      </c>
      <c r="AL459">
        <f t="shared" ref="AL459:BQ459" si="104">AL458/$D$429</f>
        <v>0.13200000000000001</v>
      </c>
      <c r="AM459">
        <f t="shared" si="104"/>
        <v>0.13600000000000001</v>
      </c>
      <c r="AN459">
        <f t="shared" si="104"/>
        <v>0.14000000000000001</v>
      </c>
      <c r="AO459">
        <f t="shared" si="104"/>
        <v>0.14399999999999999</v>
      </c>
      <c r="AP459">
        <f t="shared" si="104"/>
        <v>0.14800000000000002</v>
      </c>
      <c r="AQ459">
        <f t="shared" si="104"/>
        <v>0.152</v>
      </c>
      <c r="AR459">
        <f t="shared" si="104"/>
        <v>0.15600000000000003</v>
      </c>
      <c r="AS459">
        <f t="shared" si="104"/>
        <v>0.16</v>
      </c>
      <c r="AT459">
        <f t="shared" si="104"/>
        <v>0.16399999999999998</v>
      </c>
      <c r="AU459">
        <f t="shared" si="104"/>
        <v>0.16800000000000001</v>
      </c>
      <c r="AV459">
        <f t="shared" si="104"/>
        <v>0.17199999999999999</v>
      </c>
      <c r="AW459">
        <f t="shared" si="104"/>
        <v>0.17600000000000002</v>
      </c>
      <c r="AX459">
        <f t="shared" si="104"/>
        <v>0.18</v>
      </c>
      <c r="AY459">
        <f t="shared" si="104"/>
        <v>0.18400000000000002</v>
      </c>
      <c r="AZ459">
        <f t="shared" si="104"/>
        <v>0.18799999999999997</v>
      </c>
      <c r="BA459">
        <f t="shared" si="104"/>
        <v>0.192</v>
      </c>
      <c r="BB459">
        <f t="shared" si="104"/>
        <v>0.19600000000000001</v>
      </c>
      <c r="BC459">
        <f t="shared" si="104"/>
        <v>0.2</v>
      </c>
      <c r="BD459">
        <f t="shared" si="104"/>
        <v>0.19600000000000001</v>
      </c>
      <c r="BE459">
        <f t="shared" si="104"/>
        <v>0.192</v>
      </c>
      <c r="BF459">
        <f t="shared" si="104"/>
        <v>0.18799999999999997</v>
      </c>
      <c r="BG459">
        <f t="shared" si="104"/>
        <v>0.18400000000000002</v>
      </c>
      <c r="BH459">
        <f t="shared" si="104"/>
        <v>0.18</v>
      </c>
      <c r="BI459">
        <f t="shared" si="104"/>
        <v>0.17600000000000002</v>
      </c>
      <c r="BJ459">
        <f t="shared" si="104"/>
        <v>0.17199999999999999</v>
      </c>
      <c r="BK459">
        <f t="shared" si="104"/>
        <v>0.16800000000000001</v>
      </c>
      <c r="BL459">
        <f t="shared" si="104"/>
        <v>0.16399999999999998</v>
      </c>
      <c r="BM459">
        <f t="shared" si="104"/>
        <v>0.16</v>
      </c>
      <c r="BN459">
        <f t="shared" si="104"/>
        <v>0.15600000000000003</v>
      </c>
      <c r="BO459">
        <f t="shared" si="104"/>
        <v>0.152</v>
      </c>
      <c r="BP459">
        <f t="shared" si="104"/>
        <v>0.14800000000000002</v>
      </c>
      <c r="BQ459">
        <f t="shared" si="104"/>
        <v>0.14399999999999999</v>
      </c>
      <c r="BR459">
        <f t="shared" ref="BR459" si="105">BR458/$D$429</f>
        <v>0.14000000000000001</v>
      </c>
      <c r="BS459">
        <f t="shared" ref="BS459:DA459" si="106">BS458/$D$429</f>
        <v>0.13600000000000001</v>
      </c>
      <c r="BT459">
        <f t="shared" si="106"/>
        <v>0.13200000000000001</v>
      </c>
      <c r="BU459">
        <f t="shared" si="106"/>
        <v>0.128</v>
      </c>
      <c r="BV459">
        <f t="shared" si="106"/>
        <v>0.124</v>
      </c>
      <c r="BW459">
        <f t="shared" si="106"/>
        <v>0.12</v>
      </c>
      <c r="BX459">
        <f t="shared" si="106"/>
        <v>0.11599999999999999</v>
      </c>
      <c r="BY459">
        <f t="shared" si="106"/>
        <v>0.11200000000000002</v>
      </c>
      <c r="BZ459">
        <f t="shared" si="106"/>
        <v>0.10800000000000001</v>
      </c>
      <c r="CA459">
        <f t="shared" si="106"/>
        <v>0.10400000000000001</v>
      </c>
      <c r="CB459">
        <f t="shared" si="106"/>
        <v>0.1</v>
      </c>
      <c r="CC459">
        <f t="shared" si="106"/>
        <v>9.6000000000000002E-2</v>
      </c>
      <c r="CD459">
        <f t="shared" si="106"/>
        <v>9.2000000000000012E-2</v>
      </c>
      <c r="CE459">
        <f t="shared" si="106"/>
        <v>8.8000000000000009E-2</v>
      </c>
      <c r="CF459">
        <f t="shared" si="106"/>
        <v>8.4000000000000005E-2</v>
      </c>
      <c r="CG459">
        <f t="shared" si="106"/>
        <v>0.08</v>
      </c>
      <c r="CH459">
        <f t="shared" si="106"/>
        <v>7.5999999999999998E-2</v>
      </c>
      <c r="CI459">
        <f t="shared" si="106"/>
        <v>7.1999999999999995E-2</v>
      </c>
      <c r="CJ459">
        <f t="shared" si="106"/>
        <v>6.8000000000000005E-2</v>
      </c>
      <c r="CK459">
        <f t="shared" si="106"/>
        <v>6.4000000000000001E-2</v>
      </c>
      <c r="CL459">
        <f t="shared" si="106"/>
        <v>0.06</v>
      </c>
      <c r="CM459">
        <f t="shared" si="106"/>
        <v>5.6000000000000008E-2</v>
      </c>
      <c r="CN459">
        <f t="shared" si="106"/>
        <v>5.2000000000000005E-2</v>
      </c>
      <c r="CO459">
        <f t="shared" si="106"/>
        <v>4.8000000000000001E-2</v>
      </c>
      <c r="CP459">
        <f t="shared" si="106"/>
        <v>4.4000000000000004E-2</v>
      </c>
      <c r="CQ459">
        <f t="shared" si="106"/>
        <v>0.04</v>
      </c>
      <c r="CR459">
        <f t="shared" si="106"/>
        <v>3.5999999999999997E-2</v>
      </c>
      <c r="CS459">
        <f t="shared" si="106"/>
        <v>3.2000000000000001E-2</v>
      </c>
      <c r="CT459">
        <f t="shared" si="106"/>
        <v>2.8000000000000004E-2</v>
      </c>
      <c r="CU459">
        <f t="shared" si="106"/>
        <v>2.4E-2</v>
      </c>
      <c r="CV459">
        <f t="shared" si="106"/>
        <v>0.02</v>
      </c>
      <c r="CW459">
        <f t="shared" si="106"/>
        <v>1.6E-2</v>
      </c>
      <c r="CX459">
        <f t="shared" si="106"/>
        <v>1.2E-2</v>
      </c>
      <c r="CY459">
        <f t="shared" si="106"/>
        <v>8.0000000000000002E-3</v>
      </c>
      <c r="CZ459">
        <f t="shared" si="106"/>
        <v>4.0000000000000001E-3</v>
      </c>
      <c r="DA459">
        <f t="shared" si="106"/>
        <v>0</v>
      </c>
    </row>
    <row r="460" spans="1:105" x14ac:dyDescent="0.25">
      <c r="A460" s="68"/>
      <c r="B460" t="s">
        <v>548</v>
      </c>
      <c r="C460">
        <f>(($D$435*2)+(C459*($D$437+$D$439)))*$D$455</f>
        <v>6.6875000000000006E-7</v>
      </c>
      <c r="D460">
        <f>(($D$435*2)+(D459*($D$437+$D$439)))*$D$455</f>
        <v>6.8125000000000015E-7</v>
      </c>
      <c r="H460">
        <f t="shared" ref="H460:T460" si="107">(($D$435*2)+(H459*($D$437+$D$439)))*$D$455</f>
        <v>6.9375000000000013E-7</v>
      </c>
      <c r="I460">
        <f t="shared" si="107"/>
        <v>7.0625000000000012E-7</v>
      </c>
      <c r="J460">
        <f t="shared" si="107"/>
        <v>7.1875000000000011E-7</v>
      </c>
      <c r="K460">
        <f t="shared" si="107"/>
        <v>7.3124999999999999E-7</v>
      </c>
      <c r="L460">
        <f t="shared" si="107"/>
        <v>7.4375000000000008E-7</v>
      </c>
      <c r="M460">
        <f t="shared" si="107"/>
        <v>7.5625000000000007E-7</v>
      </c>
      <c r="N460">
        <f t="shared" si="107"/>
        <v>7.6875000000000005E-7</v>
      </c>
      <c r="O460">
        <f t="shared" si="107"/>
        <v>7.8125000000000004E-7</v>
      </c>
      <c r="P460">
        <f t="shared" si="107"/>
        <v>7.9375000000000002E-7</v>
      </c>
      <c r="Q460">
        <f t="shared" si="107"/>
        <v>8.0625000000000012E-7</v>
      </c>
      <c r="R460">
        <f t="shared" si="107"/>
        <v>8.187500000000001E-7</v>
      </c>
      <c r="S460">
        <f t="shared" si="107"/>
        <v>8.3125000000000009E-7</v>
      </c>
      <c r="T460">
        <f t="shared" si="107"/>
        <v>8.4375000000000007E-7</v>
      </c>
      <c r="U460">
        <f t="shared" ref="U460:BS460" si="108">(($D$435*2)+(U459*($D$437+$D$439)))*$D$455</f>
        <v>8.5625000000000017E-7</v>
      </c>
      <c r="V460">
        <f t="shared" si="108"/>
        <v>8.6875000000000015E-7</v>
      </c>
      <c r="W460">
        <f t="shared" si="108"/>
        <v>8.8125000000000014E-7</v>
      </c>
      <c r="X460">
        <f t="shared" si="108"/>
        <v>8.9375000000000012E-7</v>
      </c>
      <c r="Y460">
        <f t="shared" si="108"/>
        <v>9.0625000000000022E-7</v>
      </c>
      <c r="Z460">
        <f t="shared" si="108"/>
        <v>9.187500000000002E-7</v>
      </c>
      <c r="AA460">
        <f t="shared" si="108"/>
        <v>9.3125000000000019E-7</v>
      </c>
      <c r="AB460">
        <f t="shared" si="108"/>
        <v>9.4375000000000018E-7</v>
      </c>
      <c r="AC460">
        <f t="shared" si="108"/>
        <v>9.5625000000000016E-7</v>
      </c>
      <c r="AD460">
        <f t="shared" si="108"/>
        <v>9.6875000000000004E-7</v>
      </c>
      <c r="AE460">
        <f t="shared" si="108"/>
        <v>9.8125000000000013E-7</v>
      </c>
      <c r="AF460">
        <f t="shared" si="108"/>
        <v>9.9375000000000023E-7</v>
      </c>
      <c r="AG460">
        <f t="shared" si="108"/>
        <v>1.0062500000000001E-6</v>
      </c>
      <c r="AH460">
        <f t="shared" si="108"/>
        <v>1.01875E-6</v>
      </c>
      <c r="AI460">
        <f t="shared" si="108"/>
        <v>1.0312500000000001E-6</v>
      </c>
      <c r="AJ460">
        <f t="shared" si="108"/>
        <v>1.04375E-6</v>
      </c>
      <c r="AK460">
        <f t="shared" si="108"/>
        <v>1.0562500000000001E-6</v>
      </c>
      <c r="AL460">
        <f t="shared" si="108"/>
        <v>1.0687500000000001E-6</v>
      </c>
      <c r="AM460">
        <f t="shared" si="108"/>
        <v>1.08125E-6</v>
      </c>
      <c r="AN460">
        <f t="shared" si="108"/>
        <v>1.0937500000000001E-6</v>
      </c>
      <c r="AO460">
        <f t="shared" si="108"/>
        <v>1.10625E-6</v>
      </c>
      <c r="AP460">
        <f t="shared" si="108"/>
        <v>1.1187500000000001E-6</v>
      </c>
      <c r="AQ460">
        <f t="shared" si="108"/>
        <v>1.1312500000000002E-6</v>
      </c>
      <c r="AR460">
        <f t="shared" si="108"/>
        <v>1.1437500000000001E-6</v>
      </c>
      <c r="AS460">
        <f t="shared" si="108"/>
        <v>1.1562500000000002E-6</v>
      </c>
      <c r="AT460">
        <f t="shared" si="108"/>
        <v>1.16875E-6</v>
      </c>
      <c r="AU460">
        <f t="shared" si="108"/>
        <v>1.1812500000000001E-6</v>
      </c>
      <c r="AV460">
        <f t="shared" si="108"/>
        <v>1.19375E-6</v>
      </c>
      <c r="AW460">
        <f t="shared" si="108"/>
        <v>1.2062500000000001E-6</v>
      </c>
      <c r="AX460">
        <f t="shared" si="108"/>
        <v>1.21875E-6</v>
      </c>
      <c r="AY460">
        <f t="shared" si="108"/>
        <v>1.2312500000000003E-6</v>
      </c>
      <c r="AZ460">
        <f t="shared" si="108"/>
        <v>1.24375E-6</v>
      </c>
      <c r="BA460">
        <f t="shared" si="108"/>
        <v>1.25625E-6</v>
      </c>
      <c r="BB460">
        <f t="shared" si="108"/>
        <v>1.2687500000000003E-6</v>
      </c>
      <c r="BC460">
        <f t="shared" si="108"/>
        <v>1.28125E-6</v>
      </c>
      <c r="BD460">
        <f t="shared" si="108"/>
        <v>1.2687500000000003E-6</v>
      </c>
      <c r="BE460">
        <f t="shared" si="108"/>
        <v>1.25625E-6</v>
      </c>
      <c r="BF460">
        <f t="shared" si="108"/>
        <v>1.24375E-6</v>
      </c>
      <c r="BG460">
        <f t="shared" si="108"/>
        <v>1.2312500000000003E-6</v>
      </c>
      <c r="BH460">
        <f t="shared" si="108"/>
        <v>1.21875E-6</v>
      </c>
      <c r="BI460">
        <f t="shared" si="108"/>
        <v>1.2062500000000001E-6</v>
      </c>
      <c r="BJ460">
        <f t="shared" si="108"/>
        <v>1.19375E-6</v>
      </c>
      <c r="BK460">
        <f t="shared" si="108"/>
        <v>1.1812500000000001E-6</v>
      </c>
      <c r="BL460">
        <f t="shared" si="108"/>
        <v>1.16875E-6</v>
      </c>
      <c r="BM460">
        <f t="shared" si="108"/>
        <v>1.1562500000000002E-6</v>
      </c>
      <c r="BN460">
        <f t="shared" si="108"/>
        <v>1.1437500000000001E-6</v>
      </c>
      <c r="BO460">
        <f t="shared" si="108"/>
        <v>1.1312500000000002E-6</v>
      </c>
      <c r="BP460">
        <f t="shared" si="108"/>
        <v>1.1187500000000001E-6</v>
      </c>
      <c r="BQ460">
        <f t="shared" si="108"/>
        <v>1.10625E-6</v>
      </c>
      <c r="BR460">
        <f t="shared" si="108"/>
        <v>1.0937500000000001E-6</v>
      </c>
      <c r="BS460">
        <f t="shared" si="108"/>
        <v>1.08125E-6</v>
      </c>
      <c r="BT460">
        <f t="shared" ref="BT460:DA460" si="109">(($D$435*2)+(BT459*($D$437+$D$439)))*$D$455</f>
        <v>1.0687500000000001E-6</v>
      </c>
      <c r="BU460">
        <f t="shared" si="109"/>
        <v>1.0562500000000001E-6</v>
      </c>
      <c r="BV460">
        <f t="shared" si="109"/>
        <v>1.04375E-6</v>
      </c>
      <c r="BW460">
        <f t="shared" si="109"/>
        <v>1.0312500000000001E-6</v>
      </c>
      <c r="BX460">
        <f t="shared" si="109"/>
        <v>1.01875E-6</v>
      </c>
      <c r="BY460">
        <f t="shared" si="109"/>
        <v>1.0062500000000001E-6</v>
      </c>
      <c r="BZ460">
        <f t="shared" si="109"/>
        <v>9.9375000000000023E-7</v>
      </c>
      <c r="CA460">
        <f t="shared" si="109"/>
        <v>9.8125000000000013E-7</v>
      </c>
      <c r="CB460">
        <f t="shared" si="109"/>
        <v>9.6875000000000004E-7</v>
      </c>
      <c r="CC460">
        <f t="shared" si="109"/>
        <v>9.5625000000000016E-7</v>
      </c>
      <c r="CD460">
        <f t="shared" si="109"/>
        <v>9.4375000000000018E-7</v>
      </c>
      <c r="CE460">
        <f t="shared" si="109"/>
        <v>9.3125000000000019E-7</v>
      </c>
      <c r="CF460">
        <f t="shared" si="109"/>
        <v>9.187500000000002E-7</v>
      </c>
      <c r="CG460">
        <f t="shared" si="109"/>
        <v>9.0625000000000022E-7</v>
      </c>
      <c r="CH460">
        <f t="shared" si="109"/>
        <v>8.9375000000000012E-7</v>
      </c>
      <c r="CI460">
        <f t="shared" si="109"/>
        <v>8.8125000000000014E-7</v>
      </c>
      <c r="CJ460">
        <f t="shared" si="109"/>
        <v>8.6875000000000015E-7</v>
      </c>
      <c r="CK460">
        <f t="shared" si="109"/>
        <v>8.5625000000000017E-7</v>
      </c>
      <c r="CL460">
        <f t="shared" si="109"/>
        <v>8.4375000000000007E-7</v>
      </c>
      <c r="CM460">
        <f t="shared" si="109"/>
        <v>8.3125000000000009E-7</v>
      </c>
      <c r="CN460">
        <f t="shared" si="109"/>
        <v>8.187500000000001E-7</v>
      </c>
      <c r="CO460">
        <f t="shared" si="109"/>
        <v>8.0625000000000012E-7</v>
      </c>
      <c r="CP460">
        <f t="shared" si="109"/>
        <v>7.9375000000000002E-7</v>
      </c>
      <c r="CQ460">
        <f t="shared" si="109"/>
        <v>7.8125000000000004E-7</v>
      </c>
      <c r="CR460">
        <f t="shared" si="109"/>
        <v>7.6875000000000005E-7</v>
      </c>
      <c r="CS460">
        <f t="shared" si="109"/>
        <v>7.5625000000000007E-7</v>
      </c>
      <c r="CT460">
        <f t="shared" si="109"/>
        <v>7.4375000000000008E-7</v>
      </c>
      <c r="CU460">
        <f t="shared" si="109"/>
        <v>7.3124999999999999E-7</v>
      </c>
      <c r="CV460">
        <f t="shared" si="109"/>
        <v>7.1875000000000011E-7</v>
      </c>
      <c r="CW460">
        <f t="shared" si="109"/>
        <v>7.0625000000000012E-7</v>
      </c>
      <c r="CX460">
        <f t="shared" si="109"/>
        <v>6.9375000000000013E-7</v>
      </c>
      <c r="CY460">
        <f t="shared" si="109"/>
        <v>6.8125000000000015E-7</v>
      </c>
      <c r="CZ460">
        <f t="shared" si="109"/>
        <v>6.6875000000000006E-7</v>
      </c>
      <c r="DA460">
        <f t="shared" si="109"/>
        <v>6.5625000000000007E-7</v>
      </c>
    </row>
    <row r="461" spans="1:105" x14ac:dyDescent="0.25">
      <c r="A461" s="68"/>
      <c r="B461" t="s">
        <v>549</v>
      </c>
      <c r="C461" s="18">
        <f>SUM(C460:DA460)</f>
        <v>9.6874999999999969E-5</v>
      </c>
    </row>
    <row r="462" spans="1:105" x14ac:dyDescent="0.25">
      <c r="A462" s="68"/>
      <c r="B462" t="s">
        <v>550</v>
      </c>
      <c r="C462" s="18">
        <f>791/1000000</f>
        <v>7.9100000000000004E-4</v>
      </c>
    </row>
    <row r="463" spans="1:105" x14ac:dyDescent="0.25">
      <c r="A463" s="68"/>
      <c r="B463" t="s">
        <v>551</v>
      </c>
      <c r="D463" s="18" t="b">
        <f>C461&lt;=C462</f>
        <v>1</v>
      </c>
    </row>
    <row r="464" spans="1:105" x14ac:dyDescent="0.25">
      <c r="A464" s="68"/>
      <c r="B464" s="63"/>
      <c r="C464" t="s">
        <v>868</v>
      </c>
      <c r="D464">
        <f>((2/255)/D437)*D429</f>
        <v>0.15686274509803921</v>
      </c>
      <c r="F464" t="s">
        <v>885</v>
      </c>
    </row>
    <row r="465" spans="1:5" x14ac:dyDescent="0.25">
      <c r="A465" s="28"/>
      <c r="E465" s="7"/>
    </row>
    <row r="466" spans="1:5" x14ac:dyDescent="0.25">
      <c r="A466" s="69" t="s">
        <v>244</v>
      </c>
      <c r="B466" t="s">
        <v>36</v>
      </c>
      <c r="C466" t="s">
        <v>35</v>
      </c>
      <c r="D466">
        <f>D3</f>
        <v>16000</v>
      </c>
    </row>
    <row r="467" spans="1:5" x14ac:dyDescent="0.25">
      <c r="A467" s="69"/>
      <c r="B467" t="s">
        <v>32</v>
      </c>
      <c r="C467" t="s">
        <v>227</v>
      </c>
      <c r="D467" t="e">
        <f>#REF!</f>
        <v>#REF!</v>
      </c>
    </row>
    <row r="468" spans="1:5" x14ac:dyDescent="0.25">
      <c r="A468" s="69"/>
      <c r="B468" t="s">
        <v>31</v>
      </c>
      <c r="C468" t="s">
        <v>228</v>
      </c>
      <c r="D468" t="e">
        <f>#REF!</f>
        <v>#REF!</v>
      </c>
    </row>
    <row r="469" spans="1:5" x14ac:dyDescent="0.25">
      <c r="A469" s="69"/>
      <c r="B469" t="s">
        <v>225</v>
      </c>
      <c r="C469" t="s">
        <v>226</v>
      </c>
      <c r="D469" t="e">
        <f>0.5*D467/D466</f>
        <v>#REF!</v>
      </c>
    </row>
    <row r="470" spans="1:5" x14ac:dyDescent="0.25">
      <c r="A470" s="69"/>
      <c r="B470" t="s">
        <v>229</v>
      </c>
      <c r="D470">
        <v>0.5</v>
      </c>
    </row>
    <row r="471" spans="1:5" x14ac:dyDescent="0.25">
      <c r="A471" s="69"/>
      <c r="B471" t="s">
        <v>235</v>
      </c>
      <c r="D471" t="e">
        <f>D469/D470</f>
        <v>#REF!</v>
      </c>
    </row>
    <row r="472" spans="1:5" x14ac:dyDescent="0.25">
      <c r="A472" s="69"/>
      <c r="C472" t="s">
        <v>230</v>
      </c>
      <c r="D472">
        <v>10</v>
      </c>
    </row>
    <row r="473" spans="1:5" x14ac:dyDescent="0.25">
      <c r="A473" s="69"/>
      <c r="B473" t="s">
        <v>234</v>
      </c>
      <c r="D473" t="e">
        <f>D472*D471</f>
        <v>#REF!</v>
      </c>
    </row>
    <row r="474" spans="1:5" x14ac:dyDescent="0.25">
      <c r="A474" s="69"/>
      <c r="B474" t="s">
        <v>259</v>
      </c>
      <c r="C474" t="s">
        <v>260</v>
      </c>
      <c r="D474">
        <f>3*D496</f>
        <v>132.30000000000001</v>
      </c>
    </row>
    <row r="475" spans="1:5" x14ac:dyDescent="0.25">
      <c r="A475" s="69"/>
      <c r="B475" t="s">
        <v>261</v>
      </c>
      <c r="D475" s="1">
        <v>1E-3</v>
      </c>
    </row>
    <row r="476" spans="1:5" x14ac:dyDescent="0.25">
      <c r="A476" s="69"/>
      <c r="B476" t="s">
        <v>262</v>
      </c>
      <c r="D476">
        <v>20</v>
      </c>
    </row>
    <row r="477" spans="1:5" x14ac:dyDescent="0.25">
      <c r="A477" s="69"/>
      <c r="B477" t="s">
        <v>265</v>
      </c>
      <c r="C477" t="s">
        <v>266</v>
      </c>
      <c r="D477" s="19">
        <v>1.7000000000000001E-2</v>
      </c>
    </row>
    <row r="478" spans="1:5" x14ac:dyDescent="0.25">
      <c r="A478" s="69"/>
      <c r="B478" t="s">
        <v>267</v>
      </c>
      <c r="D478">
        <f>D477/D476</f>
        <v>8.5000000000000006E-4</v>
      </c>
    </row>
    <row r="479" spans="1:5" x14ac:dyDescent="0.25">
      <c r="A479" s="69"/>
      <c r="B479" t="s">
        <v>240</v>
      </c>
      <c r="C479" t="s">
        <v>241</v>
      </c>
      <c r="D479" s="1">
        <f>D475*D476</f>
        <v>0.02</v>
      </c>
    </row>
    <row r="480" spans="1:5" x14ac:dyDescent="0.25">
      <c r="A480" s="69"/>
      <c r="C480" t="s">
        <v>263</v>
      </c>
      <c r="D480" s="1">
        <f>0.2</f>
        <v>0.2</v>
      </c>
    </row>
    <row r="481" spans="1:4" x14ac:dyDescent="0.25">
      <c r="A481" s="69"/>
      <c r="B481" t="s">
        <v>264</v>
      </c>
      <c r="D481" s="1">
        <f>D479*(1-D480)</f>
        <v>1.6E-2</v>
      </c>
    </row>
    <row r="482" spans="1:4" x14ac:dyDescent="0.25">
      <c r="A482" s="69"/>
      <c r="B482" t="s">
        <v>300</v>
      </c>
      <c r="D482" s="1" t="e">
        <f>D478*D467</f>
        <v>#REF!</v>
      </c>
    </row>
    <row r="483" spans="1:4" x14ac:dyDescent="0.25">
      <c r="A483" s="69"/>
      <c r="B483" t="s">
        <v>301</v>
      </c>
      <c r="D483" s="1" t="e">
        <f>D469/D479</f>
        <v>#REF!</v>
      </c>
    </row>
    <row r="484" spans="1:4" x14ac:dyDescent="0.25">
      <c r="A484" s="69"/>
      <c r="B484" t="s">
        <v>302</v>
      </c>
      <c r="D484" s="1" t="e">
        <f>D482+D483</f>
        <v>#REF!</v>
      </c>
    </row>
    <row r="485" spans="1:4" x14ac:dyDescent="0.25">
      <c r="A485" s="69"/>
      <c r="B485" t="s">
        <v>268</v>
      </c>
      <c r="D485" s="1" t="e">
        <f>POWER(D482, 2)/D478</f>
        <v>#REF!</v>
      </c>
    </row>
    <row r="486" spans="1:4" x14ac:dyDescent="0.25">
      <c r="A486" s="69"/>
      <c r="B486" t="s">
        <v>269</v>
      </c>
      <c r="D486" s="1" t="e">
        <f>D485/D476</f>
        <v>#REF!</v>
      </c>
    </row>
    <row r="487" spans="1:4" x14ac:dyDescent="0.25">
      <c r="A487" s="69"/>
      <c r="B487" t="s">
        <v>238</v>
      </c>
      <c r="C487" t="s">
        <v>232</v>
      </c>
      <c r="D487">
        <v>500</v>
      </c>
    </row>
    <row r="488" spans="1:4" x14ac:dyDescent="0.25">
      <c r="A488" s="69"/>
      <c r="B488" t="s">
        <v>236</v>
      </c>
      <c r="C488" t="s">
        <v>237</v>
      </c>
      <c r="D488" t="e">
        <f>1/(POWER(2*PI()*D487, 2)*D473)</f>
        <v>#REF!</v>
      </c>
    </row>
    <row r="489" spans="1:4" x14ac:dyDescent="0.25">
      <c r="A489" s="69"/>
      <c r="B489" t="s">
        <v>233</v>
      </c>
      <c r="C489" t="s">
        <v>270</v>
      </c>
      <c r="D489" s="1">
        <v>2.1999999999999999E-5</v>
      </c>
    </row>
    <row r="490" spans="1:4" x14ac:dyDescent="0.25">
      <c r="A490" s="69"/>
      <c r="B490" t="s">
        <v>271</v>
      </c>
      <c r="D490" s="1">
        <f>D2*2/D5</f>
        <v>11.299435028248586</v>
      </c>
    </row>
    <row r="491" spans="1:4" x14ac:dyDescent="0.25">
      <c r="A491" s="69"/>
      <c r="B491" t="s">
        <v>272</v>
      </c>
      <c r="D491" s="1">
        <f>2*D490</f>
        <v>22.598870056497173</v>
      </c>
    </row>
    <row r="492" spans="1:4" x14ac:dyDescent="0.25">
      <c r="A492" s="69"/>
      <c r="B492" t="s">
        <v>231</v>
      </c>
      <c r="C492" t="s">
        <v>239</v>
      </c>
      <c r="D492" s="1">
        <f>1/(2*PI()*POWER(D479*D489, 0.5))</f>
        <v>239.93510443917407</v>
      </c>
    </row>
    <row r="493" spans="1:4" x14ac:dyDescent="0.25">
      <c r="A493" s="69"/>
      <c r="B493" t="s">
        <v>242</v>
      </c>
      <c r="D493" s="1">
        <f>40*LOG10(D466/D492)</f>
        <v>72.961047570285331</v>
      </c>
    </row>
    <row r="494" spans="1:4" x14ac:dyDescent="0.25">
      <c r="A494" s="69"/>
      <c r="C494" t="s">
        <v>243</v>
      </c>
      <c r="D494">
        <f>POWER(D7, 2)*0.5*D479</f>
        <v>19.448100000000004</v>
      </c>
    </row>
    <row r="495" spans="1:4" x14ac:dyDescent="0.25">
      <c r="A495" s="69"/>
      <c r="B495" t="s">
        <v>245</v>
      </c>
      <c r="C495" t="s">
        <v>246</v>
      </c>
      <c r="D495">
        <v>33</v>
      </c>
    </row>
    <row r="496" spans="1:4" x14ac:dyDescent="0.25">
      <c r="A496" s="69"/>
      <c r="B496" t="s">
        <v>30</v>
      </c>
      <c r="D496">
        <f>D7</f>
        <v>44.1</v>
      </c>
    </row>
    <row r="497" spans="1:4" x14ac:dyDescent="0.25">
      <c r="A497" s="69"/>
    </row>
    <row r="498" spans="1:4" x14ac:dyDescent="0.25">
      <c r="A498" s="69"/>
      <c r="B498" t="s">
        <v>248</v>
      </c>
      <c r="D498" s="1">
        <f>((-D495)+POWER(POWER(D495, 2)-(4*D489/D479), 0.5))/(2*D489)</f>
        <v>-1.5151530456139737</v>
      </c>
    </row>
    <row r="499" spans="1:4" x14ac:dyDescent="0.25">
      <c r="A499" s="69"/>
      <c r="B499" t="s">
        <v>249</v>
      </c>
      <c r="D499" s="1">
        <f>((-D495)-POWER(POWER(D495, 2)-(4*D489/D479), 0.5))/(2*D489)</f>
        <v>-1499998.4848469547</v>
      </c>
    </row>
    <row r="500" spans="1:4" x14ac:dyDescent="0.25">
      <c r="A500" s="69"/>
      <c r="B500" t="s">
        <v>250</v>
      </c>
      <c r="D500" s="1">
        <f>LN(D499/D498)/(D498-D499)</f>
        <v>9.2036573945350537E-6</v>
      </c>
    </row>
    <row r="501" spans="1:4" x14ac:dyDescent="0.25">
      <c r="A501" s="69"/>
      <c r="B501" t="s">
        <v>193</v>
      </c>
      <c r="D501" s="1">
        <f>(D496/(D489*(D498-D499)))*(EXP(D498*D500)-EXP(D499*D500))</f>
        <v>1.3363463508162678</v>
      </c>
    </row>
    <row r="502" spans="1:4" x14ac:dyDescent="0.25">
      <c r="A502" s="69"/>
      <c r="B502" t="s">
        <v>251</v>
      </c>
      <c r="D502" s="1">
        <f>D495*POWER(D501, 2)</f>
        <v>58.932111788218542</v>
      </c>
    </row>
    <row r="503" spans="1:4" x14ac:dyDescent="0.25">
      <c r="A503" s="69"/>
      <c r="C503" t="s">
        <v>247</v>
      </c>
      <c r="D503" s="1">
        <f>D502*D4</f>
        <v>70.71853414586225</v>
      </c>
    </row>
    <row r="504" spans="1:4" x14ac:dyDescent="0.25">
      <c r="A504" s="69"/>
      <c r="B504" t="s">
        <v>253</v>
      </c>
      <c r="C504" t="s">
        <v>252</v>
      </c>
      <c r="D504" t="b">
        <f>(POWER(D495, 2)/(4*POWER(D489, 2)))&lt;(1/(D489*D479))</f>
        <v>0</v>
      </c>
    </row>
    <row r="505" spans="1:4" x14ac:dyDescent="0.25">
      <c r="A505" s="69"/>
      <c r="B505" t="s">
        <v>254</v>
      </c>
      <c r="D505" s="1">
        <f>D495/(2*D489)</f>
        <v>750000</v>
      </c>
    </row>
    <row r="506" spans="1:4" x14ac:dyDescent="0.25">
      <c r="A506" s="69"/>
      <c r="B506" t="s">
        <v>255</v>
      </c>
      <c r="D506" s="1">
        <f>1/POWER(D489*D479, 0.5)</f>
        <v>1507.5567228888181</v>
      </c>
    </row>
    <row r="507" spans="1:4" x14ac:dyDescent="0.25">
      <c r="A507" s="69"/>
      <c r="B507" t="s">
        <v>256</v>
      </c>
      <c r="D507" t="str">
        <f>IF(D504, POWER(POWER(D506, 2)-POWER(D505, 2), 0.5),"NA")</f>
        <v>NA</v>
      </c>
    </row>
    <row r="508" spans="1:4" x14ac:dyDescent="0.25">
      <c r="A508" s="69"/>
      <c r="C508" t="s">
        <v>257</v>
      </c>
      <c r="D508" s="1" t="str">
        <f>IF(D504, 100*EXP(-PI()*D505/D507), "Not Under-damped")</f>
        <v>Not Under-damped</v>
      </c>
    </row>
    <row r="509" spans="1:4" x14ac:dyDescent="0.25">
      <c r="A509" s="69"/>
      <c r="B509" t="s">
        <v>258</v>
      </c>
      <c r="D509" s="1">
        <f>5/MIN(ABS(D498), ABS(D499))</f>
        <v>3.2999966666561322</v>
      </c>
    </row>
    <row r="510" spans="1:4" x14ac:dyDescent="0.25">
      <c r="A510" s="69"/>
      <c r="B510" t="s">
        <v>276</v>
      </c>
      <c r="C510" t="s">
        <v>273</v>
      </c>
      <c r="D510">
        <v>1600</v>
      </c>
    </row>
    <row r="511" spans="1:4" x14ac:dyDescent="0.25">
      <c r="A511" s="69"/>
      <c r="C511" t="s">
        <v>274</v>
      </c>
      <c r="D511">
        <v>0.1</v>
      </c>
    </row>
    <row r="512" spans="1:4" x14ac:dyDescent="0.25">
      <c r="A512" s="69"/>
      <c r="B512" t="s">
        <v>275</v>
      </c>
      <c r="D512">
        <f>D510*(1-D511)</f>
        <v>1440</v>
      </c>
    </row>
    <row r="513" spans="1:4" x14ac:dyDescent="0.25">
      <c r="A513" s="69"/>
      <c r="B513" t="s">
        <v>277</v>
      </c>
      <c r="D513">
        <f>D510*(1+D511)</f>
        <v>1760.0000000000002</v>
      </c>
    </row>
    <row r="514" spans="1:4" x14ac:dyDescent="0.25">
      <c r="A514" s="69"/>
      <c r="B514" t="s">
        <v>278</v>
      </c>
      <c r="D514">
        <v>24</v>
      </c>
    </row>
    <row r="515" spans="1:4" x14ac:dyDescent="0.25">
      <c r="A515" s="69"/>
      <c r="B515" t="s">
        <v>279</v>
      </c>
      <c r="D515">
        <v>1.4999999999999999E-2</v>
      </c>
    </row>
    <row r="516" spans="1:4" x14ac:dyDescent="0.25">
      <c r="A516" s="69"/>
      <c r="C516" t="s">
        <v>280</v>
      </c>
      <c r="D516" t="b">
        <f>(D514/D510)=D515</f>
        <v>1</v>
      </c>
    </row>
    <row r="517" spans="1:4" x14ac:dyDescent="0.25">
      <c r="A517" s="69"/>
      <c r="B517" t="s">
        <v>281</v>
      </c>
      <c r="C517" t="s">
        <v>282</v>
      </c>
      <c r="D517">
        <f>1.3*D514</f>
        <v>31.200000000000003</v>
      </c>
    </row>
    <row r="518" spans="1:4" x14ac:dyDescent="0.25">
      <c r="A518" s="69"/>
      <c r="B518" t="s">
        <v>283</v>
      </c>
      <c r="C518" t="s">
        <v>284</v>
      </c>
      <c r="D518">
        <f>0.75*D514</f>
        <v>18</v>
      </c>
    </row>
    <row r="519" spans="1:4" x14ac:dyDescent="0.25">
      <c r="A519" s="69"/>
      <c r="B519" t="s">
        <v>285</v>
      </c>
      <c r="D519">
        <f>D518/D513</f>
        <v>1.0227272727272725E-2</v>
      </c>
    </row>
    <row r="520" spans="1:4" x14ac:dyDescent="0.25">
      <c r="A520" s="69"/>
      <c r="B520" t="s">
        <v>286</v>
      </c>
      <c r="D520">
        <f>D517/D513</f>
        <v>1.7727272727272727E-2</v>
      </c>
    </row>
    <row r="521" spans="1:4" x14ac:dyDescent="0.25">
      <c r="A521" s="69"/>
      <c r="B521" t="s">
        <v>292</v>
      </c>
      <c r="D521">
        <v>1330</v>
      </c>
    </row>
    <row r="522" spans="1:4" x14ac:dyDescent="0.25">
      <c r="A522" s="69"/>
      <c r="C522" t="s">
        <v>296</v>
      </c>
      <c r="D522">
        <v>0.05</v>
      </c>
    </row>
    <row r="523" spans="1:4" x14ac:dyDescent="0.25">
      <c r="A523" s="69"/>
      <c r="B523" t="s">
        <v>297</v>
      </c>
      <c r="D523">
        <f>D521*(1-D522)</f>
        <v>1263.5</v>
      </c>
    </row>
    <row r="524" spans="1:4" x14ac:dyDescent="0.25">
      <c r="A524" s="69"/>
      <c r="B524" t="s">
        <v>298</v>
      </c>
      <c r="D524">
        <f>D521*(1+D522)</f>
        <v>1396.5</v>
      </c>
    </row>
    <row r="525" spans="1:4" x14ac:dyDescent="0.25">
      <c r="A525" s="69"/>
      <c r="C525" t="s">
        <v>289</v>
      </c>
      <c r="D525">
        <f>D6/(D510+D521)</f>
        <v>1.3003412969283274E-2</v>
      </c>
    </row>
    <row r="526" spans="1:4" x14ac:dyDescent="0.25">
      <c r="A526" s="69"/>
      <c r="C526" t="s">
        <v>290</v>
      </c>
      <c r="D526">
        <f>D5/(D512+D524)</f>
        <v>1.2480169222633529E-2</v>
      </c>
    </row>
    <row r="527" spans="1:4" x14ac:dyDescent="0.25">
      <c r="A527" s="69"/>
      <c r="C527" t="s">
        <v>291</v>
      </c>
      <c r="D527">
        <f>D7/(D512+D523)</f>
        <v>1.6312187904568152E-2</v>
      </c>
    </row>
    <row r="528" spans="1:4" x14ac:dyDescent="0.25">
      <c r="A528" s="69"/>
      <c r="C528" t="s">
        <v>293</v>
      </c>
      <c r="D528" t="b">
        <f>AND((D525&gt;D519), (D527&lt;D520))</f>
        <v>1</v>
      </c>
    </row>
    <row r="529" spans="1:4" x14ac:dyDescent="0.25">
      <c r="A529" s="69"/>
    </row>
    <row r="530" spans="1:4" x14ac:dyDescent="0.25">
      <c r="A530" s="69"/>
      <c r="B530" t="s">
        <v>294</v>
      </c>
      <c r="D530">
        <f xml:space="preserve"> POWER(D527, 2)*D521</f>
        <v>0.35389634073113957</v>
      </c>
    </row>
    <row r="531" spans="1:4" x14ac:dyDescent="0.25">
      <c r="A531" s="69"/>
      <c r="B531" t="s">
        <v>299</v>
      </c>
      <c r="D531">
        <f>POWER(D525, 2)*D510</f>
        <v>0.27054199815955915</v>
      </c>
    </row>
    <row r="532" spans="1:4" x14ac:dyDescent="0.25">
      <c r="A532" s="69"/>
      <c r="B532" t="s">
        <v>295</v>
      </c>
      <c r="D532">
        <f>POWER(D526, 2)*D513</f>
        <v>0.27412813793300184</v>
      </c>
    </row>
    <row r="533" spans="1:4" x14ac:dyDescent="0.25">
      <c r="A533" s="69"/>
      <c r="C533" t="s">
        <v>322</v>
      </c>
      <c r="D533" s="1">
        <f>0.5*D489*POWER(D534, 2)</f>
        <v>3.0311171733454588E-4</v>
      </c>
    </row>
    <row r="534" spans="1:4" x14ac:dyDescent="0.25">
      <c r="A534" s="69"/>
      <c r="C534" t="s">
        <v>323</v>
      </c>
      <c r="D534">
        <f>D2/D6</f>
        <v>5.2493438320209984</v>
      </c>
    </row>
    <row r="535" spans="1:4" x14ac:dyDescent="0.25">
      <c r="A535" s="69"/>
      <c r="C535" t="s">
        <v>324</v>
      </c>
      <c r="D535">
        <f>D6</f>
        <v>38.099999999999994</v>
      </c>
    </row>
    <row r="536" spans="1:4" x14ac:dyDescent="0.25">
      <c r="A536" s="69"/>
      <c r="C536" t="s">
        <v>325</v>
      </c>
      <c r="D536">
        <f>POWER(((0.5*D479*POWER(D535, 2))+D533)*2/D479, 0.5)</f>
        <v>38.100397782329424</v>
      </c>
    </row>
    <row r="537" spans="1:4" x14ac:dyDescent="0.25">
      <c r="A537" s="69"/>
      <c r="B537" t="s">
        <v>430</v>
      </c>
      <c r="C537" t="s">
        <v>429</v>
      </c>
      <c r="D537" s="1">
        <f>0.5*D479*POWER(D7, 2)</f>
        <v>19.448100000000004</v>
      </c>
    </row>
    <row r="538" spans="1:4" x14ac:dyDescent="0.25">
      <c r="A538" t="s">
        <v>428</v>
      </c>
      <c r="B538" t="s">
        <v>431</v>
      </c>
      <c r="C538" t="s">
        <v>432</v>
      </c>
      <c r="D538">
        <f>(0.06*0.022*0.0018)+(2*(0.06*0.0129*0.001))+(0.06*0.0091*0.0018)</f>
        <v>4.9067999999999993E-6</v>
      </c>
    </row>
    <row r="539" spans="1:4" x14ac:dyDescent="0.25">
      <c r="B539" t="s">
        <v>433</v>
      </c>
      <c r="C539" t="s">
        <v>434</v>
      </c>
      <c r="D539">
        <v>850</v>
      </c>
    </row>
    <row r="540" spans="1:4" x14ac:dyDescent="0.25">
      <c r="B540" t="s">
        <v>435</v>
      </c>
      <c r="C540" t="s">
        <v>436</v>
      </c>
      <c r="D540">
        <v>2700</v>
      </c>
    </row>
    <row r="541" spans="1:4" x14ac:dyDescent="0.25">
      <c r="B541" t="s">
        <v>409</v>
      </c>
      <c r="D541">
        <f>D537/(D540*D538*D539)</f>
        <v>1.7270150907024588</v>
      </c>
    </row>
    <row r="542" spans="1:4" x14ac:dyDescent="0.25">
      <c r="B542" t="s">
        <v>437</v>
      </c>
      <c r="C542" t="s">
        <v>444</v>
      </c>
      <c r="D542">
        <v>0.2</v>
      </c>
    </row>
    <row r="543" spans="1:4" x14ac:dyDescent="0.25">
      <c r="B543" t="s">
        <v>442</v>
      </c>
      <c r="C543" t="s">
        <v>441</v>
      </c>
      <c r="D543">
        <f>D539*D538*D540</f>
        <v>11.261106</v>
      </c>
    </row>
    <row r="544" spans="1:4" x14ac:dyDescent="0.25">
      <c r="B544" t="s">
        <v>448</v>
      </c>
      <c r="C544" t="s">
        <v>447</v>
      </c>
      <c r="D544">
        <f>0.022*0.06</f>
        <v>1.3199999999999998E-3</v>
      </c>
    </row>
    <row r="545" spans="1:13" x14ac:dyDescent="0.25">
      <c r="B545" t="s">
        <v>449</v>
      </c>
      <c r="C545" t="s">
        <v>450</v>
      </c>
      <c r="D545">
        <f>0.002</f>
        <v>2E-3</v>
      </c>
    </row>
    <row r="546" spans="1:13" x14ac:dyDescent="0.25">
      <c r="B546" t="s">
        <v>438</v>
      </c>
      <c r="C546" t="s">
        <v>439</v>
      </c>
      <c r="D546">
        <v>0.5</v>
      </c>
    </row>
    <row r="547" spans="1:13" x14ac:dyDescent="0.25">
      <c r="B547" t="s">
        <v>443</v>
      </c>
      <c r="C547" t="s">
        <v>440</v>
      </c>
      <c r="D547">
        <f>4.605*D543/D546</f>
        <v>103.71478626000001</v>
      </c>
    </row>
    <row r="548" spans="1:13" x14ac:dyDescent="0.25">
      <c r="B548" t="s">
        <v>445</v>
      </c>
      <c r="C548" t="s">
        <v>446</v>
      </c>
      <c r="D548">
        <f>D545/(D542*D544)</f>
        <v>7.575757575757577</v>
      </c>
    </row>
    <row r="549" spans="1:13" x14ac:dyDescent="0.25">
      <c r="B549" t="s">
        <v>451</v>
      </c>
      <c r="D549">
        <f>D543*D541/D547</f>
        <v>0.18751521071687935</v>
      </c>
    </row>
    <row r="550" spans="1:13" x14ac:dyDescent="0.25">
      <c r="B550" t="s">
        <v>452</v>
      </c>
      <c r="D550">
        <f>D549*D548</f>
        <v>1.4205697781581772</v>
      </c>
    </row>
    <row r="551" spans="1:13" x14ac:dyDescent="0.25">
      <c r="A551" s="24"/>
      <c r="C551" t="s">
        <v>330</v>
      </c>
      <c r="D551" t="s">
        <v>331</v>
      </c>
      <c r="H551" t="s">
        <v>333</v>
      </c>
      <c r="I551" t="s">
        <v>332</v>
      </c>
      <c r="J551" t="s">
        <v>334</v>
      </c>
    </row>
    <row r="552" spans="1:13" x14ac:dyDescent="0.25">
      <c r="A552" s="69" t="s">
        <v>326</v>
      </c>
      <c r="C552" t="s">
        <v>327</v>
      </c>
      <c r="D552">
        <f>D2/D5</f>
        <v>5.6497175141242932</v>
      </c>
      <c r="H552">
        <f>11*0.01</f>
        <v>0.11</v>
      </c>
      <c r="I552">
        <v>1</v>
      </c>
      <c r="J552">
        <v>22</v>
      </c>
      <c r="K552">
        <v>10</v>
      </c>
      <c r="L552">
        <v>10</v>
      </c>
      <c r="M552">
        <v>10</v>
      </c>
    </row>
    <row r="553" spans="1:13" x14ac:dyDescent="0.25">
      <c r="A553" s="69"/>
      <c r="C553" t="s">
        <v>328</v>
      </c>
      <c r="D553">
        <v>2</v>
      </c>
      <c r="H553">
        <v>2</v>
      </c>
      <c r="I553">
        <v>2</v>
      </c>
      <c r="J553">
        <v>2</v>
      </c>
      <c r="K553">
        <v>2</v>
      </c>
      <c r="L553">
        <v>2</v>
      </c>
      <c r="M553">
        <v>2</v>
      </c>
    </row>
    <row r="554" spans="1:13" x14ac:dyDescent="0.25">
      <c r="A554" s="69"/>
      <c r="C554" t="s">
        <v>329</v>
      </c>
      <c r="D554">
        <v>5</v>
      </c>
      <c r="H554">
        <v>5</v>
      </c>
      <c r="I554">
        <v>5</v>
      </c>
      <c r="J554">
        <v>5</v>
      </c>
      <c r="K554">
        <v>5</v>
      </c>
      <c r="L554">
        <v>5</v>
      </c>
      <c r="M554">
        <v>5</v>
      </c>
    </row>
    <row r="555" spans="1:13" x14ac:dyDescent="0.25">
      <c r="A555" s="69"/>
      <c r="C555" t="s">
        <v>337</v>
      </c>
      <c r="D555">
        <f>0.0254*POWER(D552/(0.048*POWER(D554, 0.44)), 1/0.725)/(D553*1.378)</f>
        <v>2.4923433704232472</v>
      </c>
      <c r="H555">
        <f t="shared" ref="H555:J555" si="110">0.0254*POWER(H552/(0.048*POWER(H554, 0.44)), 1/0.725)/(H553*1.378)</f>
        <v>1.0892125473680554E-2</v>
      </c>
      <c r="I555">
        <f t="shared" si="110"/>
        <v>0.22873341897835012</v>
      </c>
      <c r="J555">
        <f t="shared" si="110"/>
        <v>16.253508114154439</v>
      </c>
      <c r="K555">
        <f t="shared" ref="K555" si="111">0.0254*POWER(K552/(0.048*POWER(K554, 0.44)), 1/0.725)/(K553*1.378)</f>
        <v>5.4782262733389961</v>
      </c>
      <c r="L555">
        <f t="shared" ref="L555:M555" si="112">0.0254*POWER(L552/(0.048*POWER(L554, 0.44)), 1/0.725)/(L553*1.378)</f>
        <v>5.4782262733389961</v>
      </c>
      <c r="M555">
        <f t="shared" si="112"/>
        <v>5.4782262733389961</v>
      </c>
    </row>
    <row r="556" spans="1:13" x14ac:dyDescent="0.25">
      <c r="A556" s="69"/>
      <c r="C556" t="s">
        <v>338</v>
      </c>
      <c r="D556">
        <f>0.0254*POWER(D552/(0.024*POWER(D554, 0.44)), 1/0.725)/(D553*1.378)</f>
        <v>6.4836813405534928</v>
      </c>
      <c r="H556">
        <f t="shared" ref="H556:L556" si="113">0.0254*POWER(H552/(0.024*POWER(H554, 0.44)), 1/0.725)/(H553*1.378)</f>
        <v>2.8335209157266786E-2</v>
      </c>
      <c r="I556">
        <f t="shared" si="113"/>
        <v>0.59503622903255293</v>
      </c>
      <c r="J556">
        <f t="shared" si="113"/>
        <v>42.282523559497292</v>
      </c>
      <c r="K556">
        <f t="shared" si="113"/>
        <v>14.251276083899347</v>
      </c>
      <c r="L556">
        <f t="shared" si="113"/>
        <v>14.251276083899347</v>
      </c>
    </row>
    <row r="557" spans="1:13" x14ac:dyDescent="0.25">
      <c r="A557" s="69"/>
      <c r="C557" t="s">
        <v>336</v>
      </c>
      <c r="D557">
        <v>8</v>
      </c>
      <c r="H557">
        <v>1</v>
      </c>
      <c r="I557">
        <v>1</v>
      </c>
      <c r="J557">
        <v>8</v>
      </c>
      <c r="K557">
        <v>8</v>
      </c>
    </row>
    <row r="558" spans="1:13" x14ac:dyDescent="0.25">
      <c r="A558" s="69"/>
      <c r="C558" t="s">
        <v>341</v>
      </c>
      <c r="D558">
        <f>POWER(D552/POWER(D557*(D553*1.378)/0.0254, 0.725)/0.048, 1/0.44)</f>
        <v>0.7318559619713908</v>
      </c>
      <c r="H558">
        <f t="shared" ref="H558:K558" si="114">POWER(H552/POWER(H557*(H553*1.378)/0.0254, 0.725)/0.048, 1/0.44)</f>
        <v>2.9151906392472556E-3</v>
      </c>
      <c r="I558">
        <f t="shared" si="114"/>
        <v>0.43986554940209394</v>
      </c>
      <c r="J558">
        <f t="shared" si="114"/>
        <v>16.078094835159579</v>
      </c>
      <c r="K558">
        <f t="shared" si="114"/>
        <v>2.6791758539545092</v>
      </c>
    </row>
    <row r="559" spans="1:13" x14ac:dyDescent="0.25">
      <c r="A559" s="69"/>
      <c r="C559" t="s">
        <v>340</v>
      </c>
      <c r="D559">
        <f>POWER(D552/POWER(D557*(D553*1.378)/0.0254, 0.725)/0.024, 1/0.44)</f>
        <v>3.5365898499283999</v>
      </c>
      <c r="H559">
        <f t="shared" ref="H559:K559" si="115">POWER(H552/POWER(H557*(H553*1.378)/0.0254, 0.725)/0.024, 1/0.44)</f>
        <v>1.4087244158805046E-2</v>
      </c>
      <c r="I559">
        <f t="shared" si="115"/>
        <v>2.1255877087593311</v>
      </c>
      <c r="J559">
        <f t="shared" si="115"/>
        <v>77.695106625959824</v>
      </c>
      <c r="K559">
        <f t="shared" si="115"/>
        <v>12.946736275462857</v>
      </c>
    </row>
    <row r="560" spans="1:13" x14ac:dyDescent="0.25">
      <c r="A560" s="69"/>
      <c r="C560" t="s">
        <v>335</v>
      </c>
      <c r="D560">
        <v>100</v>
      </c>
      <c r="H560">
        <v>200</v>
      </c>
      <c r="I560">
        <v>120</v>
      </c>
      <c r="J560">
        <v>100</v>
      </c>
      <c r="K560">
        <v>100</v>
      </c>
    </row>
    <row r="561" spans="1:11" x14ac:dyDescent="0.25">
      <c r="A561" s="69"/>
      <c r="C561" t="s">
        <v>168</v>
      </c>
      <c r="D561">
        <f>(0.0000000168)*(D560/1000)/((D557/1000)*0.0000348*D553)</f>
        <v>3.0172413793103452E-3</v>
      </c>
      <c r="H561">
        <f>(0.0000000168)*(H560/1000)/((H557/1000)*0.0000348*H553)</f>
        <v>4.8275862068965524E-2</v>
      </c>
      <c r="I561">
        <f>(0.0000000168)*(I560/1000)/((I557/1000)*0.0000348*I553)</f>
        <v>2.8965517241379312E-2</v>
      </c>
      <c r="J561">
        <f>(0.0000000168)*(J560/1000)/((J557/1000)*0.0000348*J553)</f>
        <v>3.0172413793103452E-3</v>
      </c>
      <c r="K561">
        <f>(0.0000000168)*(K560/1000)/((K557/1000)*0.0000348*K553)</f>
        <v>3.0172413793103452E-3</v>
      </c>
    </row>
    <row r="562" spans="1:11" x14ac:dyDescent="0.25">
      <c r="A562" s="69"/>
      <c r="C562" t="s">
        <v>339</v>
      </c>
      <c r="D562">
        <f>POWER(D552, 2)*D561</f>
        <v>9.6308256864577377E-2</v>
      </c>
      <c r="H562">
        <f>POWER(H552, 2)*H561</f>
        <v>5.8413793103448278E-4</v>
      </c>
      <c r="I562">
        <f>POWER(I552, 2)*I561</f>
        <v>2.8965517241379312E-2</v>
      </c>
      <c r="J562">
        <f>POWER(J552, 2)*J561</f>
        <v>1.460344827586207</v>
      </c>
      <c r="K562">
        <f>POWER(K552, 2)*K561</f>
        <v>0.30172413793103453</v>
      </c>
    </row>
    <row r="563" spans="1:11" x14ac:dyDescent="0.25">
      <c r="A563" s="69"/>
      <c r="C563" t="s">
        <v>342</v>
      </c>
      <c r="D563">
        <f>D552*D561</f>
        <v>1.7046561465030197E-2</v>
      </c>
      <c r="H563">
        <f t="shared" ref="H563:K563" si="116">H552*H561</f>
        <v>5.3103448275862077E-3</v>
      </c>
      <c r="I563">
        <f t="shared" si="116"/>
        <v>2.8965517241379312E-2</v>
      </c>
      <c r="J563">
        <f t="shared" si="116"/>
        <v>6.6379310344827594E-2</v>
      </c>
      <c r="K563">
        <f t="shared" si="116"/>
        <v>3.0172413793103453E-2</v>
      </c>
    </row>
    <row r="564" spans="1:11" x14ac:dyDescent="0.25">
      <c r="A564" s="69"/>
    </row>
    <row r="565" spans="1:11" x14ac:dyDescent="0.25">
      <c r="A565" s="24"/>
    </row>
    <row r="566" spans="1:11" x14ac:dyDescent="0.25">
      <c r="A566" s="24"/>
    </row>
    <row r="570" spans="1:11" x14ac:dyDescent="0.25">
      <c r="A570" s="68" t="s">
        <v>869</v>
      </c>
      <c r="C570" t="s">
        <v>4</v>
      </c>
      <c r="D570">
        <v>1.2</v>
      </c>
    </row>
    <row r="571" spans="1:11" x14ac:dyDescent="0.25">
      <c r="A571" s="68"/>
      <c r="B571" s="6" t="s">
        <v>36</v>
      </c>
      <c r="C571" s="6" t="s">
        <v>35</v>
      </c>
      <c r="D571">
        <f>D3</f>
        <v>16000</v>
      </c>
    </row>
    <row r="572" spans="1:11" x14ac:dyDescent="0.25">
      <c r="A572" s="68"/>
      <c r="C572" t="s">
        <v>723</v>
      </c>
      <c r="D572" s="34">
        <v>2</v>
      </c>
    </row>
    <row r="573" spans="1:11" x14ac:dyDescent="0.25">
      <c r="A573" s="68"/>
      <c r="C573" t="s">
        <v>724</v>
      </c>
      <c r="D573" s="34">
        <f>1.2*D8</f>
        <v>4800</v>
      </c>
    </row>
    <row r="574" spans="1:11" x14ac:dyDescent="0.25">
      <c r="A574" s="68"/>
      <c r="C574" t="s">
        <v>726</v>
      </c>
      <c r="D574" s="34">
        <v>25000</v>
      </c>
    </row>
    <row r="575" spans="1:11" x14ac:dyDescent="0.25">
      <c r="A575" s="68"/>
      <c r="C575" t="s">
        <v>725</v>
      </c>
      <c r="D575" s="36">
        <v>300000000</v>
      </c>
    </row>
    <row r="576" spans="1:11" x14ac:dyDescent="0.25">
      <c r="A576" s="68"/>
      <c r="C576" t="s">
        <v>728</v>
      </c>
      <c r="D576" s="34">
        <v>3.5</v>
      </c>
    </row>
    <row r="577" spans="1:5" x14ac:dyDescent="0.25">
      <c r="A577" s="68"/>
      <c r="C577" t="s">
        <v>730</v>
      </c>
      <c r="D577" s="34">
        <f>D574/D570</f>
        <v>20833.333333333336</v>
      </c>
    </row>
    <row r="578" spans="1:5" x14ac:dyDescent="0.25">
      <c r="A578" s="68"/>
      <c r="C578" t="s">
        <v>729</v>
      </c>
      <c r="D578">
        <f>D576/D570</f>
        <v>2.916666666666667</v>
      </c>
    </row>
    <row r="579" spans="1:5" x14ac:dyDescent="0.25">
      <c r="A579" s="68"/>
      <c r="C579" t="s">
        <v>727</v>
      </c>
      <c r="D579" s="34">
        <f>CEILING(D573/D577, 1)</f>
        <v>1</v>
      </c>
    </row>
    <row r="580" spans="1:5" x14ac:dyDescent="0.25">
      <c r="A580" s="68"/>
      <c r="C580" t="s">
        <v>414</v>
      </c>
      <c r="D580" s="34">
        <v>2</v>
      </c>
    </row>
    <row r="581" spans="1:5" x14ac:dyDescent="0.25">
      <c r="A581" s="68"/>
      <c r="C581" t="s">
        <v>733</v>
      </c>
      <c r="D581" s="41">
        <f>D573/D580</f>
        <v>2400</v>
      </c>
    </row>
    <row r="582" spans="1:5" x14ac:dyDescent="0.25">
      <c r="A582" s="68"/>
      <c r="C582" t="s">
        <v>186</v>
      </c>
      <c r="D582" s="33">
        <f>D575*D580</f>
        <v>600000000</v>
      </c>
    </row>
    <row r="583" spans="1:5" x14ac:dyDescent="0.25">
      <c r="A583" s="68"/>
      <c r="C583" t="s">
        <v>415</v>
      </c>
      <c r="D583" s="18">
        <f>D573/D572</f>
        <v>2400</v>
      </c>
    </row>
    <row r="584" spans="1:5" x14ac:dyDescent="0.25">
      <c r="A584" s="68"/>
      <c r="C584" t="s">
        <v>416</v>
      </c>
      <c r="D584" s="18">
        <f>D582/D583</f>
        <v>250000</v>
      </c>
    </row>
    <row r="585" spans="1:5" x14ac:dyDescent="0.25">
      <c r="A585" s="68"/>
      <c r="C585" t="s">
        <v>453</v>
      </c>
      <c r="D585" s="36">
        <v>125000</v>
      </c>
    </row>
    <row r="586" spans="1:5" x14ac:dyDescent="0.25">
      <c r="A586" s="68"/>
      <c r="C586" t="s">
        <v>801</v>
      </c>
      <c r="D586" s="36">
        <f>D582/D585</f>
        <v>4800</v>
      </c>
    </row>
    <row r="587" spans="1:5" x14ac:dyDescent="0.25">
      <c r="A587" s="68"/>
      <c r="C587" t="s">
        <v>417</v>
      </c>
      <c r="D587" s="33">
        <f>D573/D582</f>
        <v>7.9999999999999996E-6</v>
      </c>
      <c r="E587" t="s">
        <v>17</v>
      </c>
    </row>
    <row r="588" spans="1:5" x14ac:dyDescent="0.25">
      <c r="A588" s="68"/>
      <c r="C588" t="s">
        <v>418</v>
      </c>
      <c r="D588" s="33">
        <f>POWER(D587, 2)*D575</f>
        <v>1.9199999999999998E-2</v>
      </c>
    </row>
    <row r="589" spans="1:5" x14ac:dyDescent="0.25">
      <c r="A589" s="68"/>
      <c r="C589" t="s">
        <v>732</v>
      </c>
      <c r="D589" s="33" t="b">
        <f>D581&lt;=D577</f>
        <v>1</v>
      </c>
    </row>
    <row r="590" spans="1:5" x14ac:dyDescent="0.25">
      <c r="A590" s="68"/>
      <c r="C590" t="s">
        <v>731</v>
      </c>
      <c r="D590" s="33" t="b">
        <f>D588&lt;=D578</f>
        <v>1</v>
      </c>
    </row>
    <row r="591" spans="1:5" x14ac:dyDescent="0.25">
      <c r="A591" s="68"/>
      <c r="C591" t="s">
        <v>419</v>
      </c>
      <c r="D591" s="33">
        <f>D588*D580</f>
        <v>3.8399999999999997E-2</v>
      </c>
    </row>
    <row r="592" spans="1:5" x14ac:dyDescent="0.25">
      <c r="A592" s="68"/>
      <c r="C592" t="s">
        <v>420</v>
      </c>
      <c r="D592" s="33">
        <f>POWER(D587, 2)*D585</f>
        <v>7.9999999999999996E-6</v>
      </c>
    </row>
    <row r="593" spans="1:6" x14ac:dyDescent="0.25">
      <c r="A593" s="68"/>
      <c r="B593" t="s">
        <v>862</v>
      </c>
      <c r="C593" t="s">
        <v>863</v>
      </c>
      <c r="D593" s="33">
        <f>1/D571</f>
        <v>6.2500000000000001E-5</v>
      </c>
    </row>
    <row r="594" spans="1:6" x14ac:dyDescent="0.25">
      <c r="A594" s="68"/>
      <c r="B594" t="s">
        <v>864</v>
      </c>
      <c r="C594" t="s">
        <v>865</v>
      </c>
      <c r="D594" s="33">
        <f>D593/(4.6*D585)</f>
        <v>1.0869565217391305E-10</v>
      </c>
    </row>
    <row r="595" spans="1:6" x14ac:dyDescent="0.25">
      <c r="A595" s="68"/>
      <c r="B595" s="63"/>
      <c r="C595" s="63" t="s">
        <v>870</v>
      </c>
      <c r="D595" s="33">
        <f xml:space="preserve"> (2/255)*D586</f>
        <v>37.647058823529413</v>
      </c>
      <c r="F595" t="s">
        <v>881</v>
      </c>
    </row>
    <row r="596" spans="1:6" x14ac:dyDescent="0.25">
      <c r="A596" s="68"/>
      <c r="D596" s="33"/>
    </row>
    <row r="597" spans="1:6" x14ac:dyDescent="0.25">
      <c r="A597" s="68"/>
      <c r="D597" s="33"/>
    </row>
    <row r="598" spans="1:6" x14ac:dyDescent="0.25">
      <c r="A598" s="68"/>
      <c r="D598" s="33"/>
    </row>
    <row r="600" spans="1:6" x14ac:dyDescent="0.25">
      <c r="A600" s="68" t="s">
        <v>866</v>
      </c>
      <c r="C600" t="s">
        <v>4</v>
      </c>
      <c r="D600">
        <v>1.2</v>
      </c>
    </row>
    <row r="601" spans="1:6" x14ac:dyDescent="0.25">
      <c r="A601" s="68"/>
      <c r="C601" t="s">
        <v>723</v>
      </c>
      <c r="D601" s="34">
        <v>2</v>
      </c>
    </row>
    <row r="602" spans="1:6" x14ac:dyDescent="0.25">
      <c r="A602" s="68"/>
      <c r="C602" t="s">
        <v>724</v>
      </c>
      <c r="D602" s="34">
        <f>1.2*D12</f>
        <v>480</v>
      </c>
    </row>
    <row r="603" spans="1:6" x14ac:dyDescent="0.25">
      <c r="A603" s="68"/>
      <c r="C603" t="s">
        <v>726</v>
      </c>
      <c r="D603" s="34">
        <v>25000</v>
      </c>
    </row>
    <row r="604" spans="1:6" x14ac:dyDescent="0.25">
      <c r="A604" s="68"/>
      <c r="C604" t="s">
        <v>725</v>
      </c>
      <c r="D604" s="36">
        <f>10000000/2</f>
        <v>5000000</v>
      </c>
    </row>
    <row r="605" spans="1:6" x14ac:dyDescent="0.25">
      <c r="A605" s="68"/>
      <c r="C605" t="s">
        <v>728</v>
      </c>
      <c r="D605" s="34">
        <v>3.5</v>
      </c>
    </row>
    <row r="606" spans="1:6" x14ac:dyDescent="0.25">
      <c r="A606" s="68"/>
      <c r="C606" t="s">
        <v>730</v>
      </c>
      <c r="D606" s="34">
        <f>D603/D600</f>
        <v>20833.333333333336</v>
      </c>
    </row>
    <row r="607" spans="1:6" x14ac:dyDescent="0.25">
      <c r="A607" s="68"/>
      <c r="C607" t="s">
        <v>729</v>
      </c>
      <c r="D607">
        <f>D605/D600</f>
        <v>2.916666666666667</v>
      </c>
    </row>
    <row r="608" spans="1:6" x14ac:dyDescent="0.25">
      <c r="A608" s="68"/>
      <c r="C608" t="s">
        <v>727</v>
      </c>
      <c r="D608" s="34">
        <f>CEILING(D602/D606, 1)</f>
        <v>1</v>
      </c>
    </row>
    <row r="609" spans="1:6" x14ac:dyDescent="0.25">
      <c r="A609" s="68"/>
      <c r="C609" t="s">
        <v>414</v>
      </c>
      <c r="D609" s="34">
        <v>1</v>
      </c>
    </row>
    <row r="610" spans="1:6" x14ac:dyDescent="0.25">
      <c r="A610" s="68"/>
      <c r="C610" t="s">
        <v>733</v>
      </c>
      <c r="D610" s="41">
        <f>D602/D609</f>
        <v>480</v>
      </c>
    </row>
    <row r="611" spans="1:6" x14ac:dyDescent="0.25">
      <c r="A611" s="68"/>
      <c r="C611" t="s">
        <v>186</v>
      </c>
      <c r="D611" s="33">
        <f>D604*D609</f>
        <v>5000000</v>
      </c>
    </row>
    <row r="612" spans="1:6" x14ac:dyDescent="0.25">
      <c r="A612" s="68"/>
      <c r="C612" t="s">
        <v>415</v>
      </c>
      <c r="D612" s="18">
        <f>D602/D601</f>
        <v>240</v>
      </c>
    </row>
    <row r="613" spans="1:6" x14ac:dyDescent="0.25">
      <c r="A613" s="68"/>
      <c r="C613" t="s">
        <v>416</v>
      </c>
      <c r="D613" s="18">
        <f>D611/D612</f>
        <v>20833.333333333332</v>
      </c>
    </row>
    <row r="614" spans="1:6" x14ac:dyDescent="0.25">
      <c r="A614" s="68"/>
      <c r="C614" t="s">
        <v>453</v>
      </c>
      <c r="D614" s="36">
        <f>23.8*1000</f>
        <v>23800</v>
      </c>
    </row>
    <row r="615" spans="1:6" x14ac:dyDescent="0.25">
      <c r="A615" s="68"/>
      <c r="C615" t="s">
        <v>801</v>
      </c>
      <c r="D615" s="36">
        <f>(D609*D604)/D614</f>
        <v>210.08403361344537</v>
      </c>
    </row>
    <row r="616" spans="1:6" x14ac:dyDescent="0.25">
      <c r="A616" s="68"/>
      <c r="C616" t="s">
        <v>417</v>
      </c>
      <c r="D616" s="33">
        <f>D602/D611</f>
        <v>9.6000000000000002E-5</v>
      </c>
    </row>
    <row r="617" spans="1:6" x14ac:dyDescent="0.25">
      <c r="A617" s="68"/>
      <c r="C617" t="s">
        <v>418</v>
      </c>
      <c r="D617" s="33">
        <f>POWER(D616,2)*D604</f>
        <v>4.6080000000000003E-2</v>
      </c>
    </row>
    <row r="618" spans="1:6" x14ac:dyDescent="0.25">
      <c r="A618" s="68"/>
      <c r="C618" t="s">
        <v>732</v>
      </c>
      <c r="D618" s="33" t="b">
        <f>D610&lt;=D606</f>
        <v>1</v>
      </c>
    </row>
    <row r="619" spans="1:6" x14ac:dyDescent="0.25">
      <c r="A619" s="68"/>
      <c r="C619" t="s">
        <v>731</v>
      </c>
      <c r="D619" s="33" t="b">
        <f>D617&lt;=D607</f>
        <v>1</v>
      </c>
    </row>
    <row r="620" spans="1:6" x14ac:dyDescent="0.25">
      <c r="A620" s="68"/>
      <c r="C620" t="s">
        <v>419</v>
      </c>
      <c r="D620" s="33">
        <f>D617*D609</f>
        <v>4.6080000000000003E-2</v>
      </c>
    </row>
    <row r="621" spans="1:6" x14ac:dyDescent="0.25">
      <c r="A621" s="68"/>
      <c r="C621" t="s">
        <v>420</v>
      </c>
      <c r="D621" s="33">
        <f>POWER(D616, 2)*D614</f>
        <v>2.1934080000000003E-4</v>
      </c>
    </row>
    <row r="622" spans="1:6" x14ac:dyDescent="0.25">
      <c r="A622" s="68"/>
      <c r="C622" t="s">
        <v>871</v>
      </c>
      <c r="D622" s="33">
        <f>(2/255)*D615</f>
        <v>1.6477179106936892</v>
      </c>
      <c r="F622" t="s">
        <v>880</v>
      </c>
    </row>
    <row r="623" spans="1:6" x14ac:dyDescent="0.25">
      <c r="C623" t="s">
        <v>422</v>
      </c>
      <c r="D623">
        <v>3</v>
      </c>
    </row>
    <row r="624" spans="1:6" x14ac:dyDescent="0.25">
      <c r="A624" s="69" t="s">
        <v>421</v>
      </c>
      <c r="C624" t="s">
        <v>423</v>
      </c>
      <c r="D624">
        <v>550</v>
      </c>
      <c r="E624" t="s">
        <v>425</v>
      </c>
    </row>
    <row r="625" spans="1:5" x14ac:dyDescent="0.25">
      <c r="A625" s="69"/>
      <c r="C625" t="s">
        <v>424</v>
      </c>
      <c r="D625">
        <f>25.4*41.9*0.000001</f>
        <v>1.06426E-3</v>
      </c>
    </row>
    <row r="626" spans="1:5" x14ac:dyDescent="0.25">
      <c r="A626" s="69"/>
      <c r="C626" t="s">
        <v>426</v>
      </c>
      <c r="D626">
        <f>D625*D624*0.3048</f>
        <v>0.17841254640000004</v>
      </c>
      <c r="E626" t="s">
        <v>344</v>
      </c>
    </row>
    <row r="627" spans="1:5" x14ac:dyDescent="0.25">
      <c r="A627" s="69"/>
      <c r="C627" t="s">
        <v>427</v>
      </c>
      <c r="D627">
        <f>D626*50</f>
        <v>8.9206273200000012</v>
      </c>
    </row>
    <row r="628" spans="1:5" x14ac:dyDescent="0.25">
      <c r="A628" s="69"/>
    </row>
    <row r="629" spans="1:5" x14ac:dyDescent="0.25">
      <c r="A629" s="69"/>
    </row>
    <row r="630" spans="1:5" x14ac:dyDescent="0.25">
      <c r="A630" s="69"/>
    </row>
    <row r="631" spans="1:5" x14ac:dyDescent="0.25">
      <c r="A631" s="69"/>
    </row>
    <row r="632" spans="1:5" x14ac:dyDescent="0.25">
      <c r="A632" s="69"/>
    </row>
    <row r="633" spans="1:5" x14ac:dyDescent="0.25">
      <c r="A633" s="69"/>
    </row>
    <row r="634" spans="1:5" x14ac:dyDescent="0.25">
      <c r="A634" s="69"/>
    </row>
    <row r="635" spans="1:5" x14ac:dyDescent="0.25">
      <c r="A635" s="69"/>
    </row>
    <row r="636" spans="1:5" x14ac:dyDescent="0.25">
      <c r="A636" s="69"/>
    </row>
    <row r="637" spans="1:5" x14ac:dyDescent="0.25">
      <c r="C637" t="s">
        <v>455</v>
      </c>
      <c r="D637" s="1">
        <f>D77</f>
        <v>0.64</v>
      </c>
    </row>
    <row r="638" spans="1:5" x14ac:dyDescent="0.25">
      <c r="A638" s="69" t="s">
        <v>454</v>
      </c>
      <c r="C638" t="s">
        <v>456</v>
      </c>
      <c r="D638">
        <f>D28</f>
        <v>1.2</v>
      </c>
    </row>
    <row r="639" spans="1:5" x14ac:dyDescent="0.25">
      <c r="A639" s="69"/>
      <c r="C639" t="s">
        <v>457</v>
      </c>
      <c r="D639" s="1" t="e">
        <f>D209+D210</f>
        <v>#REF!</v>
      </c>
    </row>
    <row r="640" spans="1:5" x14ac:dyDescent="0.25">
      <c r="A640" s="69"/>
      <c r="C640" t="s">
        <v>458</v>
      </c>
      <c r="D640" s="1" t="e">
        <f>D637+D638+D639</f>
        <v>#REF!</v>
      </c>
    </row>
    <row r="641" spans="1:5" x14ac:dyDescent="0.25">
      <c r="A641" s="69"/>
    </row>
    <row r="642" spans="1:5" x14ac:dyDescent="0.25">
      <c r="A642" s="69"/>
    </row>
    <row r="643" spans="1:5" x14ac:dyDescent="0.25">
      <c r="A643" s="69"/>
      <c r="C643" t="s">
        <v>4</v>
      </c>
      <c r="D643">
        <v>2</v>
      </c>
    </row>
    <row r="644" spans="1:5" x14ac:dyDescent="0.25">
      <c r="A644" s="69"/>
      <c r="C644" t="s">
        <v>345</v>
      </c>
      <c r="D644">
        <v>0.17399999999999999</v>
      </c>
      <c r="E644" t="s">
        <v>180</v>
      </c>
    </row>
    <row r="645" spans="1:5" x14ac:dyDescent="0.25">
      <c r="A645" s="69"/>
      <c r="C645" t="s">
        <v>346</v>
      </c>
      <c r="D645">
        <v>0.5</v>
      </c>
      <c r="E645" t="s">
        <v>180</v>
      </c>
    </row>
    <row r="646" spans="1:5" x14ac:dyDescent="0.25">
      <c r="A646" s="69"/>
      <c r="C646" t="s">
        <v>343</v>
      </c>
      <c r="D646">
        <f>POWER(D644/2, 2)*PI()*D645</f>
        <v>1.1889357397510571E-2</v>
      </c>
      <c r="E646" t="s">
        <v>354</v>
      </c>
    </row>
    <row r="647" spans="1:5" x14ac:dyDescent="0.25">
      <c r="A647" s="69"/>
      <c r="C647" t="s">
        <v>347</v>
      </c>
      <c r="D647" s="1" t="e">
        <f>D640</f>
        <v>#REF!</v>
      </c>
    </row>
    <row r="648" spans="1:5" x14ac:dyDescent="0.25">
      <c r="A648" s="69"/>
      <c r="C648" t="s">
        <v>352</v>
      </c>
      <c r="D648">
        <v>2300</v>
      </c>
      <c r="E648" t="s">
        <v>348</v>
      </c>
    </row>
    <row r="649" spans="1:5" x14ac:dyDescent="0.25">
      <c r="A649" s="69"/>
      <c r="C649" t="s">
        <v>349</v>
      </c>
      <c r="D649">
        <v>20</v>
      </c>
      <c r="E649" t="s">
        <v>350</v>
      </c>
    </row>
    <row r="650" spans="1:5" x14ac:dyDescent="0.25">
      <c r="A650" s="69"/>
      <c r="C650" t="s">
        <v>351</v>
      </c>
      <c r="D650">
        <v>800</v>
      </c>
      <c r="E650" t="s">
        <v>353</v>
      </c>
    </row>
    <row r="651" spans="1:5" x14ac:dyDescent="0.25">
      <c r="A651" s="69"/>
      <c r="C651" t="s">
        <v>355</v>
      </c>
      <c r="D651">
        <f>D650*D646</f>
        <v>9.5114859180084572</v>
      </c>
      <c r="E651" t="s">
        <v>356</v>
      </c>
    </row>
    <row r="652" spans="1:5" x14ac:dyDescent="0.25">
      <c r="A652" s="69"/>
      <c r="C652" t="s">
        <v>357</v>
      </c>
      <c r="D652">
        <f>D648*D651*D649</f>
        <v>437528.35222838906</v>
      </c>
      <c r="E652" t="s">
        <v>358</v>
      </c>
    </row>
    <row r="653" spans="1:5" x14ac:dyDescent="0.25">
      <c r="A653" s="69"/>
      <c r="C653" t="s">
        <v>359</v>
      </c>
      <c r="D653" t="e">
        <f>D652/D647</f>
        <v>#REF!</v>
      </c>
      <c r="E653" t="s">
        <v>220</v>
      </c>
    </row>
    <row r="654" spans="1:5" x14ac:dyDescent="0.25">
      <c r="A654" s="69"/>
      <c r="C654" t="s">
        <v>360</v>
      </c>
      <c r="D654" t="e">
        <f>D653/D643</f>
        <v>#REF!</v>
      </c>
      <c r="E654" t="s">
        <v>220</v>
      </c>
    </row>
    <row r="655" spans="1:5" x14ac:dyDescent="0.25">
      <c r="A655" s="69"/>
      <c r="C655" t="s">
        <v>361</v>
      </c>
      <c r="D655" t="e">
        <f>D646/D654</f>
        <v>#REF!</v>
      </c>
      <c r="E655" t="s">
        <v>362</v>
      </c>
    </row>
    <row r="656" spans="1:5" x14ac:dyDescent="0.25">
      <c r="A656" s="69"/>
      <c r="C656" t="s">
        <v>361</v>
      </c>
      <c r="D656" t="e">
        <f>(1000000)*D655</f>
        <v>#REF!</v>
      </c>
      <c r="E656" t="s">
        <v>363</v>
      </c>
    </row>
    <row r="657" spans="1:5" x14ac:dyDescent="0.25">
      <c r="A657" s="69"/>
      <c r="C657" t="s">
        <v>364</v>
      </c>
      <c r="D657">
        <v>0.1</v>
      </c>
      <c r="E657" t="s">
        <v>365</v>
      </c>
    </row>
    <row r="658" spans="1:5" x14ac:dyDescent="0.25">
      <c r="A658" s="69"/>
      <c r="C658" t="s">
        <v>366</v>
      </c>
      <c r="D658" t="e">
        <f>D655/D657</f>
        <v>#REF!</v>
      </c>
      <c r="E658" t="s">
        <v>181</v>
      </c>
    </row>
    <row r="659" spans="1:5" x14ac:dyDescent="0.25">
      <c r="A659" s="69"/>
      <c r="C659" t="s">
        <v>367</v>
      </c>
      <c r="D659" t="e">
        <f>2*POWER(D658/PI(), 0.5)</f>
        <v>#REF!</v>
      </c>
      <c r="E659" t="s">
        <v>180</v>
      </c>
    </row>
    <row r="660" spans="1:5" x14ac:dyDescent="0.25">
      <c r="A660" s="69"/>
      <c r="C660" t="s">
        <v>369</v>
      </c>
      <c r="D660" t="e">
        <f>CEILING(D659, 0.001)</f>
        <v>#REF!</v>
      </c>
      <c r="E660" t="s">
        <v>180</v>
      </c>
    </row>
    <row r="661" spans="1:5" x14ac:dyDescent="0.25">
      <c r="A661" s="69"/>
      <c r="C661" t="s">
        <v>368</v>
      </c>
      <c r="D661" t="e">
        <f>D660*1000</f>
        <v>#REF!</v>
      </c>
      <c r="E661" t="s">
        <v>110</v>
      </c>
    </row>
    <row r="662" spans="1:5" x14ac:dyDescent="0.25">
      <c r="A662" s="69"/>
      <c r="C662" t="s">
        <v>374</v>
      </c>
      <c r="D662">
        <v>9</v>
      </c>
      <c r="E662" t="s">
        <v>110</v>
      </c>
    </row>
    <row r="663" spans="1:5" x14ac:dyDescent="0.25">
      <c r="A663" s="69"/>
      <c r="C663" t="s">
        <v>375</v>
      </c>
      <c r="D663">
        <f>D662/1000</f>
        <v>8.9999999999999993E-3</v>
      </c>
    </row>
    <row r="664" spans="1:5" x14ac:dyDescent="0.25">
      <c r="C664" t="s">
        <v>372</v>
      </c>
      <c r="D664">
        <f>0.00604</f>
        <v>6.0400000000000002E-3</v>
      </c>
    </row>
    <row r="665" spans="1:5" x14ac:dyDescent="0.25">
      <c r="C665" t="s">
        <v>371</v>
      </c>
      <c r="D665">
        <f>D664/D650</f>
        <v>7.5500000000000006E-6</v>
      </c>
    </row>
    <row r="666" spans="1:5" x14ac:dyDescent="0.25">
      <c r="C666" t="s">
        <v>370</v>
      </c>
      <c r="D666">
        <v>2300</v>
      </c>
    </row>
    <row r="667" spans="1:5" x14ac:dyDescent="0.25">
      <c r="C667" t="s">
        <v>373</v>
      </c>
      <c r="D667">
        <f>D650*D657*D663/D664</f>
        <v>119.20529801324503</v>
      </c>
    </row>
    <row r="668" spans="1:5" x14ac:dyDescent="0.25">
      <c r="C668" t="s">
        <v>376</v>
      </c>
      <c r="D668" t="b">
        <f>D667&lt;D666</f>
        <v>1</v>
      </c>
    </row>
    <row r="671" spans="1:5" x14ac:dyDescent="0.25">
      <c r="B671" t="s">
        <v>29</v>
      </c>
      <c r="C671" t="s">
        <v>34</v>
      </c>
      <c r="D671">
        <f>D5</f>
        <v>35.400000000000006</v>
      </c>
      <c r="E671" t="s">
        <v>18</v>
      </c>
    </row>
    <row r="672" spans="1:5" x14ac:dyDescent="0.25">
      <c r="A672" s="69" t="s">
        <v>462</v>
      </c>
      <c r="B672" t="s">
        <v>287</v>
      </c>
      <c r="C672" t="s">
        <v>288</v>
      </c>
      <c r="D672">
        <f>D6</f>
        <v>38.099999999999994</v>
      </c>
      <c r="E672" t="s">
        <v>18</v>
      </c>
    </row>
    <row r="673" spans="1:16" x14ac:dyDescent="0.25">
      <c r="A673" s="69"/>
      <c r="B673" t="s">
        <v>30</v>
      </c>
      <c r="C673" t="s">
        <v>33</v>
      </c>
      <c r="D673">
        <f>D7</f>
        <v>44.1</v>
      </c>
      <c r="E673" t="s">
        <v>18</v>
      </c>
    </row>
    <row r="674" spans="1:16" x14ac:dyDescent="0.25">
      <c r="A674" s="69"/>
      <c r="C674" t="s">
        <v>463</v>
      </c>
      <c r="D674">
        <v>3</v>
      </c>
      <c r="E674" t="s">
        <v>17</v>
      </c>
    </row>
    <row r="675" spans="1:16" x14ac:dyDescent="0.25">
      <c r="A675" s="69"/>
      <c r="C675" t="s">
        <v>464</v>
      </c>
      <c r="D675">
        <f>(D673/D674)</f>
        <v>14.700000000000001</v>
      </c>
    </row>
    <row r="676" spans="1:16" x14ac:dyDescent="0.25">
      <c r="A676" s="69"/>
      <c r="C676" t="s">
        <v>465</v>
      </c>
      <c r="D676">
        <f>D671/D674</f>
        <v>11.800000000000002</v>
      </c>
    </row>
    <row r="677" spans="1:16" ht="18.75" customHeight="1" x14ac:dyDescent="0.25">
      <c r="A677" s="69"/>
      <c r="C677" t="s">
        <v>466</v>
      </c>
      <c r="D677">
        <f>D672/D674</f>
        <v>12.699999999999998</v>
      </c>
    </row>
    <row r="678" spans="1:16" hidden="1" x14ac:dyDescent="0.25">
      <c r="A678" s="69"/>
      <c r="C678" t="s">
        <v>467</v>
      </c>
      <c r="D678">
        <f>12</f>
        <v>12</v>
      </c>
    </row>
    <row r="679" spans="1:16" ht="115.5" customHeight="1" x14ac:dyDescent="0.25">
      <c r="A679" s="69"/>
      <c r="C679" t="s">
        <v>468</v>
      </c>
      <c r="D679">
        <f>D673*D673/D678</f>
        <v>162.06750000000002</v>
      </c>
      <c r="H679" s="12" t="s">
        <v>168</v>
      </c>
      <c r="I679" s="27" t="s">
        <v>474</v>
      </c>
      <c r="J679" s="27" t="s">
        <v>477</v>
      </c>
      <c r="K679" s="27" t="s">
        <v>476</v>
      </c>
      <c r="L679" s="27" t="s">
        <v>475</v>
      </c>
      <c r="M679" s="27" t="s">
        <v>478</v>
      </c>
      <c r="N679" s="27" t="s">
        <v>479</v>
      </c>
      <c r="O679" s="27" t="s">
        <v>481</v>
      </c>
      <c r="P679" s="26"/>
    </row>
    <row r="680" spans="1:16" x14ac:dyDescent="0.25">
      <c r="A680" s="69"/>
      <c r="C680" t="s">
        <v>469</v>
      </c>
      <c r="D680">
        <f>6</f>
        <v>6</v>
      </c>
      <c r="H680" s="12">
        <v>1</v>
      </c>
      <c r="I680" s="12">
        <f>D673/H680</f>
        <v>44.1</v>
      </c>
      <c r="J680" s="12">
        <f>I680*I680*H680</f>
        <v>1944.8100000000002</v>
      </c>
      <c r="K680" s="12">
        <f>J680/2</f>
        <v>972.40500000000009</v>
      </c>
      <c r="L680" s="12">
        <f>D671/H680</f>
        <v>35.400000000000006</v>
      </c>
      <c r="M680" s="12">
        <f>D671*D671/H680</f>
        <v>1253.1600000000003</v>
      </c>
      <c r="N680" s="12">
        <f>M680/2</f>
        <v>626.58000000000015</v>
      </c>
      <c r="O680" s="26"/>
    </row>
    <row r="681" spans="1:16" x14ac:dyDescent="0.25">
      <c r="A681" s="69"/>
      <c r="C681" t="s">
        <v>470</v>
      </c>
      <c r="D681">
        <v>2</v>
      </c>
      <c r="H681" s="12">
        <v>2</v>
      </c>
      <c r="I681" s="12">
        <f>D673/H681</f>
        <v>22.05</v>
      </c>
      <c r="J681" s="12">
        <f t="shared" ref="J681:J694" si="117">I681*I681*H681</f>
        <v>972.40500000000009</v>
      </c>
      <c r="K681" s="12">
        <f>J681/2</f>
        <v>486.20250000000004</v>
      </c>
      <c r="L681" s="12">
        <f>D671/H681</f>
        <v>17.700000000000003</v>
      </c>
      <c r="M681" s="12">
        <f>D671*D671/H681</f>
        <v>626.58000000000015</v>
      </c>
      <c r="N681" s="12">
        <f>M681/2</f>
        <v>313.29000000000008</v>
      </c>
      <c r="O681" s="26"/>
    </row>
    <row r="682" spans="1:16" x14ac:dyDescent="0.25">
      <c r="A682" s="69"/>
      <c r="C682" t="s">
        <v>471</v>
      </c>
      <c r="D682">
        <f xml:space="preserve"> D680*D681</f>
        <v>12</v>
      </c>
      <c r="H682" s="12">
        <v>3</v>
      </c>
      <c r="I682" s="12">
        <f>D673/H682</f>
        <v>14.700000000000001</v>
      </c>
      <c r="J682" s="12">
        <f t="shared" si="117"/>
        <v>648.2700000000001</v>
      </c>
      <c r="K682" s="12">
        <f>J682/2</f>
        <v>324.13500000000005</v>
      </c>
      <c r="L682" s="12">
        <f>D671/H682</f>
        <v>11.800000000000002</v>
      </c>
      <c r="M682" s="12">
        <f>D671*D671/H682</f>
        <v>417.72000000000008</v>
      </c>
      <c r="N682" s="12">
        <f>M682/2</f>
        <v>208.86000000000004</v>
      </c>
    </row>
    <row r="683" spans="1:16" x14ac:dyDescent="0.25">
      <c r="A683" s="69"/>
      <c r="H683" s="12">
        <v>4</v>
      </c>
      <c r="I683" s="12">
        <f>D673/H683</f>
        <v>11.025</v>
      </c>
      <c r="J683" s="12">
        <f t="shared" si="117"/>
        <v>486.20250000000004</v>
      </c>
      <c r="K683" s="12">
        <f t="shared" ref="K683:K694" si="118">J683/2</f>
        <v>243.10125000000002</v>
      </c>
      <c r="L683" s="12">
        <f>D671/H683</f>
        <v>8.8500000000000014</v>
      </c>
      <c r="M683" s="12">
        <f>D671*D671/H683</f>
        <v>313.29000000000008</v>
      </c>
      <c r="N683" s="12">
        <f t="shared" ref="N683:N694" si="119">M683/2</f>
        <v>156.64500000000004</v>
      </c>
    </row>
    <row r="684" spans="1:16" x14ac:dyDescent="0.25">
      <c r="A684" s="69"/>
      <c r="C684" t="s">
        <v>472</v>
      </c>
      <c r="D684">
        <f>(POWER(D673,2))/(200*2)</f>
        <v>4.862025</v>
      </c>
      <c r="H684" s="12">
        <v>5</v>
      </c>
      <c r="I684" s="12">
        <f>D673/H684</f>
        <v>8.82</v>
      </c>
      <c r="J684" s="12">
        <f t="shared" si="117"/>
        <v>388.96199999999999</v>
      </c>
      <c r="K684" s="12">
        <f t="shared" si="118"/>
        <v>194.48099999999999</v>
      </c>
      <c r="L684" s="12">
        <f>D671/H684</f>
        <v>7.080000000000001</v>
      </c>
      <c r="M684" s="12">
        <f>D671*D671/H684</f>
        <v>250.63200000000006</v>
      </c>
      <c r="N684" s="12">
        <f t="shared" si="119"/>
        <v>125.31600000000003</v>
      </c>
      <c r="O684" t="s">
        <v>480</v>
      </c>
    </row>
    <row r="685" spans="1:16" x14ac:dyDescent="0.25">
      <c r="A685" s="69"/>
      <c r="C685" t="s">
        <v>473</v>
      </c>
      <c r="D685">
        <f>D673/D684</f>
        <v>9.0702947845804989</v>
      </c>
      <c r="H685" s="12">
        <v>6</v>
      </c>
      <c r="I685" s="12">
        <f>D673/H685</f>
        <v>7.3500000000000005</v>
      </c>
      <c r="J685" s="12">
        <f t="shared" si="117"/>
        <v>324.13500000000005</v>
      </c>
      <c r="K685" s="12">
        <f t="shared" si="118"/>
        <v>162.06750000000002</v>
      </c>
      <c r="L685" s="12">
        <f>D671/H685</f>
        <v>5.9000000000000012</v>
      </c>
      <c r="M685" s="12">
        <f>D671*D671/H685</f>
        <v>208.86000000000004</v>
      </c>
      <c r="N685" s="12">
        <f t="shared" si="119"/>
        <v>104.43000000000002</v>
      </c>
      <c r="O685" t="s">
        <v>482</v>
      </c>
    </row>
    <row r="686" spans="1:16" x14ac:dyDescent="0.25">
      <c r="A686" s="69"/>
      <c r="H686" s="12">
        <v>7</v>
      </c>
      <c r="I686" s="12">
        <f>D673/H686</f>
        <v>6.3</v>
      </c>
      <c r="J686" s="12">
        <f t="shared" si="117"/>
        <v>277.83</v>
      </c>
      <c r="K686" s="12">
        <f t="shared" si="118"/>
        <v>138.91499999999999</v>
      </c>
      <c r="L686" s="12">
        <f>D671/H686</f>
        <v>5.0571428571428578</v>
      </c>
      <c r="M686" s="12">
        <f>D671*D671/H686</f>
        <v>179.02285714285719</v>
      </c>
      <c r="N686" s="12">
        <f t="shared" si="119"/>
        <v>89.511428571428596</v>
      </c>
      <c r="O686" t="s">
        <v>483</v>
      </c>
    </row>
    <row r="687" spans="1:16" x14ac:dyDescent="0.25">
      <c r="H687" s="12">
        <v>8</v>
      </c>
      <c r="I687" s="12">
        <f>D673/H687</f>
        <v>5.5125000000000002</v>
      </c>
      <c r="J687" s="12">
        <f t="shared" si="117"/>
        <v>243.10125000000002</v>
      </c>
      <c r="K687" s="12">
        <f t="shared" si="118"/>
        <v>121.55062500000001</v>
      </c>
      <c r="L687" s="12">
        <f>D671/H687</f>
        <v>4.4250000000000007</v>
      </c>
      <c r="M687" s="12">
        <f>D671*D671/H687</f>
        <v>156.64500000000004</v>
      </c>
      <c r="N687" s="12">
        <f t="shared" si="119"/>
        <v>78.322500000000019</v>
      </c>
      <c r="O687" t="s">
        <v>484</v>
      </c>
    </row>
    <row r="688" spans="1:16" x14ac:dyDescent="0.25">
      <c r="H688" s="12">
        <v>9</v>
      </c>
      <c r="I688" s="12">
        <f>D673/H688</f>
        <v>4.9000000000000004</v>
      </c>
      <c r="J688" s="12">
        <f t="shared" si="117"/>
        <v>216.09000000000003</v>
      </c>
      <c r="K688" s="12">
        <f t="shared" si="118"/>
        <v>108.04500000000002</v>
      </c>
      <c r="L688" s="12">
        <f>D671/H688</f>
        <v>3.933333333333334</v>
      </c>
      <c r="M688" s="12">
        <f>D671*D671/H688</f>
        <v>139.24000000000004</v>
      </c>
      <c r="N688" s="12">
        <f t="shared" si="119"/>
        <v>69.620000000000019</v>
      </c>
      <c r="O688" t="s">
        <v>485</v>
      </c>
    </row>
    <row r="689" spans="1:15" x14ac:dyDescent="0.25">
      <c r="H689" s="12">
        <v>10</v>
      </c>
      <c r="I689" s="12">
        <f>D673/H689</f>
        <v>4.41</v>
      </c>
      <c r="J689" s="12">
        <f t="shared" si="117"/>
        <v>194.48099999999999</v>
      </c>
      <c r="K689" s="12">
        <f t="shared" si="118"/>
        <v>97.240499999999997</v>
      </c>
      <c r="L689" s="12">
        <f>D671/H689</f>
        <v>3.5400000000000005</v>
      </c>
      <c r="M689" s="12">
        <f>D671*D671/H689</f>
        <v>125.31600000000003</v>
      </c>
      <c r="N689" s="12">
        <f t="shared" si="119"/>
        <v>62.658000000000015</v>
      </c>
      <c r="O689" t="s">
        <v>486</v>
      </c>
    </row>
    <row r="690" spans="1:15" x14ac:dyDescent="0.25">
      <c r="A690" s="69" t="s">
        <v>567</v>
      </c>
      <c r="B690" t="s">
        <v>553</v>
      </c>
      <c r="C690" t="s">
        <v>552</v>
      </c>
      <c r="D690">
        <v>5</v>
      </c>
      <c r="E690" s="7" t="s">
        <v>18</v>
      </c>
      <c r="H690" s="12">
        <v>11</v>
      </c>
      <c r="I690" s="12">
        <f>D673/H690</f>
        <v>4.0090909090909088</v>
      </c>
      <c r="J690" s="12">
        <f t="shared" si="117"/>
        <v>176.80090909090904</v>
      </c>
      <c r="K690" s="12">
        <f t="shared" si="118"/>
        <v>88.400454545454522</v>
      </c>
      <c r="L690" s="12">
        <f>D671/H690</f>
        <v>3.2181818181818187</v>
      </c>
      <c r="M690" s="12">
        <f>D671*D671/H690</f>
        <v>113.92363636363639</v>
      </c>
      <c r="N690" s="12">
        <f t="shared" si="119"/>
        <v>56.961818181818195</v>
      </c>
      <c r="O690" t="s">
        <v>487</v>
      </c>
    </row>
    <row r="691" spans="1:15" x14ac:dyDescent="0.25">
      <c r="A691" s="69"/>
      <c r="B691" t="s">
        <v>555</v>
      </c>
      <c r="C691" t="s">
        <v>556</v>
      </c>
      <c r="D691">
        <f>2000</f>
        <v>2000</v>
      </c>
      <c r="E691" s="7" t="s">
        <v>21</v>
      </c>
      <c r="H691" s="12">
        <v>12</v>
      </c>
      <c r="I691" s="12">
        <f>D673/H691</f>
        <v>3.6750000000000003</v>
      </c>
      <c r="J691" s="12">
        <f t="shared" si="117"/>
        <v>162.06750000000002</v>
      </c>
      <c r="K691" s="12">
        <f t="shared" si="118"/>
        <v>81.033750000000012</v>
      </c>
      <c r="L691" s="12">
        <f>D671/H691</f>
        <v>2.9500000000000006</v>
      </c>
      <c r="M691" s="12">
        <f>D671*D671/H691</f>
        <v>104.43000000000002</v>
      </c>
      <c r="N691" s="12">
        <f t="shared" si="119"/>
        <v>52.215000000000011</v>
      </c>
      <c r="O691" t="s">
        <v>489</v>
      </c>
    </row>
    <row r="692" spans="1:15" x14ac:dyDescent="0.25">
      <c r="A692" s="69"/>
      <c r="B692" t="s">
        <v>554</v>
      </c>
      <c r="C692" t="s">
        <v>557</v>
      </c>
      <c r="D692">
        <f>((D690/1.23)-1)*D691</f>
        <v>6130.081300813009</v>
      </c>
      <c r="E692" s="7" t="s">
        <v>21</v>
      </c>
      <c r="H692" s="12">
        <v>13</v>
      </c>
      <c r="I692" s="12">
        <f>D673/H692</f>
        <v>3.3923076923076922</v>
      </c>
      <c r="J692" s="12">
        <f t="shared" si="117"/>
        <v>149.60076923076923</v>
      </c>
      <c r="K692" s="12">
        <f t="shared" si="118"/>
        <v>74.800384615384615</v>
      </c>
      <c r="L692" s="12">
        <f>D671/H692</f>
        <v>2.7230769230769236</v>
      </c>
      <c r="M692" s="12">
        <f>D671*D671/H692</f>
        <v>96.396923076923102</v>
      </c>
      <c r="N692" s="12">
        <f t="shared" si="119"/>
        <v>48.198461538461551</v>
      </c>
      <c r="O692" t="s">
        <v>488</v>
      </c>
    </row>
    <row r="693" spans="1:15" x14ac:dyDescent="0.25">
      <c r="A693" s="30"/>
      <c r="B693" t="s">
        <v>566</v>
      </c>
      <c r="C693" t="s">
        <v>572</v>
      </c>
      <c r="D693">
        <f>1/(31000*D692)</f>
        <v>5.26225720886455E-9</v>
      </c>
      <c r="E693" s="7" t="s">
        <v>20</v>
      </c>
      <c r="H693" s="12"/>
      <c r="I693" s="12"/>
      <c r="J693" s="12"/>
      <c r="K693" s="12"/>
      <c r="L693" s="12"/>
      <c r="M693" s="12"/>
      <c r="N693" s="12"/>
    </row>
    <row r="694" spans="1:15" x14ac:dyDescent="0.25">
      <c r="H694" s="12">
        <v>14</v>
      </c>
      <c r="I694" s="12">
        <f>D673/H694</f>
        <v>3.15</v>
      </c>
      <c r="J694" s="12">
        <f t="shared" si="117"/>
        <v>138.91499999999999</v>
      </c>
      <c r="K694" s="12">
        <f t="shared" si="118"/>
        <v>69.457499999999996</v>
      </c>
      <c r="L694" s="12">
        <f>D671/H694</f>
        <v>2.5285714285714289</v>
      </c>
      <c r="M694" s="12">
        <f>D671*D671/H694</f>
        <v>89.511428571428596</v>
      </c>
      <c r="N694" s="12">
        <f t="shared" si="119"/>
        <v>44.755714285714298</v>
      </c>
      <c r="O694" t="s">
        <v>490</v>
      </c>
    </row>
    <row r="695" spans="1:15" x14ac:dyDescent="0.25">
      <c r="A695" s="69" t="s">
        <v>568</v>
      </c>
      <c r="B695" t="s">
        <v>553</v>
      </c>
      <c r="C695" t="s">
        <v>552</v>
      </c>
      <c r="D695">
        <v>3.3</v>
      </c>
      <c r="E695" s="7" t="s">
        <v>18</v>
      </c>
    </row>
    <row r="696" spans="1:15" x14ac:dyDescent="0.25">
      <c r="A696" s="69"/>
      <c r="B696" t="s">
        <v>555</v>
      </c>
      <c r="C696" t="s">
        <v>556</v>
      </c>
      <c r="D696">
        <f>2000</f>
        <v>2000</v>
      </c>
      <c r="E696" s="7" t="s">
        <v>21</v>
      </c>
    </row>
    <row r="697" spans="1:15" x14ac:dyDescent="0.25">
      <c r="A697" s="69"/>
      <c r="B697" t="s">
        <v>554</v>
      </c>
      <c r="C697" t="s">
        <v>557</v>
      </c>
      <c r="D697">
        <f>((D695/1.23)-1)*D696</f>
        <v>3365.8536585365846</v>
      </c>
      <c r="E697" s="7" t="s">
        <v>21</v>
      </c>
    </row>
    <row r="698" spans="1:15" x14ac:dyDescent="0.25">
      <c r="B698" t="s">
        <v>566</v>
      </c>
      <c r="C698" t="s">
        <v>572</v>
      </c>
      <c r="D698">
        <f>1/(31000*D697)</f>
        <v>9.583917718560077E-9</v>
      </c>
      <c r="E698" s="7" t="s">
        <v>20</v>
      </c>
    </row>
    <row r="700" spans="1:15" x14ac:dyDescent="0.25">
      <c r="A700" s="69" t="s">
        <v>571</v>
      </c>
      <c r="B700" t="s">
        <v>553</v>
      </c>
      <c r="C700" t="s">
        <v>552</v>
      </c>
      <c r="D700">
        <v>10</v>
      </c>
      <c r="E700" s="7" t="s">
        <v>18</v>
      </c>
    </row>
    <row r="701" spans="1:15" x14ac:dyDescent="0.25">
      <c r="A701" s="69"/>
      <c r="B701" t="s">
        <v>555</v>
      </c>
      <c r="C701" t="s">
        <v>556</v>
      </c>
      <c r="D701">
        <f>2000</f>
        <v>2000</v>
      </c>
      <c r="E701" s="7" t="s">
        <v>21</v>
      </c>
    </row>
    <row r="702" spans="1:15" x14ac:dyDescent="0.25">
      <c r="A702" s="69"/>
      <c r="B702" t="s">
        <v>554</v>
      </c>
      <c r="C702" t="s">
        <v>557</v>
      </c>
      <c r="D702">
        <f>((D700/1.23)-1)*D701</f>
        <v>14260.162601626018</v>
      </c>
      <c r="E702" s="7" t="s">
        <v>21</v>
      </c>
    </row>
    <row r="703" spans="1:15" x14ac:dyDescent="0.25">
      <c r="B703" t="s">
        <v>566</v>
      </c>
      <c r="C703" t="s">
        <v>572</v>
      </c>
      <c r="D703">
        <f>1/(31000*D702)</f>
        <v>2.2621105675506673E-9</v>
      </c>
      <c r="E703" s="7" t="s">
        <v>20</v>
      </c>
    </row>
    <row r="705" spans="1:5" x14ac:dyDescent="0.25">
      <c r="A705" s="69" t="s">
        <v>569</v>
      </c>
      <c r="B705" t="s">
        <v>559</v>
      </c>
      <c r="C705" t="s">
        <v>558</v>
      </c>
      <c r="D705">
        <v>2</v>
      </c>
      <c r="E705" s="7" t="s">
        <v>18</v>
      </c>
    </row>
    <row r="706" spans="1:5" x14ac:dyDescent="0.25">
      <c r="A706" s="69"/>
      <c r="B706" t="s">
        <v>560</v>
      </c>
      <c r="C706" t="s">
        <v>561</v>
      </c>
      <c r="D706">
        <v>30</v>
      </c>
      <c r="E706" s="7" t="s">
        <v>18</v>
      </c>
    </row>
    <row r="707" spans="1:5" x14ac:dyDescent="0.25">
      <c r="A707" s="69"/>
      <c r="B707" t="s">
        <v>555</v>
      </c>
      <c r="C707" t="s">
        <v>556</v>
      </c>
      <c r="D707">
        <f>2000</f>
        <v>2000</v>
      </c>
      <c r="E707" s="7" t="s">
        <v>21</v>
      </c>
    </row>
    <row r="708" spans="1:5" x14ac:dyDescent="0.25">
      <c r="A708" s="69"/>
      <c r="B708" t="s">
        <v>565</v>
      </c>
      <c r="C708" t="s">
        <v>562</v>
      </c>
      <c r="D708">
        <f>((D705/1.23)-1)*D707</f>
        <v>1252.0325203252032</v>
      </c>
      <c r="E708" s="7" t="s">
        <v>21</v>
      </c>
    </row>
    <row r="709" spans="1:5" x14ac:dyDescent="0.25">
      <c r="A709" s="69"/>
      <c r="B709" t="s">
        <v>564</v>
      </c>
      <c r="C709" t="s">
        <v>563</v>
      </c>
      <c r="D709">
        <f>((D706/1.23)-1)*D707</f>
        <v>46780.487804878052</v>
      </c>
      <c r="E709" s="7" t="s">
        <v>21</v>
      </c>
    </row>
    <row r="710" spans="1:5" x14ac:dyDescent="0.25">
      <c r="A710" s="69"/>
      <c r="B710" t="s">
        <v>566</v>
      </c>
      <c r="C710" t="s">
        <v>572</v>
      </c>
      <c r="D710">
        <f>1/(31000*D708)</f>
        <v>2.5764558022622537E-8</v>
      </c>
      <c r="E710" s="7" t="s">
        <v>20</v>
      </c>
    </row>
    <row r="712" spans="1:5" x14ac:dyDescent="0.25">
      <c r="A712" s="69" t="s">
        <v>570</v>
      </c>
      <c r="B712" t="s">
        <v>559</v>
      </c>
      <c r="C712" t="s">
        <v>558</v>
      </c>
      <c r="D712">
        <v>9</v>
      </c>
      <c r="E712" s="7" t="s">
        <v>18</v>
      </c>
    </row>
    <row r="713" spans="1:5" x14ac:dyDescent="0.25">
      <c r="A713" s="69"/>
      <c r="B713" t="s">
        <v>560</v>
      </c>
      <c r="C713" t="s">
        <v>561</v>
      </c>
      <c r="D713">
        <v>20</v>
      </c>
      <c r="E713" s="7" t="s">
        <v>18</v>
      </c>
    </row>
    <row r="714" spans="1:5" x14ac:dyDescent="0.25">
      <c r="A714" s="69"/>
      <c r="B714" t="s">
        <v>555</v>
      </c>
      <c r="C714" t="s">
        <v>556</v>
      </c>
      <c r="D714">
        <f>2000</f>
        <v>2000</v>
      </c>
      <c r="E714" s="7" t="s">
        <v>21</v>
      </c>
    </row>
    <row r="715" spans="1:5" x14ac:dyDescent="0.25">
      <c r="A715" s="69"/>
      <c r="B715" t="s">
        <v>565</v>
      </c>
      <c r="C715" t="s">
        <v>562</v>
      </c>
      <c r="D715">
        <f>((D712/1.23)-1)*D714</f>
        <v>12634.146341463415</v>
      </c>
      <c r="E715" s="7" t="s">
        <v>21</v>
      </c>
    </row>
    <row r="716" spans="1:5" x14ac:dyDescent="0.25">
      <c r="A716" s="69"/>
      <c r="B716" t="s">
        <v>564</v>
      </c>
      <c r="C716" t="s">
        <v>563</v>
      </c>
      <c r="D716">
        <f>((D713/1.23)-1)*D714</f>
        <v>30520.325203252036</v>
      </c>
      <c r="E716" s="7" t="s">
        <v>21</v>
      </c>
    </row>
    <row r="717" spans="1:5" x14ac:dyDescent="0.25">
      <c r="A717" s="69"/>
      <c r="B717" t="s">
        <v>566</v>
      </c>
      <c r="C717" t="s">
        <v>572</v>
      </c>
      <c r="D717">
        <f>1/(31000*D715)</f>
        <v>2.5532444887283596E-9</v>
      </c>
      <c r="E717" s="7" t="s">
        <v>20</v>
      </c>
    </row>
    <row r="726" spans="1:15" x14ac:dyDescent="0.25">
      <c r="A726" s="68" t="s">
        <v>739</v>
      </c>
      <c r="C726" t="s">
        <v>751</v>
      </c>
      <c r="D726" t="s">
        <v>752</v>
      </c>
      <c r="H726" t="s">
        <v>753</v>
      </c>
    </row>
    <row r="727" spans="1:15" x14ac:dyDescent="0.25">
      <c r="A727" s="68"/>
      <c r="B727" t="s">
        <v>740</v>
      </c>
      <c r="D727">
        <f>PI()*0.0000004</f>
        <v>1.2566370614359173E-6</v>
      </c>
      <c r="E727" s="7" t="s">
        <v>180</v>
      </c>
      <c r="H727">
        <f t="shared" ref="H727:O727" si="120">$D727</f>
        <v>1.2566370614359173E-6</v>
      </c>
      <c r="I727">
        <f t="shared" si="120"/>
        <v>1.2566370614359173E-6</v>
      </c>
      <c r="J727">
        <f t="shared" si="120"/>
        <v>1.2566370614359173E-6</v>
      </c>
      <c r="K727">
        <f t="shared" si="120"/>
        <v>1.2566370614359173E-6</v>
      </c>
      <c r="L727">
        <f t="shared" si="120"/>
        <v>1.2566370614359173E-6</v>
      </c>
      <c r="M727">
        <f t="shared" si="120"/>
        <v>1.2566370614359173E-6</v>
      </c>
      <c r="N727">
        <f t="shared" si="120"/>
        <v>1.2566370614359173E-6</v>
      </c>
      <c r="O727">
        <f t="shared" si="120"/>
        <v>1.2566370614359173E-6</v>
      </c>
    </row>
    <row r="728" spans="1:15" x14ac:dyDescent="0.25">
      <c r="A728" s="68"/>
      <c r="B728" t="s">
        <v>741</v>
      </c>
      <c r="C728" t="s">
        <v>787</v>
      </c>
      <c r="D728">
        <v>6.0000000000000001E-3</v>
      </c>
      <c r="E728" s="7" t="s">
        <v>180</v>
      </c>
    </row>
    <row r="729" spans="1:15" x14ac:dyDescent="0.25">
      <c r="A729" s="68"/>
      <c r="B729" t="s">
        <v>112</v>
      </c>
      <c r="C729" t="s">
        <v>786</v>
      </c>
      <c r="D729">
        <v>0.04</v>
      </c>
      <c r="E729" s="7" t="s">
        <v>180</v>
      </c>
    </row>
    <row r="730" spans="1:15" x14ac:dyDescent="0.25">
      <c r="A730" s="68"/>
      <c r="C730" t="s">
        <v>788</v>
      </c>
      <c r="D730">
        <f>2*D728/D729</f>
        <v>0.3</v>
      </c>
      <c r="E730" s="7"/>
    </row>
    <row r="731" spans="1:15" x14ac:dyDescent="0.25">
      <c r="A731" s="68"/>
      <c r="C731" t="s">
        <v>789</v>
      </c>
      <c r="D731">
        <f>1/D730</f>
        <v>3.3333333333333335</v>
      </c>
      <c r="E731" s="7"/>
    </row>
    <row r="732" spans="1:15" x14ac:dyDescent="0.25">
      <c r="A732" s="68"/>
      <c r="C732" t="s">
        <v>790</v>
      </c>
      <c r="D732">
        <f>POWER(D730, 2)</f>
        <v>0.09</v>
      </c>
      <c r="E732" s="7"/>
    </row>
    <row r="733" spans="1:15" x14ac:dyDescent="0.25">
      <c r="A733" s="68"/>
      <c r="C733" t="s">
        <v>791</v>
      </c>
      <c r="D733">
        <f>1/D732</f>
        <v>11.111111111111111</v>
      </c>
      <c r="E733" s="7"/>
    </row>
    <row r="734" spans="1:15" x14ac:dyDescent="0.25">
      <c r="A734" s="68"/>
      <c r="E734" s="7"/>
    </row>
    <row r="735" spans="1:15" x14ac:dyDescent="0.25">
      <c r="A735" s="68"/>
      <c r="B735" t="s">
        <v>743</v>
      </c>
      <c r="C735" t="s">
        <v>744</v>
      </c>
      <c r="D735">
        <f>(D727/(4*PI()))*(LN(D730+SQRT(1+D732)) - SQRT(1+D733)+D731)</f>
        <v>1.4890421125990595E-8</v>
      </c>
      <c r="E735" t="s">
        <v>131</v>
      </c>
      <c r="H735">
        <f t="shared" ref="H735:O735" si="121">(H727/(4*PI()))*(LN(H730+SQRT(1+H732)) - SQRT(1+H733)+H731)</f>
        <v>-1.0000000000000001E-7</v>
      </c>
      <c r="I735">
        <f t="shared" si="121"/>
        <v>-1.0000000000000001E-7</v>
      </c>
      <c r="J735">
        <f t="shared" si="121"/>
        <v>-1.0000000000000001E-7</v>
      </c>
      <c r="K735">
        <f t="shared" si="121"/>
        <v>-1.0000000000000001E-7</v>
      </c>
      <c r="L735">
        <f t="shared" si="121"/>
        <v>-1.0000000000000001E-7</v>
      </c>
      <c r="M735">
        <f t="shared" si="121"/>
        <v>-1.0000000000000001E-7</v>
      </c>
      <c r="N735">
        <f t="shared" si="121"/>
        <v>-1.0000000000000001E-7</v>
      </c>
      <c r="O735">
        <f t="shared" si="121"/>
        <v>-1.0000000000000001E-7</v>
      </c>
    </row>
    <row r="736" spans="1:15" x14ac:dyDescent="0.25">
      <c r="A736" s="68"/>
      <c r="B736" t="s">
        <v>745</v>
      </c>
      <c r="C736" t="s">
        <v>746</v>
      </c>
      <c r="D736">
        <f>22*16000*4</f>
        <v>1408000</v>
      </c>
    </row>
    <row r="737" spans="1:15" x14ac:dyDescent="0.25">
      <c r="A737" s="68"/>
      <c r="B737" s="42" t="s">
        <v>749</v>
      </c>
      <c r="C737" t="s">
        <v>750</v>
      </c>
      <c r="D737">
        <v>0</v>
      </c>
      <c r="E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 s="68"/>
      <c r="B738" t="s">
        <v>748</v>
      </c>
      <c r="C738" t="s">
        <v>747</v>
      </c>
      <c r="D738">
        <f>D736*COS(D737)*D735</f>
        <v>2.096571294539476E-2</v>
      </c>
      <c r="E738" t="e">
        <f>E736*COS(E737)*E735</f>
        <v>#VALUE!</v>
      </c>
      <c r="H738">
        <f t="shared" ref="H738:O738" si="122">H736*COS(H737)*H735</f>
        <v>0</v>
      </c>
      <c r="I738">
        <f t="shared" si="122"/>
        <v>0</v>
      </c>
      <c r="J738">
        <f t="shared" si="122"/>
        <v>0</v>
      </c>
      <c r="K738">
        <f t="shared" si="122"/>
        <v>0</v>
      </c>
      <c r="L738">
        <f t="shared" si="122"/>
        <v>0</v>
      </c>
      <c r="M738">
        <f t="shared" si="122"/>
        <v>0</v>
      </c>
      <c r="N738">
        <f t="shared" si="122"/>
        <v>0</v>
      </c>
      <c r="O738">
        <f t="shared" si="122"/>
        <v>0</v>
      </c>
    </row>
    <row r="739" spans="1:15" x14ac:dyDescent="0.25">
      <c r="A739" s="24"/>
    </row>
    <row r="740" spans="1:15" x14ac:dyDescent="0.25">
      <c r="A740" s="68" t="s">
        <v>761</v>
      </c>
      <c r="B740" t="s">
        <v>762</v>
      </c>
      <c r="C740" t="s">
        <v>763</v>
      </c>
      <c r="D740">
        <v>1.4999999999999999E-2</v>
      </c>
      <c r="E740" t="s">
        <v>180</v>
      </c>
    </row>
    <row r="741" spans="1:15" x14ac:dyDescent="0.25">
      <c r="A741" s="68"/>
      <c r="B741" t="s">
        <v>742</v>
      </c>
      <c r="C741" t="s">
        <v>764</v>
      </c>
      <c r="D741">
        <v>1E-3</v>
      </c>
      <c r="E741" t="s">
        <v>180</v>
      </c>
    </row>
    <row r="742" spans="1:15" x14ac:dyDescent="0.25">
      <c r="A742" s="68"/>
      <c r="B742" t="s">
        <v>765</v>
      </c>
      <c r="C742" t="s">
        <v>766</v>
      </c>
      <c r="D742">
        <v>1.6000000000000001E-3</v>
      </c>
      <c r="E742" t="s">
        <v>180</v>
      </c>
    </row>
    <row r="743" spans="1:15" x14ac:dyDescent="0.25">
      <c r="A743" s="68"/>
      <c r="B743" t="s">
        <v>767</v>
      </c>
      <c r="D743">
        <f>0.00000000508*D740*(LN(2*D740/(D741+D742))+0.5+(0.2235*(D741+D742)/D740))</f>
        <v>2.2741325637156556E-10</v>
      </c>
      <c r="E743" t="s">
        <v>131</v>
      </c>
    </row>
    <row r="744" spans="1:15" x14ac:dyDescent="0.25">
      <c r="A744" s="68"/>
    </row>
    <row r="745" spans="1:15" x14ac:dyDescent="0.25">
      <c r="A745" s="68"/>
    </row>
    <row r="746" spans="1:15" x14ac:dyDescent="0.25">
      <c r="A746" s="68"/>
    </row>
    <row r="748" spans="1:15" x14ac:dyDescent="0.25">
      <c r="A748" s="68" t="s">
        <v>792</v>
      </c>
      <c r="B748" t="s">
        <v>793</v>
      </c>
      <c r="C748" t="s">
        <v>793</v>
      </c>
      <c r="D748" s="34" t="b">
        <v>0</v>
      </c>
    </row>
    <row r="749" spans="1:15" x14ac:dyDescent="0.25">
      <c r="A749" s="68"/>
      <c r="B749" t="s">
        <v>304</v>
      </c>
      <c r="D749" s="18">
        <f>IF(D748, 0.024, 0.048)</f>
        <v>4.8000000000000001E-2</v>
      </c>
    </row>
    <row r="750" spans="1:15" x14ac:dyDescent="0.25">
      <c r="A750" s="68"/>
      <c r="B750" t="s">
        <v>794</v>
      </c>
      <c r="C750" t="s">
        <v>799</v>
      </c>
      <c r="D750" s="34">
        <f>22/SQRT(3)</f>
        <v>12.701705922171767</v>
      </c>
      <c r="E750" t="s">
        <v>17</v>
      </c>
    </row>
    <row r="751" spans="1:15" x14ac:dyDescent="0.25">
      <c r="A751" s="68"/>
      <c r="B751" s="42" t="s">
        <v>409</v>
      </c>
      <c r="C751" t="s">
        <v>795</v>
      </c>
      <c r="D751">
        <v>10</v>
      </c>
      <c r="E751" t="s">
        <v>221</v>
      </c>
    </row>
    <row r="752" spans="1:15" x14ac:dyDescent="0.25">
      <c r="A752" s="68"/>
      <c r="C752" t="s">
        <v>798</v>
      </c>
      <c r="D752">
        <v>2</v>
      </c>
    </row>
    <row r="753" spans="1:5" x14ac:dyDescent="0.25">
      <c r="A753" s="68"/>
      <c r="B753" t="s">
        <v>17</v>
      </c>
      <c r="C753" t="s">
        <v>796</v>
      </c>
      <c r="D753">
        <f>POWER(D750/(D749*POWER(D751, 0.44)), (1/0.725))</f>
        <v>542.8119517712156</v>
      </c>
      <c r="E753" t="s">
        <v>797</v>
      </c>
    </row>
    <row r="754" spans="1:5" x14ac:dyDescent="0.25">
      <c r="A754" s="68"/>
      <c r="C754" t="s">
        <v>800</v>
      </c>
      <c r="D754">
        <f>D753/(D752*1.378*39.37)</f>
        <v>5.0027036102653044</v>
      </c>
      <c r="E754" t="s">
        <v>110</v>
      </c>
    </row>
  </sheetData>
  <mergeCells count="29">
    <mergeCell ref="O115:S115"/>
    <mergeCell ref="A21:A28"/>
    <mergeCell ref="A30:A53"/>
    <mergeCell ref="A83:A111"/>
    <mergeCell ref="A261:A297"/>
    <mergeCell ref="A63:A80"/>
    <mergeCell ref="A624:A636"/>
    <mergeCell ref="A299:A407"/>
    <mergeCell ref="A188:A212"/>
    <mergeCell ref="A159:A185"/>
    <mergeCell ref="A114:A148"/>
    <mergeCell ref="A150:A157"/>
    <mergeCell ref="A214:A232"/>
    <mergeCell ref="A740:A746"/>
    <mergeCell ref="A748:A754"/>
    <mergeCell ref="A672:A686"/>
    <mergeCell ref="A409:A422"/>
    <mergeCell ref="A552:A564"/>
    <mergeCell ref="A466:A537"/>
    <mergeCell ref="A690:A692"/>
    <mergeCell ref="A695:A697"/>
    <mergeCell ref="A700:A702"/>
    <mergeCell ref="A705:A710"/>
    <mergeCell ref="A726:A738"/>
    <mergeCell ref="A712:A717"/>
    <mergeCell ref="A638:A663"/>
    <mergeCell ref="A570:A598"/>
    <mergeCell ref="A424:A464"/>
    <mergeCell ref="A600:A622"/>
  </mergeCells>
  <conditionalFormatting sqref="D668">
    <cfRule type="cellIs" dxfId="13" priority="19" operator="notEqual">
      <formula>TRUE</formula>
    </cfRule>
    <cfRule type="cellIs" dxfId="12" priority="20" operator="equal">
      <formula>TRUE</formula>
    </cfRule>
  </conditionalFormatting>
  <conditionalFormatting sqref="D51">
    <cfRule type="cellIs" dxfId="11" priority="17" operator="equal">
      <formula>TRUE</formula>
    </cfRule>
    <cfRule type="cellIs" dxfId="10" priority="18" operator="notEqual">
      <formula>TRUE</formula>
    </cfRule>
  </conditionalFormatting>
  <conditionalFormatting sqref="D15">
    <cfRule type="cellIs" dxfId="9" priority="15" operator="notEqual">
      <formula>TRUE</formula>
    </cfRule>
    <cfRule type="cellIs" dxfId="8" priority="16" operator="equal">
      <formula>TRUE</formula>
    </cfRule>
  </conditionalFormatting>
  <conditionalFormatting sqref="D80">
    <cfRule type="cellIs" dxfId="7" priority="13" operator="notEqual">
      <formula>TRUE</formula>
    </cfRule>
    <cfRule type="cellIs" dxfId="6" priority="14" operator="equal">
      <formula>TRUE</formula>
    </cfRule>
  </conditionalFormatting>
  <conditionalFormatting sqref="D53">
    <cfRule type="cellIs" dxfId="5" priority="7" operator="equal">
      <formula>TRUE</formula>
    </cfRule>
    <cfRule type="cellIs" dxfId="4" priority="8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0" sqref="B20:D20"/>
    </sheetView>
  </sheetViews>
  <sheetFormatPr defaultRowHeight="15" x14ac:dyDescent="0.25"/>
  <cols>
    <col min="2" max="2" width="30.85546875" customWidth="1"/>
  </cols>
  <sheetData>
    <row r="2" spans="2:4" x14ac:dyDescent="0.25">
      <c r="B2" t="s">
        <v>101</v>
      </c>
      <c r="C2" t="s">
        <v>46</v>
      </c>
      <c r="D2" t="s">
        <v>16</v>
      </c>
    </row>
    <row r="3" spans="2:4" x14ac:dyDescent="0.25">
      <c r="B3" t="s">
        <v>107</v>
      </c>
      <c r="C3">
        <v>0.02</v>
      </c>
    </row>
    <row r="4" spans="2:4" x14ac:dyDescent="0.25">
      <c r="B4" t="s">
        <v>108</v>
      </c>
      <c r="C4">
        <v>25.4</v>
      </c>
    </row>
    <row r="5" spans="2:4" x14ac:dyDescent="0.25">
      <c r="B5" t="s">
        <v>109</v>
      </c>
      <c r="C5">
        <f>0.6*C4</f>
        <v>15.239999999999998</v>
      </c>
      <c r="D5" t="s">
        <v>110</v>
      </c>
    </row>
    <row r="6" spans="2:4" x14ac:dyDescent="0.25">
      <c r="B6" t="s">
        <v>111</v>
      </c>
      <c r="C6">
        <f>C5*(1+C3)</f>
        <v>15.544799999999999</v>
      </c>
      <c r="D6" t="s">
        <v>110</v>
      </c>
    </row>
    <row r="7" spans="2:4" x14ac:dyDescent="0.25">
      <c r="B7" t="s">
        <v>112</v>
      </c>
      <c r="C7">
        <f>0.032*C4</f>
        <v>0.81279999999999997</v>
      </c>
      <c r="D7" t="s">
        <v>110</v>
      </c>
    </row>
    <row r="8" spans="2:4" x14ac:dyDescent="0.25">
      <c r="B8" t="s">
        <v>113</v>
      </c>
      <c r="C8">
        <f>C7*(1+C3)</f>
        <v>0.82905600000000002</v>
      </c>
      <c r="D8" t="s">
        <v>110</v>
      </c>
    </row>
    <row r="9" spans="2:4" x14ac:dyDescent="0.25">
      <c r="B9" t="s">
        <v>114</v>
      </c>
      <c r="C9">
        <f>0.17*C4</f>
        <v>4.3180000000000005</v>
      </c>
      <c r="D9" t="s">
        <v>110</v>
      </c>
    </row>
    <row r="10" spans="2:4" x14ac:dyDescent="0.25">
      <c r="B10" s="11" t="s">
        <v>31</v>
      </c>
      <c r="C10" s="11">
        <f>C9*(1+C3)</f>
        <v>4.4043600000000005</v>
      </c>
      <c r="D10" s="11" t="s">
        <v>110</v>
      </c>
    </row>
    <row r="11" spans="2:4" x14ac:dyDescent="0.25">
      <c r="B11" s="9" t="s">
        <v>115</v>
      </c>
      <c r="C11" s="9">
        <v>5</v>
      </c>
      <c r="D11" s="9" t="s">
        <v>110</v>
      </c>
    </row>
    <row r="12" spans="2:4" x14ac:dyDescent="0.25">
      <c r="B12" t="s">
        <v>116</v>
      </c>
      <c r="C12">
        <v>5</v>
      </c>
      <c r="D12" t="s">
        <v>110</v>
      </c>
    </row>
    <row r="13" spans="2:4" x14ac:dyDescent="0.25">
      <c r="B13" s="10" t="s">
        <v>117</v>
      </c>
      <c r="C13" s="10">
        <f>C6+(2*C12)</f>
        <v>25.544799999999999</v>
      </c>
      <c r="D13" s="10" t="s">
        <v>110</v>
      </c>
    </row>
    <row r="14" spans="2:4" x14ac:dyDescent="0.25">
      <c r="B14" t="s">
        <v>118</v>
      </c>
      <c r="C14">
        <f>C7+0.2</f>
        <v>1.0127999999999999</v>
      </c>
      <c r="D14" t="s">
        <v>110</v>
      </c>
    </row>
    <row r="15" spans="2:4" x14ac:dyDescent="0.25">
      <c r="B15" t="s">
        <v>119</v>
      </c>
      <c r="C15">
        <f>C8+0.3</f>
        <v>1.1290560000000001</v>
      </c>
      <c r="D15" t="s">
        <v>110</v>
      </c>
    </row>
    <row r="16" spans="2:4" x14ac:dyDescent="0.25">
      <c r="B16" s="10" t="s">
        <v>123</v>
      </c>
      <c r="C16" s="10">
        <v>1.1000000000000001</v>
      </c>
      <c r="D16" s="10" t="s">
        <v>110</v>
      </c>
    </row>
    <row r="17" spans="2:4" x14ac:dyDescent="0.25">
      <c r="B17" t="s">
        <v>120</v>
      </c>
      <c r="C17">
        <f>C16+(2*0.3)</f>
        <v>1.7000000000000002</v>
      </c>
      <c r="D17" t="s">
        <v>110</v>
      </c>
    </row>
    <row r="18" spans="2:4" x14ac:dyDescent="0.25">
      <c r="B18" t="s">
        <v>121</v>
      </c>
      <c r="C18">
        <f>C16+(2*0.5)</f>
        <v>2.1</v>
      </c>
      <c r="D18" t="s">
        <v>110</v>
      </c>
    </row>
    <row r="19" spans="2:4" x14ac:dyDescent="0.25">
      <c r="B19" t="s">
        <v>122</v>
      </c>
      <c r="C19">
        <f>C16+(2*0.7)</f>
        <v>2.5</v>
      </c>
      <c r="D19" t="s">
        <v>110</v>
      </c>
    </row>
    <row r="20" spans="2:4" x14ac:dyDescent="0.25">
      <c r="B20" s="10" t="s">
        <v>124</v>
      </c>
      <c r="C20" s="10">
        <v>2.5</v>
      </c>
      <c r="D20" s="10" t="s">
        <v>110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opLeftCell="B1" zoomScale="85" zoomScaleNormal="85" workbookViewId="0">
      <selection activeCell="F23" sqref="F23"/>
    </sheetView>
  </sheetViews>
  <sheetFormatPr defaultRowHeight="15" x14ac:dyDescent="0.25"/>
  <cols>
    <col min="3" max="3" width="36.140625" customWidth="1"/>
  </cols>
  <sheetData>
    <row r="1" spans="1:2" x14ac:dyDescent="0.25">
      <c r="A1" s="71" t="s">
        <v>126</v>
      </c>
      <c r="B1" s="71"/>
    </row>
    <row r="18" spans="3:5" x14ac:dyDescent="0.25">
      <c r="C18" s="72" t="s">
        <v>138</v>
      </c>
      <c r="D18" s="73"/>
      <c r="E18" s="74"/>
    </row>
    <row r="19" spans="3:5" x14ac:dyDescent="0.25">
      <c r="C19" s="12" t="s">
        <v>20</v>
      </c>
      <c r="D19" s="12">
        <v>12</v>
      </c>
      <c r="E19" s="12" t="s">
        <v>110</v>
      </c>
    </row>
    <row r="20" spans="3:5" x14ac:dyDescent="0.25">
      <c r="C20" s="12" t="s">
        <v>127</v>
      </c>
      <c r="D20" s="12">
        <f>D19+0.5</f>
        <v>12.5</v>
      </c>
      <c r="E20" s="12" t="s">
        <v>110</v>
      </c>
    </row>
    <row r="21" spans="3:5" x14ac:dyDescent="0.25">
      <c r="C21" s="12" t="s">
        <v>31</v>
      </c>
      <c r="D21" s="12">
        <v>19.399999999999999</v>
      </c>
      <c r="E21" s="12" t="s">
        <v>110</v>
      </c>
    </row>
    <row r="22" spans="3:5" x14ac:dyDescent="0.25">
      <c r="C22" s="12" t="s">
        <v>125</v>
      </c>
      <c r="D22" s="12">
        <v>7.9</v>
      </c>
      <c r="E22" s="12" t="s">
        <v>110</v>
      </c>
    </row>
    <row r="23" spans="3:5" x14ac:dyDescent="0.25">
      <c r="C23" s="12" t="s">
        <v>112</v>
      </c>
      <c r="D23" s="12">
        <v>0.8</v>
      </c>
      <c r="E23" s="12" t="s">
        <v>110</v>
      </c>
    </row>
    <row r="24" spans="3:5" x14ac:dyDescent="0.25">
      <c r="C24" s="12" t="s">
        <v>118</v>
      </c>
      <c r="D24" s="12">
        <f>D23+0.2</f>
        <v>1</v>
      </c>
      <c r="E24" s="12" t="s">
        <v>110</v>
      </c>
    </row>
    <row r="25" spans="3:5" x14ac:dyDescent="0.25">
      <c r="C25" s="12" t="s">
        <v>119</v>
      </c>
      <c r="D25" s="12">
        <f>D23+0.3</f>
        <v>1.1000000000000001</v>
      </c>
      <c r="E25" s="12" t="s">
        <v>110</v>
      </c>
    </row>
    <row r="26" spans="3:5" x14ac:dyDescent="0.25">
      <c r="C26" s="14" t="s">
        <v>123</v>
      </c>
      <c r="D26" s="14">
        <v>1.1000000000000001</v>
      </c>
      <c r="E26" s="14" t="s">
        <v>110</v>
      </c>
    </row>
    <row r="27" spans="3:5" x14ac:dyDescent="0.25">
      <c r="C27" s="12" t="s">
        <v>120</v>
      </c>
      <c r="D27" s="12">
        <f>D26+(2*0.3)</f>
        <v>1.7000000000000002</v>
      </c>
      <c r="E27" s="12" t="s">
        <v>110</v>
      </c>
    </row>
    <row r="28" spans="3:5" x14ac:dyDescent="0.25">
      <c r="C28" s="12" t="s">
        <v>121</v>
      </c>
      <c r="D28" s="12">
        <f>D26+(2*0.5)</f>
        <v>2.1</v>
      </c>
      <c r="E28" s="12" t="s">
        <v>110</v>
      </c>
    </row>
    <row r="29" spans="3:5" x14ac:dyDescent="0.25">
      <c r="C29" s="12" t="s">
        <v>122</v>
      </c>
      <c r="D29" s="12">
        <f>D26+(2*0.7)</f>
        <v>2.5</v>
      </c>
      <c r="E29" s="12" t="s">
        <v>110</v>
      </c>
    </row>
    <row r="30" spans="3:5" x14ac:dyDescent="0.25">
      <c r="C30" s="14" t="s">
        <v>124</v>
      </c>
      <c r="D30" s="14">
        <v>2.5</v>
      </c>
      <c r="E30" s="14" t="s">
        <v>110</v>
      </c>
    </row>
    <row r="31" spans="3:5" x14ac:dyDescent="0.25">
      <c r="C31" s="12" t="s">
        <v>128</v>
      </c>
      <c r="D31" s="12">
        <v>1</v>
      </c>
      <c r="E31" s="12" t="s">
        <v>110</v>
      </c>
    </row>
    <row r="32" spans="3:5" x14ac:dyDescent="0.25">
      <c r="C32" s="12" t="s">
        <v>129</v>
      </c>
      <c r="D32" s="12">
        <f>CEILING((2*D31)+D21, 1)</f>
        <v>22</v>
      </c>
      <c r="E32" s="12" t="s">
        <v>110</v>
      </c>
    </row>
    <row r="33" spans="3:5" x14ac:dyDescent="0.25">
      <c r="C33" s="12" t="s">
        <v>130</v>
      </c>
      <c r="D33" s="12">
        <f>CEILING((2*D31)+D22, 1)</f>
        <v>10</v>
      </c>
      <c r="E33" s="12" t="s">
        <v>110</v>
      </c>
    </row>
  </sheetData>
  <mergeCells count="2">
    <mergeCell ref="A1:B1"/>
    <mergeCell ref="C18:E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F34" sqref="F34"/>
    </sheetView>
  </sheetViews>
  <sheetFormatPr defaultRowHeight="15" x14ac:dyDescent="0.25"/>
  <cols>
    <col min="2" max="2" width="33.42578125" customWidth="1"/>
  </cols>
  <sheetData>
    <row r="1" spans="1:2" x14ac:dyDescent="0.25">
      <c r="A1" s="71" t="s">
        <v>137</v>
      </c>
      <c r="B1" s="71"/>
    </row>
    <row r="17" spans="1:4" x14ac:dyDescent="0.25">
      <c r="B17" s="72" t="s">
        <v>138</v>
      </c>
      <c r="C17" s="73"/>
      <c r="D17" s="74"/>
    </row>
    <row r="18" spans="1:4" x14ac:dyDescent="0.25">
      <c r="B18" s="12" t="s">
        <v>133</v>
      </c>
      <c r="C18" s="12">
        <v>8</v>
      </c>
      <c r="D18" s="12" t="s">
        <v>110</v>
      </c>
    </row>
    <row r="19" spans="1:4" x14ac:dyDescent="0.25">
      <c r="B19" s="12" t="s">
        <v>134</v>
      </c>
      <c r="C19" s="12">
        <f>C18+0.5</f>
        <v>8.5</v>
      </c>
      <c r="D19" s="12" t="s">
        <v>110</v>
      </c>
    </row>
    <row r="20" spans="1:4" x14ac:dyDescent="0.25">
      <c r="B20" s="12" t="s">
        <v>109</v>
      </c>
      <c r="C20" s="12">
        <v>10</v>
      </c>
      <c r="D20" s="12" t="s">
        <v>110</v>
      </c>
    </row>
    <row r="21" spans="1:4" x14ac:dyDescent="0.25">
      <c r="A21" s="13"/>
      <c r="B21" s="12" t="s">
        <v>111</v>
      </c>
      <c r="C21" s="12">
        <f>C20+2</f>
        <v>12</v>
      </c>
      <c r="D21" s="12" t="s">
        <v>110</v>
      </c>
    </row>
    <row r="22" spans="1:4" x14ac:dyDescent="0.25">
      <c r="B22" s="12" t="s">
        <v>131</v>
      </c>
      <c r="C22" s="12">
        <v>2</v>
      </c>
      <c r="D22" s="12"/>
    </row>
    <row r="23" spans="1:4" x14ac:dyDescent="0.25">
      <c r="B23" s="12" t="s">
        <v>132</v>
      </c>
      <c r="C23" s="12">
        <f>C22+1</f>
        <v>3</v>
      </c>
      <c r="D23" s="12" t="s">
        <v>110</v>
      </c>
    </row>
    <row r="24" spans="1:4" x14ac:dyDescent="0.25">
      <c r="B24" s="12" t="s">
        <v>112</v>
      </c>
      <c r="C24" s="12">
        <v>0.6</v>
      </c>
      <c r="D24" s="12" t="s">
        <v>110</v>
      </c>
    </row>
    <row r="25" spans="1:4" x14ac:dyDescent="0.25">
      <c r="B25" s="12" t="s">
        <v>113</v>
      </c>
      <c r="C25" s="12">
        <f>C24+0.2</f>
        <v>0.8</v>
      </c>
      <c r="D25" s="12" t="s">
        <v>110</v>
      </c>
    </row>
    <row r="26" spans="1:4" x14ac:dyDescent="0.25">
      <c r="B26" s="12" t="s">
        <v>118</v>
      </c>
      <c r="C26" s="12">
        <f>C25+0.2</f>
        <v>1</v>
      </c>
      <c r="D26" s="12" t="s">
        <v>110</v>
      </c>
    </row>
    <row r="27" spans="1:4" x14ac:dyDescent="0.25">
      <c r="B27" s="12" t="s">
        <v>119</v>
      </c>
      <c r="C27" s="12">
        <f>C25+0.3</f>
        <v>1.1000000000000001</v>
      </c>
      <c r="D27" s="12" t="s">
        <v>110</v>
      </c>
    </row>
    <row r="28" spans="1:4" x14ac:dyDescent="0.25">
      <c r="B28" s="14" t="s">
        <v>123</v>
      </c>
      <c r="C28" s="14">
        <v>1</v>
      </c>
      <c r="D28" s="14" t="s">
        <v>110</v>
      </c>
    </row>
    <row r="29" spans="1:4" x14ac:dyDescent="0.25">
      <c r="B29" s="12" t="s">
        <v>120</v>
      </c>
      <c r="C29" s="12">
        <f>C28+(2*0.3)</f>
        <v>1.6</v>
      </c>
      <c r="D29" s="12" t="s">
        <v>110</v>
      </c>
    </row>
    <row r="30" spans="1:4" x14ac:dyDescent="0.25">
      <c r="B30" s="12" t="s">
        <v>121</v>
      </c>
      <c r="C30" s="12">
        <f>C28+(2*0.5)</f>
        <v>2</v>
      </c>
      <c r="D30" s="12" t="s">
        <v>110</v>
      </c>
    </row>
    <row r="31" spans="1:4" x14ac:dyDescent="0.25">
      <c r="B31" s="12" t="s">
        <v>122</v>
      </c>
      <c r="C31" s="12">
        <f>C28+(2*0.7)</f>
        <v>2.4</v>
      </c>
      <c r="D31" s="12" t="s">
        <v>110</v>
      </c>
    </row>
    <row r="32" spans="1:4" x14ac:dyDescent="0.25">
      <c r="B32" s="14" t="s">
        <v>124</v>
      </c>
      <c r="C32" s="14">
        <v>2.4</v>
      </c>
      <c r="D32" s="14" t="s">
        <v>110</v>
      </c>
    </row>
    <row r="33" spans="2:4" x14ac:dyDescent="0.25">
      <c r="B33" s="12" t="s">
        <v>128</v>
      </c>
      <c r="C33" s="12">
        <v>1</v>
      </c>
      <c r="D33" s="12" t="s">
        <v>110</v>
      </c>
    </row>
    <row r="34" spans="2:4" x14ac:dyDescent="0.25">
      <c r="B34" s="12" t="s">
        <v>129</v>
      </c>
      <c r="C34" s="12">
        <f>CEILING((2*C33)+C21, 1)</f>
        <v>14</v>
      </c>
      <c r="D34" s="12" t="s">
        <v>110</v>
      </c>
    </row>
    <row r="35" spans="2:4" x14ac:dyDescent="0.25">
      <c r="B35" s="12" t="s">
        <v>130</v>
      </c>
      <c r="C35" s="12">
        <f>CEILING((2*C33)+C23, 1)</f>
        <v>5</v>
      </c>
      <c r="D35" s="12" t="s">
        <v>110</v>
      </c>
    </row>
    <row r="36" spans="2:4" x14ac:dyDescent="0.25">
      <c r="B36" s="15" t="s">
        <v>135</v>
      </c>
      <c r="C36" s="15">
        <f>C19</f>
        <v>8.5</v>
      </c>
      <c r="D36" s="15" t="s">
        <v>110</v>
      </c>
    </row>
    <row r="37" spans="2:4" x14ac:dyDescent="0.25">
      <c r="B37" s="16" t="s">
        <v>136</v>
      </c>
      <c r="C37" s="16">
        <f>C36-C32</f>
        <v>6.1</v>
      </c>
      <c r="D37" s="16" t="s">
        <v>110</v>
      </c>
    </row>
  </sheetData>
  <mergeCells count="2">
    <mergeCell ref="B17:D17"/>
    <mergeCell ref="A1:B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opLeftCell="A37" workbookViewId="0">
      <selection activeCell="D20" sqref="D20"/>
    </sheetView>
  </sheetViews>
  <sheetFormatPr defaultRowHeight="15" x14ac:dyDescent="0.25"/>
  <cols>
    <col min="2" max="2" width="33.42578125" customWidth="1"/>
  </cols>
  <sheetData>
    <row r="1" spans="1:2" x14ac:dyDescent="0.25">
      <c r="A1" s="71" t="s">
        <v>143</v>
      </c>
      <c r="B1" s="71"/>
    </row>
    <row r="17" spans="1:4" x14ac:dyDescent="0.25">
      <c r="B17" s="72" t="s">
        <v>138</v>
      </c>
      <c r="C17" s="73"/>
      <c r="D17" s="74"/>
    </row>
    <row r="18" spans="1:4" x14ac:dyDescent="0.25">
      <c r="B18" s="12" t="s">
        <v>133</v>
      </c>
      <c r="C18" s="12">
        <v>46</v>
      </c>
      <c r="D18" s="12" t="s">
        <v>110</v>
      </c>
    </row>
    <row r="19" spans="1:4" x14ac:dyDescent="0.25">
      <c r="B19" s="12" t="s">
        <v>134</v>
      </c>
      <c r="C19" s="12">
        <f>C18+0.5</f>
        <v>46.5</v>
      </c>
      <c r="D19" s="12" t="s">
        <v>110</v>
      </c>
    </row>
    <row r="20" spans="1:4" x14ac:dyDescent="0.25">
      <c r="B20" s="12" t="s">
        <v>109</v>
      </c>
      <c r="C20" s="12">
        <v>50</v>
      </c>
      <c r="D20" s="12" t="s">
        <v>110</v>
      </c>
    </row>
    <row r="21" spans="1:4" x14ac:dyDescent="0.25">
      <c r="A21" s="13"/>
      <c r="B21" s="12" t="s">
        <v>111</v>
      </c>
      <c r="C21" s="12">
        <f>C20+2</f>
        <v>52</v>
      </c>
      <c r="D21" s="12" t="s">
        <v>110</v>
      </c>
    </row>
    <row r="22" spans="1:4" x14ac:dyDescent="0.25">
      <c r="B22" s="12" t="s">
        <v>131</v>
      </c>
      <c r="C22" s="12">
        <v>2</v>
      </c>
      <c r="D22" s="12"/>
    </row>
    <row r="23" spans="1:4" x14ac:dyDescent="0.25">
      <c r="B23" s="12" t="s">
        <v>132</v>
      </c>
      <c r="C23" s="12">
        <f>C22+1</f>
        <v>3</v>
      </c>
      <c r="D23" s="12" t="s">
        <v>110</v>
      </c>
    </row>
    <row r="24" spans="1:4" x14ac:dyDescent="0.25">
      <c r="B24" s="12" t="s">
        <v>112</v>
      </c>
      <c r="C24" s="12">
        <v>0.8</v>
      </c>
      <c r="D24" s="12" t="s">
        <v>110</v>
      </c>
    </row>
    <row r="25" spans="1:4" x14ac:dyDescent="0.25">
      <c r="B25" s="12" t="s">
        <v>113</v>
      </c>
      <c r="C25" s="12">
        <f>C24+0.2</f>
        <v>1</v>
      </c>
      <c r="D25" s="12" t="s">
        <v>110</v>
      </c>
    </row>
    <row r="26" spans="1:4" x14ac:dyDescent="0.25">
      <c r="B26" s="12" t="s">
        <v>118</v>
      </c>
      <c r="C26" s="12">
        <f>C25+0.2</f>
        <v>1.2</v>
      </c>
      <c r="D26" s="12" t="s">
        <v>110</v>
      </c>
    </row>
    <row r="27" spans="1:4" x14ac:dyDescent="0.25">
      <c r="B27" s="12" t="s">
        <v>119</v>
      </c>
      <c r="C27" s="12">
        <f>C25+0.3</f>
        <v>1.3</v>
      </c>
      <c r="D27" s="12" t="s">
        <v>110</v>
      </c>
    </row>
    <row r="28" spans="1:4" x14ac:dyDescent="0.25">
      <c r="B28" s="14" t="s">
        <v>123</v>
      </c>
      <c r="C28" s="14">
        <v>1.2</v>
      </c>
      <c r="D28" s="14" t="s">
        <v>110</v>
      </c>
    </row>
    <row r="29" spans="1:4" x14ac:dyDescent="0.25">
      <c r="B29" s="12" t="s">
        <v>120</v>
      </c>
      <c r="C29" s="12">
        <f>C28+(2*0.3)</f>
        <v>1.7999999999999998</v>
      </c>
      <c r="D29" s="12" t="s">
        <v>110</v>
      </c>
    </row>
    <row r="30" spans="1:4" x14ac:dyDescent="0.25">
      <c r="B30" s="12" t="s">
        <v>121</v>
      </c>
      <c r="C30" s="12">
        <f>C28+(2*0.5)</f>
        <v>2.2000000000000002</v>
      </c>
      <c r="D30" s="12" t="s">
        <v>110</v>
      </c>
    </row>
    <row r="31" spans="1:4" x14ac:dyDescent="0.25">
      <c r="B31" s="12" t="s">
        <v>122</v>
      </c>
      <c r="C31" s="12">
        <f>C28+(2*0.7)</f>
        <v>2.5999999999999996</v>
      </c>
      <c r="D31" s="12" t="s">
        <v>110</v>
      </c>
    </row>
    <row r="32" spans="1:4" x14ac:dyDescent="0.25">
      <c r="B32" s="14" t="s">
        <v>124</v>
      </c>
      <c r="C32" s="14">
        <v>2.6</v>
      </c>
      <c r="D32" s="14" t="s">
        <v>110</v>
      </c>
    </row>
    <row r="33" spans="2:4" x14ac:dyDescent="0.25">
      <c r="B33" s="12" t="s">
        <v>128</v>
      </c>
      <c r="C33" s="12">
        <v>1</v>
      </c>
      <c r="D33" s="12" t="s">
        <v>110</v>
      </c>
    </row>
    <row r="34" spans="2:4" x14ac:dyDescent="0.25">
      <c r="B34" s="12" t="s">
        <v>129</v>
      </c>
      <c r="C34" s="12">
        <f>CEILING((2*C33)+C21, 1)</f>
        <v>54</v>
      </c>
      <c r="D34" s="12" t="s">
        <v>110</v>
      </c>
    </row>
    <row r="35" spans="2:4" x14ac:dyDescent="0.25">
      <c r="B35" s="12" t="s">
        <v>130</v>
      </c>
      <c r="C35" s="12">
        <f>CEILING((2*C33)+C23, 1)</f>
        <v>5</v>
      </c>
      <c r="D35" s="12" t="s">
        <v>110</v>
      </c>
    </row>
    <row r="36" spans="2:4" x14ac:dyDescent="0.25">
      <c r="B36" s="15" t="s">
        <v>135</v>
      </c>
      <c r="C36" s="15">
        <f>C19</f>
        <v>46.5</v>
      </c>
      <c r="D36" s="15" t="s">
        <v>110</v>
      </c>
    </row>
    <row r="37" spans="2:4" x14ac:dyDescent="0.25">
      <c r="B37" s="16" t="s">
        <v>136</v>
      </c>
      <c r="C37" s="16">
        <f>C36-C32</f>
        <v>43.9</v>
      </c>
      <c r="D37" s="16" t="s">
        <v>110</v>
      </c>
    </row>
  </sheetData>
  <mergeCells count="2">
    <mergeCell ref="A1:B1"/>
    <mergeCell ref="B17:D1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S2:U18"/>
  <sheetViews>
    <sheetView topLeftCell="A7" zoomScale="115" zoomScaleNormal="115" workbookViewId="0">
      <selection activeCell="C25" sqref="C25"/>
    </sheetView>
  </sheetViews>
  <sheetFormatPr defaultRowHeight="15" x14ac:dyDescent="0.25"/>
  <sheetData>
    <row r="2" spans="19:20" x14ac:dyDescent="0.25">
      <c r="S2" t="s">
        <v>305</v>
      </c>
      <c r="T2">
        <v>399</v>
      </c>
    </row>
    <row r="3" spans="19:20" x14ac:dyDescent="0.25">
      <c r="S3" t="s">
        <v>313</v>
      </c>
      <c r="T3">
        <v>14000</v>
      </c>
    </row>
    <row r="4" spans="19:20" x14ac:dyDescent="0.25">
      <c r="S4" t="s">
        <v>318</v>
      </c>
      <c r="T4" s="1">
        <v>5.4399999999999996E-6</v>
      </c>
    </row>
    <row r="5" spans="19:20" x14ac:dyDescent="0.25">
      <c r="S5" t="s">
        <v>307</v>
      </c>
      <c r="T5">
        <v>40</v>
      </c>
    </row>
    <row r="6" spans="19:20" x14ac:dyDescent="0.25">
      <c r="S6" t="s">
        <v>308</v>
      </c>
      <c r="T6">
        <v>20</v>
      </c>
    </row>
    <row r="7" spans="19:20" x14ac:dyDescent="0.25">
      <c r="S7" t="s">
        <v>310</v>
      </c>
      <c r="T7">
        <v>1E-4</v>
      </c>
    </row>
    <row r="8" spans="19:20" x14ac:dyDescent="0.25">
      <c r="S8" t="s">
        <v>312</v>
      </c>
      <c r="T8">
        <f>POWER(T4/T7, 0.5)</f>
        <v>0.23323807579381201</v>
      </c>
    </row>
    <row r="9" spans="19:20" x14ac:dyDescent="0.25">
      <c r="S9" t="s">
        <v>311</v>
      </c>
      <c r="T9">
        <v>0.1</v>
      </c>
    </row>
    <row r="10" spans="19:20" x14ac:dyDescent="0.25">
      <c r="S10" t="s">
        <v>320</v>
      </c>
      <c r="T10">
        <f>T9/T12</f>
        <v>2.2471910112359553E-3</v>
      </c>
    </row>
    <row r="11" spans="19:20" x14ac:dyDescent="0.25">
      <c r="S11" t="s">
        <v>306</v>
      </c>
      <c r="T11">
        <f>T9/T12</f>
        <v>2.2471910112359553E-3</v>
      </c>
    </row>
    <row r="12" spans="19:20" x14ac:dyDescent="0.25">
      <c r="S12" t="s">
        <v>309</v>
      </c>
      <c r="T12">
        <v>44.5</v>
      </c>
    </row>
    <row r="13" spans="19:20" x14ac:dyDescent="0.25">
      <c r="S13" t="s">
        <v>314</v>
      </c>
      <c r="T13">
        <f>T6-POWER(POWER((T9-(T11*T12))/T8, 2)+POWER(T6, 2), 0.5)</f>
        <v>0</v>
      </c>
    </row>
    <row r="14" spans="19:20" x14ac:dyDescent="0.25">
      <c r="S14" t="s">
        <v>315</v>
      </c>
      <c r="T14">
        <f>(1/T11)*(T13-T6)</f>
        <v>-8899.9999999999982</v>
      </c>
    </row>
    <row r="15" spans="19:20" x14ac:dyDescent="0.25">
      <c r="S15" t="s">
        <v>316</v>
      </c>
      <c r="T15">
        <f>T13-T14</f>
        <v>8899.9999999999982</v>
      </c>
    </row>
    <row r="16" spans="19:20" x14ac:dyDescent="0.25">
      <c r="S16" t="s">
        <v>317</v>
      </c>
      <c r="T16">
        <f>T5</f>
        <v>40</v>
      </c>
    </row>
    <row r="17" spans="19:21" x14ac:dyDescent="0.25">
      <c r="S17" t="s">
        <v>310</v>
      </c>
      <c r="T17">
        <f>T4*POWER(T5, 2)/POWER(T9-(T3/T2), 2)</f>
        <v>7.1102949277174389E-6</v>
      </c>
    </row>
    <row r="18" spans="19:21" x14ac:dyDescent="0.25">
      <c r="S18" t="s">
        <v>319</v>
      </c>
      <c r="T18" t="str">
        <f>IF(T11&lt;T9/T12, "Decrease V_max by", "Increase V_max by")</f>
        <v>Increase V_max by</v>
      </c>
      <c r="U18">
        <f>T11/(T9/T12)</f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zoomScale="115" zoomScaleNormal="115" workbookViewId="0">
      <selection activeCell="D28" sqref="B3:D28"/>
    </sheetView>
  </sheetViews>
  <sheetFormatPr defaultRowHeight="15" x14ac:dyDescent="0.25"/>
  <cols>
    <col min="2" max="2" width="46.85546875" bestFit="1" customWidth="1"/>
    <col min="4" max="4" width="12" bestFit="1" customWidth="1"/>
  </cols>
  <sheetData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1"/>
  <sheetViews>
    <sheetView workbookViewId="0">
      <selection activeCell="E14" sqref="E14"/>
    </sheetView>
  </sheetViews>
  <sheetFormatPr defaultRowHeight="15" x14ac:dyDescent="0.25"/>
  <sheetData>
    <row r="3" spans="1:5" x14ac:dyDescent="0.25">
      <c r="A3" t="s">
        <v>379</v>
      </c>
      <c r="B3" t="s">
        <v>378</v>
      </c>
      <c r="C3" t="s">
        <v>100</v>
      </c>
      <c r="D3" t="s">
        <v>380</v>
      </c>
    </row>
    <row r="4" spans="1:5" x14ac:dyDescent="0.25">
      <c r="A4" t="s">
        <v>377</v>
      </c>
      <c r="B4" t="s">
        <v>382</v>
      </c>
      <c r="D4">
        <v>12</v>
      </c>
      <c r="E4" t="s">
        <v>389</v>
      </c>
    </row>
    <row r="5" spans="1:5" x14ac:dyDescent="0.25">
      <c r="A5" t="s">
        <v>381</v>
      </c>
      <c r="B5" t="s">
        <v>386</v>
      </c>
      <c r="D5">
        <v>5</v>
      </c>
      <c r="E5" t="s">
        <v>388</v>
      </c>
    </row>
    <row r="6" spans="1:5" x14ac:dyDescent="0.25">
      <c r="A6" t="s">
        <v>383</v>
      </c>
      <c r="B6" t="s">
        <v>385</v>
      </c>
      <c r="D6">
        <v>8</v>
      </c>
      <c r="E6" t="s">
        <v>390</v>
      </c>
    </row>
    <row r="7" spans="1:5" x14ac:dyDescent="0.25">
      <c r="A7" t="s">
        <v>384</v>
      </c>
      <c r="B7" t="s">
        <v>382</v>
      </c>
      <c r="D7">
        <v>4</v>
      </c>
      <c r="E7" t="s">
        <v>387</v>
      </c>
    </row>
    <row r="8" spans="1:5" x14ac:dyDescent="0.25">
      <c r="A8" t="s">
        <v>377</v>
      </c>
      <c r="B8" t="s">
        <v>385</v>
      </c>
      <c r="D8">
        <v>4</v>
      </c>
      <c r="E8" t="s">
        <v>389</v>
      </c>
    </row>
    <row r="9" spans="1:5" x14ac:dyDescent="0.25">
      <c r="A9" t="s">
        <v>383</v>
      </c>
      <c r="B9" t="s">
        <v>392</v>
      </c>
      <c r="D9">
        <v>4</v>
      </c>
      <c r="E9" t="s">
        <v>391</v>
      </c>
    </row>
    <row r="10" spans="1:5" x14ac:dyDescent="0.25">
      <c r="A10" t="s">
        <v>394</v>
      </c>
      <c r="E10" t="s">
        <v>393</v>
      </c>
    </row>
    <row r="11" spans="1:5" x14ac:dyDescent="0.25">
      <c r="A11" t="s">
        <v>381</v>
      </c>
      <c r="B11" t="s">
        <v>395</v>
      </c>
      <c r="D11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Driver And Controller</vt:lpstr>
      <vt:lpstr>Villard Diode PCB Calcs</vt:lpstr>
      <vt:lpstr>Villard Capacitor PCB Calcs</vt:lpstr>
      <vt:lpstr>Villard Capacitor Bleeder Calcs</vt:lpstr>
      <vt:lpstr>Output Series Compsite Resistor</vt:lpstr>
      <vt:lpstr>Regenerative snubber design</vt:lpstr>
      <vt:lpstr>Active Cooling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2024-11-04T21:29:48Z</dcterms:created>
  <dcterms:modified xsi:type="dcterms:W3CDTF">2026-07-05T11:23:38Z</dcterms:modified>
</cp:coreProperties>
</file>