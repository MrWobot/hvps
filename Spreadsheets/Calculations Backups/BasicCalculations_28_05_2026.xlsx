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3395" windowHeight="3930" tabRatio="615"/>
  </bookViews>
  <sheets>
    <sheet name="Driver And Controller" sheetId="1" r:id="rId1"/>
    <sheet name="Villard Diode PCB Calcs" sheetId="2" r:id="rId2"/>
    <sheet name="Villard Capacitor PCB Calcs" sheetId="3" r:id="rId3"/>
    <sheet name="Villard Capacitor Bleeder Calcs" sheetId="4" r:id="rId4"/>
    <sheet name="Output Series Compsite Resistor" sheetId="5" r:id="rId5"/>
    <sheet name="Regenerative snubber design" sheetId="6" r:id="rId6"/>
    <sheet name="Active Cooling" sheetId="8" r:id="rId7"/>
    <sheet name="Sheet3" sheetId="9" r:id="rId8"/>
  </sheets>
  <calcPr calcId="144525"/>
</workbook>
</file>

<file path=xl/calcChain.xml><?xml version="1.0" encoding="utf-8"?>
<calcChain xmlns="http://schemas.openxmlformats.org/spreadsheetml/2006/main">
  <c r="D574" i="1" l="1"/>
  <c r="D571" i="1"/>
  <c r="D572" i="1"/>
  <c r="D577" i="1"/>
  <c r="D576" i="1"/>
  <c r="D573" i="1" l="1"/>
  <c r="D575" i="1"/>
  <c r="D579" i="1" s="1"/>
  <c r="D578" i="1"/>
  <c r="F108" i="1"/>
  <c r="F104" i="1"/>
  <c r="F103" i="1"/>
  <c r="F125" i="1" s="1"/>
  <c r="D98" i="1"/>
  <c r="F102" i="1"/>
  <c r="F134" i="1" s="1"/>
  <c r="D102" i="1"/>
  <c r="F101" i="1"/>
  <c r="F113" i="1" s="1"/>
  <c r="F100" i="1"/>
  <c r="D115" i="1"/>
  <c r="D114" i="1"/>
  <c r="D112" i="1"/>
  <c r="D113" i="1"/>
  <c r="F135" i="1" l="1"/>
  <c r="F124" i="1"/>
  <c r="F111" i="1"/>
  <c r="F112" i="1" l="1"/>
  <c r="F114" i="1" s="1"/>
  <c r="F115" i="1" s="1"/>
  <c r="F116" i="1" s="1"/>
  <c r="F123" i="1" l="1"/>
  <c r="F117" i="1"/>
  <c r="F118" i="1" s="1"/>
  <c r="F120" i="1"/>
  <c r="F121" i="1" s="1"/>
  <c r="F122" i="1" s="1"/>
  <c r="F126" i="1" l="1"/>
  <c r="F130" i="1"/>
  <c r="F129" i="1"/>
  <c r="F131" i="1" l="1"/>
  <c r="F132" i="1" s="1"/>
  <c r="F128" i="1"/>
  <c r="F127" i="1"/>
  <c r="F138" i="1"/>
  <c r="F119" i="1"/>
  <c r="F136" i="1"/>
  <c r="F137" i="1" s="1"/>
  <c r="D852" i="1" l="1"/>
  <c r="D711" i="1" l="1"/>
  <c r="E987" i="1" l="1"/>
  <c r="E986" i="1"/>
  <c r="E990" i="1" l="1"/>
  <c r="E991" i="1" s="1"/>
  <c r="E973" i="1"/>
  <c r="E967" i="1"/>
  <c r="E969" i="1" s="1"/>
  <c r="D494" i="1"/>
  <c r="D562" i="1" s="1"/>
  <c r="D492" i="1"/>
  <c r="E980" i="1"/>
  <c r="D564" i="1" s="1"/>
  <c r="D566" i="1" s="1"/>
  <c r="D563" i="1"/>
  <c r="F975" i="1"/>
  <c r="E964" i="1"/>
  <c r="D567" i="1" l="1"/>
  <c r="E968" i="1"/>
  <c r="E970" i="1"/>
  <c r="G964" i="1"/>
  <c r="N964" i="1"/>
  <c r="M964" i="1"/>
  <c r="L964" i="1"/>
  <c r="K964" i="1"/>
  <c r="J964" i="1"/>
  <c r="I964" i="1"/>
  <c r="H964" i="1"/>
  <c r="D839" i="1"/>
  <c r="D848" i="1"/>
  <c r="D853" i="1" s="1"/>
  <c r="D854" i="1" s="1"/>
  <c r="D844" i="1"/>
  <c r="D843" i="1"/>
  <c r="D849" i="1"/>
  <c r="D822" i="1"/>
  <c r="D821" i="1"/>
  <c r="D817" i="1"/>
  <c r="D827" i="1" s="1"/>
  <c r="H972" i="1" l="1"/>
  <c r="H975" i="1" s="1"/>
  <c r="J972" i="1"/>
  <c r="J975" i="1" s="1"/>
  <c r="N972" i="1"/>
  <c r="N975" i="1" s="1"/>
  <c r="I972" i="1"/>
  <c r="I975" i="1" s="1"/>
  <c r="K972" i="1"/>
  <c r="K975" i="1" s="1"/>
  <c r="L972" i="1"/>
  <c r="L975" i="1" s="1"/>
  <c r="M972" i="1"/>
  <c r="M975" i="1" s="1"/>
  <c r="G972" i="1"/>
  <c r="G975" i="1" s="1"/>
  <c r="E972" i="1"/>
  <c r="E975" i="1" s="1"/>
  <c r="D845" i="1"/>
  <c r="D847" i="1"/>
  <c r="D855" i="1" s="1"/>
  <c r="D850" i="1"/>
  <c r="D851" i="1" s="1"/>
  <c r="D858" i="1" s="1"/>
  <c r="D825" i="1"/>
  <c r="D832" i="1" s="1"/>
  <c r="D823" i="1"/>
  <c r="D392" i="1"/>
  <c r="D393" i="1" s="1"/>
  <c r="D394" i="1" s="1"/>
  <c r="D405" i="1"/>
  <c r="D404" i="1"/>
  <c r="D406" i="1" s="1"/>
  <c r="D856" i="1" l="1"/>
  <c r="D857" i="1"/>
  <c r="D408" i="1"/>
  <c r="D410" i="1" s="1"/>
  <c r="D407" i="1"/>
  <c r="D409" i="1" s="1"/>
  <c r="D411" i="1" s="1"/>
  <c r="D412" i="1" l="1"/>
  <c r="D104" i="1"/>
  <c r="D146" i="1"/>
  <c r="D145" i="1"/>
  <c r="D144" i="1"/>
  <c r="D162" i="1" s="1"/>
  <c r="AF120" i="1" l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P120" i="1"/>
  <c r="Q120" i="1"/>
  <c r="D149" i="1" s="1"/>
  <c r="R120" i="1"/>
  <c r="O120" i="1"/>
  <c r="D143" i="1"/>
  <c r="D152" i="1" s="1"/>
  <c r="D202" i="1"/>
  <c r="D208" i="1" s="1"/>
  <c r="D101" i="1"/>
  <c r="D100" i="1"/>
  <c r="D99" i="1"/>
  <c r="D111" i="1" l="1"/>
  <c r="D105" i="1"/>
  <c r="D124" i="1"/>
  <c r="D108" i="1"/>
  <c r="D153" i="1"/>
  <c r="D154" i="1" s="1"/>
  <c r="D163" i="1"/>
  <c r="D505" i="1"/>
  <c r="D510" i="1" s="1"/>
  <c r="D515" i="1"/>
  <c r="D481" i="1"/>
  <c r="D480" i="1"/>
  <c r="D460" i="1"/>
  <c r="D539" i="1" s="1"/>
  <c r="D459" i="1"/>
  <c r="D477" i="1" s="1"/>
  <c r="D458" i="1"/>
  <c r="D500" i="1" s="1"/>
  <c r="D416" i="1"/>
  <c r="D417" i="1"/>
  <c r="D418" i="1"/>
  <c r="D482" i="1" l="1"/>
  <c r="D484" i="1" s="1"/>
  <c r="D485" i="1" s="1"/>
  <c r="D506" i="1"/>
  <c r="D507" i="1" s="1"/>
  <c r="D508" i="1" s="1"/>
  <c r="D159" i="1"/>
  <c r="D156" i="1"/>
  <c r="D157" i="1" s="1"/>
  <c r="D158" i="1" s="1"/>
  <c r="D558" i="1"/>
  <c r="D559" i="1" s="1"/>
  <c r="D560" i="1" s="1"/>
  <c r="D471" i="1"/>
  <c r="D473" i="1" s="1"/>
  <c r="D487" i="1"/>
  <c r="D495" i="1" s="1"/>
  <c r="E951" i="1"/>
  <c r="E952" i="1" s="1"/>
  <c r="E954" i="1" s="1"/>
  <c r="E938" i="1"/>
  <c r="E939" i="1" s="1"/>
  <c r="E940" i="1" s="1"/>
  <c r="E944" i="1"/>
  <c r="E945" i="1" s="1"/>
  <c r="E947" i="1" s="1"/>
  <c r="E933" i="1"/>
  <c r="E934" i="1" s="1"/>
  <c r="E935" i="1" s="1"/>
  <c r="E928" i="1"/>
  <c r="E929" i="1" s="1"/>
  <c r="E930" i="1" s="1"/>
  <c r="C707" i="1"/>
  <c r="D547" i="1" l="1"/>
  <c r="D483" i="1"/>
  <c r="D511" i="1"/>
  <c r="D513" i="1" s="1"/>
  <c r="D488" i="1"/>
  <c r="D519" i="1" s="1"/>
  <c r="D520" i="1" s="1"/>
  <c r="D521" i="1" s="1"/>
  <c r="D526" i="1"/>
  <c r="D529" i="1" s="1"/>
  <c r="D537" i="1" s="1"/>
  <c r="D166" i="1"/>
  <c r="D160" i="1"/>
  <c r="D164" i="1"/>
  <c r="D165" i="1" s="1"/>
  <c r="D155" i="1"/>
  <c r="D516" i="1"/>
  <c r="D517" i="1" s="1"/>
  <c r="D530" i="1"/>
  <c r="D496" i="1"/>
  <c r="D501" i="1" s="1"/>
  <c r="D552" i="1"/>
  <c r="E946" i="1"/>
  <c r="E953" i="1"/>
  <c r="D554" i="1" l="1"/>
  <c r="D556" i="1" s="1"/>
  <c r="D518" i="1"/>
  <c r="D671" i="1"/>
  <c r="D673" i="1"/>
  <c r="D698" i="1" s="1"/>
  <c r="D700" i="1" s="1"/>
  <c r="D676" i="1" l="1"/>
  <c r="D694" i="1" s="1"/>
  <c r="D701" i="1"/>
  <c r="C701" i="1"/>
  <c r="C703" i="1" s="1"/>
  <c r="C704" i="1" s="1"/>
  <c r="D672" i="1"/>
  <c r="D612" i="1"/>
  <c r="E917" i="1"/>
  <c r="E919" i="1" s="1"/>
  <c r="E915" i="1"/>
  <c r="E910" i="1"/>
  <c r="H924" i="1" s="1"/>
  <c r="I924" i="1" s="1"/>
  <c r="J924" i="1" s="1"/>
  <c r="E701" i="1" l="1"/>
  <c r="D703" i="1"/>
  <c r="D704" i="1" s="1"/>
  <c r="D681" i="1"/>
  <c r="D682" i="1" s="1"/>
  <c r="D692" i="1" s="1"/>
  <c r="D689" i="1"/>
  <c r="E916" i="1"/>
  <c r="E921" i="1"/>
  <c r="E922" i="1" s="1"/>
  <c r="H917" i="1"/>
  <c r="I917" i="1" s="1"/>
  <c r="J917" i="1" s="1"/>
  <c r="H918" i="1"/>
  <c r="I918" i="1" s="1"/>
  <c r="J918" i="1" s="1"/>
  <c r="H919" i="1"/>
  <c r="I919" i="1" s="1"/>
  <c r="J919" i="1" s="1"/>
  <c r="H925" i="1"/>
  <c r="I925" i="1" s="1"/>
  <c r="J925" i="1" s="1"/>
  <c r="H926" i="1"/>
  <c r="I926" i="1" s="1"/>
  <c r="J926" i="1" s="1"/>
  <c r="H927" i="1"/>
  <c r="I927" i="1" s="1"/>
  <c r="J927" i="1" s="1"/>
  <c r="H928" i="1"/>
  <c r="I928" i="1" s="1"/>
  <c r="J928" i="1" s="1"/>
  <c r="H929" i="1"/>
  <c r="I929" i="1" s="1"/>
  <c r="J929" i="1" s="1"/>
  <c r="H931" i="1"/>
  <c r="I931" i="1" s="1"/>
  <c r="J931" i="1" s="1"/>
  <c r="H922" i="1"/>
  <c r="I922" i="1" s="1"/>
  <c r="J922" i="1" s="1"/>
  <c r="H920" i="1"/>
  <c r="I920" i="1" s="1"/>
  <c r="J920" i="1" s="1"/>
  <c r="E912" i="1"/>
  <c r="H921" i="1"/>
  <c r="I921" i="1" s="1"/>
  <c r="J921" i="1" s="1"/>
  <c r="H923" i="1"/>
  <c r="I923" i="1" s="1"/>
  <c r="J923" i="1" s="1"/>
  <c r="D52" i="1"/>
  <c r="D54" i="1" s="1"/>
  <c r="D57" i="1" s="1"/>
  <c r="D58" i="1"/>
  <c r="D49" i="1"/>
  <c r="D685" i="1" l="1"/>
  <c r="C705" i="1"/>
  <c r="D705" i="1"/>
  <c r="F701" i="1"/>
  <c r="E703" i="1"/>
  <c r="E704" i="1" s="1"/>
  <c r="E705" i="1" s="1"/>
  <c r="D59" i="1"/>
  <c r="D53" i="1"/>
  <c r="D47" i="1"/>
  <c r="G701" i="1" l="1"/>
  <c r="F703" i="1"/>
  <c r="F704" i="1" s="1"/>
  <c r="F705" i="1" s="1"/>
  <c r="E883" i="1"/>
  <c r="E888" i="1" s="1"/>
  <c r="E889" i="1" s="1"/>
  <c r="E900" i="1"/>
  <c r="E901" i="1"/>
  <c r="E902" i="1" s="1"/>
  <c r="H701" i="1" l="1"/>
  <c r="G703" i="1"/>
  <c r="G704" i="1" s="1"/>
  <c r="G705" i="1" s="1"/>
  <c r="E904" i="1"/>
  <c r="E905" i="1" s="1"/>
  <c r="D790" i="1"/>
  <c r="D789" i="1"/>
  <c r="D783" i="1"/>
  <c r="D788" i="1" s="1"/>
  <c r="H703" i="1" l="1"/>
  <c r="H704" i="1" s="1"/>
  <c r="H705" i="1" s="1"/>
  <c r="I701" i="1"/>
  <c r="D793" i="1"/>
  <c r="D792" i="1"/>
  <c r="D862" i="1"/>
  <c r="D863" i="1" s="1"/>
  <c r="D864" i="1" s="1"/>
  <c r="D826" i="1"/>
  <c r="D830" i="1" s="1"/>
  <c r="D831" i="1" s="1"/>
  <c r="D589" i="1"/>
  <c r="D588" i="1"/>
  <c r="I703" i="1" l="1"/>
  <c r="I704" i="1" s="1"/>
  <c r="I705" i="1" s="1"/>
  <c r="J701" i="1"/>
  <c r="D828" i="1"/>
  <c r="D829" i="1" s="1"/>
  <c r="D835" i="1" s="1"/>
  <c r="D591" i="1"/>
  <c r="D834" i="1" l="1"/>
  <c r="D833" i="1"/>
  <c r="K701" i="1"/>
  <c r="J703" i="1"/>
  <c r="J704" i="1" s="1"/>
  <c r="J705" i="1" s="1"/>
  <c r="F803" i="1"/>
  <c r="G803" i="1"/>
  <c r="H803" i="1"/>
  <c r="F804" i="1"/>
  <c r="G804" i="1"/>
  <c r="H804" i="1"/>
  <c r="E806" i="1"/>
  <c r="F806" i="1"/>
  <c r="F808" i="1" s="1"/>
  <c r="G806" i="1"/>
  <c r="G808" i="1" s="1"/>
  <c r="H806" i="1"/>
  <c r="H807" i="1" s="1"/>
  <c r="D806" i="1"/>
  <c r="E797" i="1"/>
  <c r="E800" i="1" s="1"/>
  <c r="J800" i="1"/>
  <c r="F801" i="1"/>
  <c r="G801" i="1"/>
  <c r="H801" i="1"/>
  <c r="I801" i="1"/>
  <c r="H800" i="1"/>
  <c r="I800" i="1"/>
  <c r="F800" i="1"/>
  <c r="G800" i="1"/>
  <c r="F807" i="1" l="1"/>
  <c r="L701" i="1"/>
  <c r="K703" i="1"/>
  <c r="K704" i="1" s="1"/>
  <c r="K705" i="1" s="1"/>
  <c r="G807" i="1"/>
  <c r="E804" i="1"/>
  <c r="E807" i="1"/>
  <c r="E801" i="1"/>
  <c r="H808" i="1"/>
  <c r="E803" i="1"/>
  <c r="E808" i="1"/>
  <c r="M701" i="1" l="1"/>
  <c r="L703" i="1"/>
  <c r="L704" i="1" s="1"/>
  <c r="L705" i="1" s="1"/>
  <c r="D326" i="1"/>
  <c r="N701" i="1" l="1"/>
  <c r="M703" i="1"/>
  <c r="M704" i="1" s="1"/>
  <c r="M705" i="1" s="1"/>
  <c r="D367" i="1"/>
  <c r="O701" i="1" l="1"/>
  <c r="N703" i="1"/>
  <c r="N704" i="1" s="1"/>
  <c r="N705" i="1" s="1"/>
  <c r="D374" i="1"/>
  <c r="E307" i="1"/>
  <c r="F307" i="1" s="1"/>
  <c r="G307" i="1" s="1"/>
  <c r="P701" i="1" l="1"/>
  <c r="O703" i="1"/>
  <c r="O704" i="1" s="1"/>
  <c r="O705" i="1" s="1"/>
  <c r="D304" i="1"/>
  <c r="E304" i="1" s="1"/>
  <c r="G304" i="1" s="1"/>
  <c r="I304" i="1" s="1"/>
  <c r="K304" i="1" s="1"/>
  <c r="J313" i="1"/>
  <c r="M313" i="1"/>
  <c r="L313" i="1"/>
  <c r="H307" i="1"/>
  <c r="I307" i="1" s="1"/>
  <c r="J307" i="1" s="1"/>
  <c r="K307" i="1" s="1"/>
  <c r="H302" i="1"/>
  <c r="I302" i="1" s="1"/>
  <c r="J302" i="1" s="1"/>
  <c r="K302" i="1" s="1"/>
  <c r="K297" i="1"/>
  <c r="J297" i="1"/>
  <c r="I297" i="1"/>
  <c r="D295" i="1"/>
  <c r="D444" i="1" s="1"/>
  <c r="Q701" i="1" l="1"/>
  <c r="P703" i="1"/>
  <c r="P704" i="1" s="1"/>
  <c r="P705" i="1" s="1"/>
  <c r="F304" i="1"/>
  <c r="H304" i="1" s="1"/>
  <c r="J304" i="1" s="1"/>
  <c r="Q703" i="1" l="1"/>
  <c r="Q704" i="1" s="1"/>
  <c r="Q705" i="1" s="1"/>
  <c r="R701" i="1"/>
  <c r="T11" i="6"/>
  <c r="U18" i="6" s="1"/>
  <c r="T10" i="6"/>
  <c r="T8" i="6"/>
  <c r="T16" i="6"/>
  <c r="E295" i="1"/>
  <c r="F295" i="1" s="1"/>
  <c r="G295" i="1" s="1"/>
  <c r="H295" i="1" s="1"/>
  <c r="I295" i="1" s="1"/>
  <c r="J295" i="1" s="1"/>
  <c r="K295" i="1" s="1"/>
  <c r="D296" i="1"/>
  <c r="D299" i="1"/>
  <c r="E299" i="1" s="1"/>
  <c r="F299" i="1" s="1"/>
  <c r="G299" i="1" s="1"/>
  <c r="H299" i="1" s="1"/>
  <c r="D300" i="1"/>
  <c r="E300" i="1" s="1"/>
  <c r="F300" i="1" s="1"/>
  <c r="G300" i="1" s="1"/>
  <c r="H300" i="1" s="1"/>
  <c r="I300" i="1" s="1"/>
  <c r="D231" i="1"/>
  <c r="D241" i="1"/>
  <c r="S701" i="1" l="1"/>
  <c r="R703" i="1"/>
  <c r="R704" i="1" s="1"/>
  <c r="R705" i="1" s="1"/>
  <c r="J300" i="1"/>
  <c r="H305" i="1"/>
  <c r="I299" i="1"/>
  <c r="J299" i="1" s="1"/>
  <c r="K299" i="1" s="1"/>
  <c r="T18" i="6"/>
  <c r="E296" i="1"/>
  <c r="D257" i="1"/>
  <c r="K265" i="1"/>
  <c r="N265" i="1"/>
  <c r="M262" i="1"/>
  <c r="D256" i="1"/>
  <c r="N260" i="1"/>
  <c r="N261" i="1"/>
  <c r="N262" i="1"/>
  <c r="N263" i="1"/>
  <c r="N264" i="1"/>
  <c r="N259" i="1"/>
  <c r="M261" i="1"/>
  <c r="K261" i="1"/>
  <c r="K260" i="1"/>
  <c r="M260" i="1"/>
  <c r="K262" i="1"/>
  <c r="K263" i="1"/>
  <c r="K264" i="1"/>
  <c r="M259" i="1"/>
  <c r="K259" i="1"/>
  <c r="D769" i="1"/>
  <c r="D768" i="1"/>
  <c r="D763" i="1"/>
  <c r="D762" i="1"/>
  <c r="D757" i="1"/>
  <c r="D6" i="1"/>
  <c r="E909" i="1" s="1"/>
  <c r="E914" i="1" s="1"/>
  <c r="D5" i="1"/>
  <c r="D761" i="1"/>
  <c r="D758" i="1"/>
  <c r="D103" i="1" l="1"/>
  <c r="D380" i="1"/>
  <c r="T701" i="1"/>
  <c r="S703" i="1"/>
  <c r="S704" i="1" s="1"/>
  <c r="S705" i="1" s="1"/>
  <c r="D797" i="1"/>
  <c r="D801" i="1" s="1"/>
  <c r="E908" i="1"/>
  <c r="D808" i="1"/>
  <c r="D800" i="1"/>
  <c r="D804" i="1"/>
  <c r="D803" i="1"/>
  <c r="D807" i="1"/>
  <c r="D770" i="1"/>
  <c r="D776" i="1" s="1"/>
  <c r="D780" i="1"/>
  <c r="D779" i="1"/>
  <c r="D778" i="1" s="1"/>
  <c r="H296" i="1"/>
  <c r="I305" i="1"/>
  <c r="K300" i="1"/>
  <c r="K305" i="1" s="1"/>
  <c r="J305" i="1"/>
  <c r="D735" i="1"/>
  <c r="D736" i="1" s="1"/>
  <c r="F296" i="1"/>
  <c r="D305" i="1"/>
  <c r="D772" i="1"/>
  <c r="D775" i="1" s="1"/>
  <c r="D771" i="1"/>
  <c r="D777" i="1" s="1"/>
  <c r="D764" i="1"/>
  <c r="D765" i="1"/>
  <c r="D125" i="1" l="1"/>
  <c r="D120" i="1"/>
  <c r="U701" i="1"/>
  <c r="T703" i="1"/>
  <c r="T704" i="1" s="1"/>
  <c r="T705" i="1" s="1"/>
  <c r="D116" i="1"/>
  <c r="D121" i="1" s="1"/>
  <c r="L931" i="1"/>
  <c r="M931" i="1" s="1"/>
  <c r="K928" i="1"/>
  <c r="L928" i="1"/>
  <c r="M928" i="1" s="1"/>
  <c r="E913" i="1"/>
  <c r="L927" i="1"/>
  <c r="M927" i="1" s="1"/>
  <c r="K925" i="1"/>
  <c r="L926" i="1"/>
  <c r="M926" i="1" s="1"/>
  <c r="K924" i="1"/>
  <c r="K923" i="1"/>
  <c r="L924" i="1"/>
  <c r="M924" i="1" s="1"/>
  <c r="K922" i="1"/>
  <c r="K919" i="1"/>
  <c r="L919" i="1"/>
  <c r="M919" i="1" s="1"/>
  <c r="L918" i="1"/>
  <c r="M918" i="1" s="1"/>
  <c r="L917" i="1"/>
  <c r="M917" i="1" s="1"/>
  <c r="K931" i="1"/>
  <c r="K929" i="1"/>
  <c r="L929" i="1"/>
  <c r="M929" i="1" s="1"/>
  <c r="K927" i="1"/>
  <c r="K926" i="1"/>
  <c r="L925" i="1"/>
  <c r="M925" i="1" s="1"/>
  <c r="L923" i="1"/>
  <c r="M923" i="1" s="1"/>
  <c r="K921" i="1"/>
  <c r="L922" i="1"/>
  <c r="M922" i="1" s="1"/>
  <c r="K920" i="1"/>
  <c r="L921" i="1"/>
  <c r="M921" i="1" s="1"/>
  <c r="L920" i="1"/>
  <c r="M920" i="1" s="1"/>
  <c r="K917" i="1"/>
  <c r="K918" i="1"/>
  <c r="I296" i="1"/>
  <c r="G296" i="1"/>
  <c r="D773" i="1"/>
  <c r="D723" i="1"/>
  <c r="D725" i="1"/>
  <c r="D724" i="1"/>
  <c r="D750" i="1"/>
  <c r="D423" i="1" l="1"/>
  <c r="D465" i="1"/>
  <c r="D122" i="1"/>
  <c r="D201" i="1"/>
  <c r="D205" i="1" s="1"/>
  <c r="D117" i="1"/>
  <c r="D118" i="1" s="1"/>
  <c r="D203" i="1"/>
  <c r="V701" i="1"/>
  <c r="U703" i="1"/>
  <c r="U704" i="1" s="1"/>
  <c r="U705" i="1" s="1"/>
  <c r="D669" i="1"/>
  <c r="D782" i="1"/>
  <c r="D786" i="1" s="1"/>
  <c r="D794" i="1" s="1"/>
  <c r="D795" i="1" s="1"/>
  <c r="D781" i="1"/>
  <c r="J296" i="1"/>
  <c r="D726" i="1"/>
  <c r="D749" i="1"/>
  <c r="D753" i="1" s="1"/>
  <c r="D751" i="1"/>
  <c r="D744" i="1"/>
  <c r="D743" i="1"/>
  <c r="D741" i="1"/>
  <c r="D719" i="1" s="1"/>
  <c r="D739" i="1"/>
  <c r="D737" i="1"/>
  <c r="D713" i="1"/>
  <c r="D630" i="1"/>
  <c r="D629" i="1"/>
  <c r="D631" i="1"/>
  <c r="D628" i="1"/>
  <c r="D649" i="1"/>
  <c r="D650" i="1"/>
  <c r="D602" i="1"/>
  <c r="D639" i="1"/>
  <c r="D618" i="1"/>
  <c r="D601" i="1"/>
  <c r="D456" i="1"/>
  <c r="D451" i="1"/>
  <c r="D441" i="1"/>
  <c r="D439" i="1"/>
  <c r="D436" i="1"/>
  <c r="D437" i="1" s="1"/>
  <c r="D272" i="1"/>
  <c r="D443" i="1" l="1"/>
  <c r="D433" i="1"/>
  <c r="W701" i="1"/>
  <c r="V703" i="1"/>
  <c r="V704" i="1" s="1"/>
  <c r="V705" i="1" s="1"/>
  <c r="D675" i="1"/>
  <c r="D693" i="1" s="1"/>
  <c r="D670" i="1"/>
  <c r="D677" i="1" s="1"/>
  <c r="D688" i="1" s="1"/>
  <c r="D687" i="1"/>
  <c r="D678" i="1"/>
  <c r="D686" i="1" s="1"/>
  <c r="D633" i="1"/>
  <c r="K296" i="1"/>
  <c r="D632" i="1"/>
  <c r="D653" i="1"/>
  <c r="D738" i="1"/>
  <c r="D752" i="1"/>
  <c r="D754" i="1"/>
  <c r="D745" i="1"/>
  <c r="D746" i="1" s="1"/>
  <c r="D747" i="1" s="1"/>
  <c r="D748" i="1" s="1"/>
  <c r="D646" i="1"/>
  <c r="D647" i="1" s="1"/>
  <c r="D626" i="1"/>
  <c r="D438" i="1"/>
  <c r="D442" i="1"/>
  <c r="D379" i="1"/>
  <c r="D382" i="1" s="1"/>
  <c r="D383" i="1" s="1"/>
  <c r="D387" i="1" s="1"/>
  <c r="D355" i="1"/>
  <c r="D358" i="1"/>
  <c r="D360" i="1" s="1"/>
  <c r="D361" i="1" s="1"/>
  <c r="D353" i="1"/>
  <c r="D351" i="1"/>
  <c r="D350" i="1"/>
  <c r="D345" i="1"/>
  <c r="D284" i="1"/>
  <c r="D285" i="1" s="1"/>
  <c r="D283" i="1"/>
  <c r="D278" i="1"/>
  <c r="D279" i="1" s="1"/>
  <c r="D281" i="1" s="1"/>
  <c r="D276" i="1"/>
  <c r="D233" i="1"/>
  <c r="D179" i="1"/>
  <c r="D192" i="1" s="1"/>
  <c r="D690" i="1" l="1"/>
  <c r="D389" i="1"/>
  <c r="D388" i="1"/>
  <c r="X701" i="1"/>
  <c r="W703" i="1"/>
  <c r="W704" i="1" s="1"/>
  <c r="W705" i="1" s="1"/>
  <c r="D342" i="1"/>
  <c r="D341" i="1"/>
  <c r="D354" i="1"/>
  <c r="D656" i="1"/>
  <c r="D654" i="1"/>
  <c r="D655" i="1" s="1"/>
  <c r="D634" i="1"/>
  <c r="D635" i="1" s="1"/>
  <c r="D648" i="1"/>
  <c r="D643" i="1"/>
  <c r="D642" i="1"/>
  <c r="D644" i="1" s="1"/>
  <c r="D636" i="1"/>
  <c r="D638" i="1" s="1"/>
  <c r="D346" i="1"/>
  <c r="D347" i="1" s="1"/>
  <c r="D286" i="1"/>
  <c r="D343" i="1"/>
  <c r="D280" i="1"/>
  <c r="D282" i="1" s="1"/>
  <c r="D204" i="1"/>
  <c r="D209" i="1"/>
  <c r="D206" i="1"/>
  <c r="D188" i="1"/>
  <c r="D180" i="1"/>
  <c r="D181" i="1" s="1"/>
  <c r="C36" i="5"/>
  <c r="C37" i="5" s="1"/>
  <c r="C35" i="5"/>
  <c r="C31" i="5"/>
  <c r="C30" i="5"/>
  <c r="C29" i="5"/>
  <c r="C25" i="5"/>
  <c r="C27" i="5" s="1"/>
  <c r="C23" i="5"/>
  <c r="C21" i="5"/>
  <c r="C34" i="5" s="1"/>
  <c r="C19" i="5"/>
  <c r="D390" i="1" l="1"/>
  <c r="D400" i="1"/>
  <c r="D397" i="1"/>
  <c r="D399" i="1"/>
  <c r="D396" i="1"/>
  <c r="Y701" i="1"/>
  <c r="X703" i="1"/>
  <c r="X704" i="1" s="1"/>
  <c r="X705" i="1" s="1"/>
  <c r="D683" i="1"/>
  <c r="D344" i="1"/>
  <c r="D661" i="1"/>
  <c r="D657" i="1"/>
  <c r="D348" i="1"/>
  <c r="D211" i="1"/>
  <c r="D176" i="1"/>
  <c r="D177" i="1" s="1"/>
  <c r="D183" i="1" s="1"/>
  <c r="D210" i="1"/>
  <c r="C26" i="5"/>
  <c r="D398" i="1" l="1"/>
  <c r="D401" i="1"/>
  <c r="D402" i="1" s="1"/>
  <c r="Z701" i="1"/>
  <c r="Y703" i="1"/>
  <c r="Y704" i="1" s="1"/>
  <c r="Y705" i="1" s="1"/>
  <c r="D658" i="1"/>
  <c r="D212" i="1"/>
  <c r="D217" i="1" s="1"/>
  <c r="D220" i="1" s="1"/>
  <c r="C37" i="4"/>
  <c r="C36" i="4"/>
  <c r="C25" i="4"/>
  <c r="C19" i="4"/>
  <c r="C23" i="4"/>
  <c r="C21" i="4"/>
  <c r="C34" i="4" s="1"/>
  <c r="C35" i="4"/>
  <c r="C31" i="4"/>
  <c r="C30" i="4"/>
  <c r="C29" i="4"/>
  <c r="C27" i="4"/>
  <c r="C26" i="4"/>
  <c r="D33" i="3"/>
  <c r="D32" i="3"/>
  <c r="D20" i="3"/>
  <c r="D25" i="3"/>
  <c r="D24" i="3"/>
  <c r="D29" i="3"/>
  <c r="D28" i="3"/>
  <c r="D27" i="3"/>
  <c r="C19" i="2"/>
  <c r="C18" i="2"/>
  <c r="C17" i="2"/>
  <c r="C9" i="2"/>
  <c r="C10" i="2" s="1"/>
  <c r="C7" i="2"/>
  <c r="C14" i="2" s="1"/>
  <c r="C5" i="2"/>
  <c r="C6" i="2" s="1"/>
  <c r="C13" i="2" s="1"/>
  <c r="D11" i="1"/>
  <c r="D73" i="1"/>
  <c r="D65" i="1"/>
  <c r="D72" i="1"/>
  <c r="R63" i="1"/>
  <c r="R62" i="1"/>
  <c r="R61" i="1"/>
  <c r="D10" i="1"/>
  <c r="D403" i="1" l="1"/>
  <c r="D413" i="1"/>
  <c r="AA701" i="1"/>
  <c r="Z703" i="1"/>
  <c r="Z704" i="1" s="1"/>
  <c r="Z705" i="1" s="1"/>
  <c r="D75" i="1"/>
  <c r="D76" i="1" s="1"/>
  <c r="C8" i="2"/>
  <c r="C15" i="2" s="1"/>
  <c r="R64" i="1"/>
  <c r="R66" i="1" s="1"/>
  <c r="R65" i="1"/>
  <c r="R67" i="1" s="1"/>
  <c r="AB701" i="1" l="1"/>
  <c r="AA703" i="1"/>
  <c r="AA704" i="1" s="1"/>
  <c r="AA705" i="1" s="1"/>
  <c r="D77" i="1"/>
  <c r="D78" i="1" s="1"/>
  <c r="D79" i="1" s="1"/>
  <c r="D91" i="1" s="1"/>
  <c r="AC701" i="1" l="1"/>
  <c r="AB703" i="1"/>
  <c r="AB704" i="1" s="1"/>
  <c r="AB705" i="1" s="1"/>
  <c r="D88" i="1"/>
  <c r="D89" i="1"/>
  <c r="D90" i="1"/>
  <c r="AD701" i="1" l="1"/>
  <c r="AC703" i="1"/>
  <c r="AC704" i="1" s="1"/>
  <c r="AC705" i="1" s="1"/>
  <c r="D23" i="1"/>
  <c r="D13" i="1"/>
  <c r="AE701" i="1" l="1"/>
  <c r="AD703" i="1"/>
  <c r="AD704" i="1" s="1"/>
  <c r="AD705" i="1" s="1"/>
  <c r="D32" i="1"/>
  <c r="D35" i="1" s="1"/>
  <c r="D38" i="1" s="1"/>
  <c r="D39" i="1" s="1"/>
  <c r="D141" i="1" s="1"/>
  <c r="D236" i="1"/>
  <c r="D712" i="1"/>
  <c r="D234" i="1"/>
  <c r="D297" i="1" s="1"/>
  <c r="H297" i="1" s="1"/>
  <c r="D135" i="1" l="1"/>
  <c r="D123" i="1"/>
  <c r="D126" i="1" s="1"/>
  <c r="D461" i="1"/>
  <c r="D419" i="1"/>
  <c r="D452" i="1" s="1"/>
  <c r="AF701" i="1"/>
  <c r="AE703" i="1"/>
  <c r="AE704" i="1" s="1"/>
  <c r="AE705" i="1" s="1"/>
  <c r="D37" i="1"/>
  <c r="D40" i="1" s="1"/>
  <c r="D41" i="1" s="1"/>
  <c r="D46" i="1" s="1"/>
  <c r="D603" i="1"/>
  <c r="D659" i="1" s="1"/>
  <c r="D662" i="1" s="1"/>
  <c r="D665" i="1" s="1"/>
  <c r="D294" i="1"/>
  <c r="D311" i="1" s="1"/>
  <c r="D134" i="1"/>
  <c r="D266" i="1"/>
  <c r="D214" i="1"/>
  <c r="D714" i="1"/>
  <c r="D728" i="1" s="1"/>
  <c r="D727" i="1"/>
  <c r="D730" i="1" s="1"/>
  <c r="D731" i="1" s="1"/>
  <c r="D259" i="1"/>
  <c r="D261" i="1" s="1"/>
  <c r="D262" i="1" s="1"/>
  <c r="D42" i="1"/>
  <c r="D129" i="1" l="1"/>
  <c r="D130" i="1"/>
  <c r="D127" i="1"/>
  <c r="D128" i="1"/>
  <c r="D138" i="1"/>
  <c r="D170" i="1" s="1"/>
  <c r="D119" i="1"/>
  <c r="D169" i="1" s="1"/>
  <c r="D136" i="1"/>
  <c r="D137" i="1" s="1"/>
  <c r="D232" i="1"/>
  <c r="D298" i="1" s="1"/>
  <c r="E298" i="1" s="1"/>
  <c r="F298" i="1" s="1"/>
  <c r="G298" i="1" s="1"/>
  <c r="H298" i="1" s="1"/>
  <c r="I298" i="1" s="1"/>
  <c r="J298" i="1" s="1"/>
  <c r="K298" i="1" s="1"/>
  <c r="D426" i="1"/>
  <c r="D663" i="1"/>
  <c r="D666" i="1" s="1"/>
  <c r="D540" i="1"/>
  <c r="D541" i="1" s="1"/>
  <c r="D468" i="1"/>
  <c r="D470" i="1" s="1"/>
  <c r="D467" i="1"/>
  <c r="D548" i="1"/>
  <c r="D43" i="1"/>
  <c r="AG701" i="1"/>
  <c r="AF703" i="1"/>
  <c r="AF704" i="1" s="1"/>
  <c r="AF705" i="1" s="1"/>
  <c r="D607" i="1"/>
  <c r="D608" i="1"/>
  <c r="D605" i="1"/>
  <c r="D660" i="1" s="1"/>
  <c r="D664" i="1" s="1"/>
  <c r="D667" i="1" s="1"/>
  <c r="D610" i="1"/>
  <c r="D207" i="1"/>
  <c r="D182" i="1"/>
  <c r="D184" i="1" s="1"/>
  <c r="D185" i="1" s="1"/>
  <c r="D186" i="1" s="1"/>
  <c r="D187" i="1" s="1"/>
  <c r="D194" i="1" s="1"/>
  <c r="D195" i="1" s="1"/>
  <c r="D215" i="1"/>
  <c r="D640" i="1"/>
  <c r="D641" i="1" s="1"/>
  <c r="D216" i="1"/>
  <c r="D455" i="1"/>
  <c r="D445" i="1"/>
  <c r="D446" i="1" s="1"/>
  <c r="D425" i="1"/>
  <c r="D716" i="1"/>
  <c r="D718" i="1" s="1"/>
  <c r="D733" i="1" s="1"/>
  <c r="E294" i="1"/>
  <c r="F294" i="1" s="1"/>
  <c r="G294" i="1" s="1"/>
  <c r="H294" i="1" s="1"/>
  <c r="I294" i="1" s="1"/>
  <c r="J294" i="1" s="1"/>
  <c r="K294" i="1" s="1"/>
  <c r="D729" i="1"/>
  <c r="G10" i="1"/>
  <c r="D21" i="1"/>
  <c r="D26" i="1"/>
  <c r="D238" i="1" l="1"/>
  <c r="D240" i="1" s="1"/>
  <c r="D131" i="1"/>
  <c r="D132" i="1" s="1"/>
  <c r="D228" i="1"/>
  <c r="D229" i="1" s="1"/>
  <c r="D293" i="1" s="1"/>
  <c r="D226" i="1"/>
  <c r="D218" i="1"/>
  <c r="D219" i="1"/>
  <c r="E876" i="1" s="1"/>
  <c r="D551" i="1"/>
  <c r="D550" i="1"/>
  <c r="D542" i="1"/>
  <c r="D543" i="1" s="1"/>
  <c r="AH701" i="1"/>
  <c r="AG703" i="1"/>
  <c r="AG704" i="1" s="1"/>
  <c r="AG705" i="1" s="1"/>
  <c r="D447" i="1"/>
  <c r="D584" i="1" s="1"/>
  <c r="D592" i="1" s="1"/>
  <c r="D594" i="1" s="1"/>
  <c r="D596" i="1" s="1"/>
  <c r="D172" i="1"/>
  <c r="D609" i="1"/>
  <c r="D611" i="1"/>
  <c r="D620" i="1" s="1"/>
  <c r="D637" i="1" s="1"/>
  <c r="D454" i="1"/>
  <c r="D189" i="1"/>
  <c r="D191" i="1" s="1"/>
  <c r="D15" i="1"/>
  <c r="D74" i="1"/>
  <c r="D44" i="1" s="1"/>
  <c r="D95" i="1"/>
  <c r="D94" i="1"/>
  <c r="D93" i="1"/>
  <c r="D92" i="1"/>
  <c r="D66" i="1"/>
  <c r="D67" i="1" s="1"/>
  <c r="E874" i="1" s="1"/>
  <c r="D27" i="1"/>
  <c r="E875" i="1" s="1"/>
  <c r="D63" i="1"/>
  <c r="D64" i="1" s="1"/>
  <c r="D237" i="1" l="1"/>
  <c r="D242" i="1" s="1"/>
  <c r="D269" i="1" s="1"/>
  <c r="D292" i="1"/>
  <c r="D310" i="1" s="1"/>
  <c r="D316" i="1" s="1"/>
  <c r="D420" i="1" s="1"/>
  <c r="D427" i="1" s="1"/>
  <c r="D221" i="1"/>
  <c r="AI701" i="1"/>
  <c r="AH703" i="1"/>
  <c r="AH704" i="1" s="1"/>
  <c r="AH705" i="1" s="1"/>
  <c r="D222" i="1"/>
  <c r="D621" i="1"/>
  <c r="D624" i="1" s="1"/>
  <c r="E877" i="1"/>
  <c r="E884" i="1" s="1"/>
  <c r="E890" i="1" s="1"/>
  <c r="E891" i="1" s="1"/>
  <c r="E892" i="1" s="1"/>
  <c r="E893" i="1" s="1"/>
  <c r="E293" i="1"/>
  <c r="F293" i="1" s="1"/>
  <c r="G293" i="1" s="1"/>
  <c r="H293" i="1" s="1"/>
  <c r="D306" i="1"/>
  <c r="D308" i="1" s="1"/>
  <c r="D29" i="1"/>
  <c r="D68" i="1"/>
  <c r="D69" i="1" s="1"/>
  <c r="D97" i="1"/>
  <c r="D245" i="1" l="1"/>
  <c r="D246" i="1" s="1"/>
  <c r="D248" i="1" s="1"/>
  <c r="D267" i="1"/>
  <c r="D243" i="1"/>
  <c r="D244" i="1" s="1"/>
  <c r="D303" i="1"/>
  <c r="E292" i="1"/>
  <c r="F292" i="1" s="1"/>
  <c r="D312" i="1"/>
  <c r="D313" i="1" s="1"/>
  <c r="AJ701" i="1"/>
  <c r="AI703" i="1"/>
  <c r="AI704" i="1" s="1"/>
  <c r="AI705" i="1" s="1"/>
  <c r="D622" i="1"/>
  <c r="E895" i="1"/>
  <c r="E896" i="1" s="1"/>
  <c r="E897" i="1" s="1"/>
  <c r="E898" i="1" s="1"/>
  <c r="D324" i="1"/>
  <c r="D364" i="1"/>
  <c r="D330" i="1"/>
  <c r="D327" i="1"/>
  <c r="D328" i="1" s="1"/>
  <c r="D314" i="1"/>
  <c r="D315" i="1" s="1"/>
  <c r="D319" i="1" s="1"/>
  <c r="D318" i="1"/>
  <c r="D323" i="1" s="1"/>
  <c r="D317" i="1"/>
  <c r="D322" i="1" s="1"/>
  <c r="I293" i="1"/>
  <c r="D250" i="1" l="1"/>
  <c r="AK701" i="1"/>
  <c r="AJ703" i="1"/>
  <c r="AJ704" i="1" s="1"/>
  <c r="AJ705" i="1" s="1"/>
  <c r="D321" i="1"/>
  <c r="D320" i="1"/>
  <c r="D373" i="1"/>
  <c r="D375" i="1" s="1"/>
  <c r="D368" i="1"/>
  <c r="J293" i="1"/>
  <c r="E305" i="1"/>
  <c r="E306" i="1"/>
  <c r="G292" i="1"/>
  <c r="H292" i="1" s="1"/>
  <c r="D429" i="1"/>
  <c r="D249" i="1"/>
  <c r="D252" i="1"/>
  <c r="D258" i="1"/>
  <c r="E308" i="1" l="1"/>
  <c r="AL701" i="1"/>
  <c r="AK703" i="1"/>
  <c r="AK704" i="1" s="1"/>
  <c r="AK705" i="1" s="1"/>
  <c r="D370" i="1"/>
  <c r="D369" i="1"/>
  <c r="I292" i="1"/>
  <c r="H306" i="1"/>
  <c r="H308" i="1" s="1"/>
  <c r="K293" i="1"/>
  <c r="F305" i="1"/>
  <c r="F306" i="1"/>
  <c r="G305" i="1"/>
  <c r="G306" i="1"/>
  <c r="D263" i="1"/>
  <c r="D264" i="1" s="1"/>
  <c r="D265" i="1" s="1"/>
  <c r="D260" i="1"/>
  <c r="T17" i="6"/>
  <c r="D371" i="1" l="1"/>
  <c r="AM701" i="1"/>
  <c r="AL703" i="1"/>
  <c r="AL704" i="1" s="1"/>
  <c r="AL705" i="1" s="1"/>
  <c r="F308" i="1"/>
  <c r="J292" i="1"/>
  <c r="I306" i="1"/>
  <c r="I308" i="1" s="1"/>
  <c r="G308" i="1"/>
  <c r="T13" i="6"/>
  <c r="AN701" i="1" l="1"/>
  <c r="AM703" i="1"/>
  <c r="AM704" i="1" s="1"/>
  <c r="AM705" i="1" s="1"/>
  <c r="K292" i="1"/>
  <c r="K306" i="1" s="1"/>
  <c r="K308" i="1" s="1"/>
  <c r="J306" i="1"/>
  <c r="J308" i="1" s="1"/>
  <c r="T14" i="6"/>
  <c r="T15" i="6" s="1"/>
  <c r="AO701" i="1" l="1"/>
  <c r="AN703" i="1"/>
  <c r="AN704" i="1" s="1"/>
  <c r="AN705" i="1" s="1"/>
  <c r="AP701" i="1" l="1"/>
  <c r="AO703" i="1"/>
  <c r="AO704" i="1" s="1"/>
  <c r="AO705" i="1" s="1"/>
  <c r="AQ701" i="1" l="1"/>
  <c r="AP703" i="1"/>
  <c r="AP704" i="1" s="1"/>
  <c r="AP705" i="1" s="1"/>
  <c r="AR701" i="1" l="1"/>
  <c r="AQ703" i="1"/>
  <c r="AQ704" i="1" s="1"/>
  <c r="AQ705" i="1" s="1"/>
  <c r="AS701" i="1" l="1"/>
  <c r="AR703" i="1"/>
  <c r="AR704" i="1" s="1"/>
  <c r="AR705" i="1" s="1"/>
  <c r="AT701" i="1" l="1"/>
  <c r="AS703" i="1"/>
  <c r="AS704" i="1" s="1"/>
  <c r="AS705" i="1" s="1"/>
  <c r="AU701" i="1" l="1"/>
  <c r="AT703" i="1"/>
  <c r="AT704" i="1" s="1"/>
  <c r="AT705" i="1" s="1"/>
  <c r="AV701" i="1" l="1"/>
  <c r="AU703" i="1"/>
  <c r="AU704" i="1" s="1"/>
  <c r="AU705" i="1" s="1"/>
  <c r="AW701" i="1" l="1"/>
  <c r="AV703" i="1"/>
  <c r="AV704" i="1" s="1"/>
  <c r="AV705" i="1" s="1"/>
  <c r="AX701" i="1" l="1"/>
  <c r="AW703" i="1"/>
  <c r="AW704" i="1" s="1"/>
  <c r="AW705" i="1" s="1"/>
  <c r="AY701" i="1" l="1"/>
  <c r="AX703" i="1"/>
  <c r="AX704" i="1" s="1"/>
  <c r="AX705" i="1" s="1"/>
  <c r="AZ701" i="1" l="1"/>
  <c r="AY703" i="1"/>
  <c r="AY704" i="1" s="1"/>
  <c r="AY705" i="1" s="1"/>
  <c r="BA701" i="1" l="1"/>
  <c r="AZ703" i="1"/>
  <c r="AZ704" i="1" s="1"/>
  <c r="AZ705" i="1" s="1"/>
  <c r="BB701" i="1" l="1"/>
  <c r="BA703" i="1"/>
  <c r="BA704" i="1" s="1"/>
  <c r="BA705" i="1" s="1"/>
  <c r="BC701" i="1" l="1"/>
  <c r="BB703" i="1"/>
  <c r="BB704" i="1" s="1"/>
  <c r="BB705" i="1" s="1"/>
  <c r="BD701" i="1" l="1"/>
  <c r="BC703" i="1"/>
  <c r="BC704" i="1" s="1"/>
  <c r="BC705" i="1" s="1"/>
  <c r="BE701" i="1" l="1"/>
  <c r="BD703" i="1"/>
  <c r="BD704" i="1" s="1"/>
  <c r="BD705" i="1" s="1"/>
  <c r="BF701" i="1" l="1"/>
  <c r="BE703" i="1"/>
  <c r="BE704" i="1" s="1"/>
  <c r="BE705" i="1" s="1"/>
  <c r="BG701" i="1" l="1"/>
  <c r="BF703" i="1"/>
  <c r="BF704" i="1" s="1"/>
  <c r="BF705" i="1" s="1"/>
  <c r="BH701" i="1" l="1"/>
  <c r="BG703" i="1"/>
  <c r="BG704" i="1" s="1"/>
  <c r="BG705" i="1" s="1"/>
  <c r="BI701" i="1" l="1"/>
  <c r="BH703" i="1"/>
  <c r="BH704" i="1" s="1"/>
  <c r="BH705" i="1" s="1"/>
  <c r="BJ701" i="1" l="1"/>
  <c r="BI703" i="1"/>
  <c r="BI704" i="1" s="1"/>
  <c r="BI705" i="1" s="1"/>
  <c r="BK701" i="1" l="1"/>
  <c r="BJ703" i="1"/>
  <c r="BJ704" i="1" s="1"/>
  <c r="BJ705" i="1" s="1"/>
  <c r="BL701" i="1" l="1"/>
  <c r="BK703" i="1"/>
  <c r="BK704" i="1" s="1"/>
  <c r="BK705" i="1" s="1"/>
  <c r="BM701" i="1" l="1"/>
  <c r="BL703" i="1"/>
  <c r="BL704" i="1" s="1"/>
  <c r="BL705" i="1" s="1"/>
  <c r="BN701" i="1" l="1"/>
  <c r="BM703" i="1"/>
  <c r="BM704" i="1" s="1"/>
  <c r="BM705" i="1" s="1"/>
  <c r="BO701" i="1" l="1"/>
  <c r="BN703" i="1"/>
  <c r="BN704" i="1" s="1"/>
  <c r="BN705" i="1" s="1"/>
  <c r="BP701" i="1" l="1"/>
  <c r="BO703" i="1"/>
  <c r="BO704" i="1" s="1"/>
  <c r="BO705" i="1" s="1"/>
  <c r="BQ701" i="1" l="1"/>
  <c r="BP703" i="1"/>
  <c r="BP704" i="1" s="1"/>
  <c r="BP705" i="1" s="1"/>
  <c r="BR701" i="1" l="1"/>
  <c r="BQ703" i="1"/>
  <c r="BQ704" i="1" s="1"/>
  <c r="BQ705" i="1" s="1"/>
  <c r="BS701" i="1" l="1"/>
  <c r="BR703" i="1"/>
  <c r="BR704" i="1" s="1"/>
  <c r="BR705" i="1" s="1"/>
  <c r="BT701" i="1" l="1"/>
  <c r="BS703" i="1"/>
  <c r="BS704" i="1" s="1"/>
  <c r="BS705" i="1" s="1"/>
  <c r="BU701" i="1" l="1"/>
  <c r="BT703" i="1"/>
  <c r="BT704" i="1" s="1"/>
  <c r="BT705" i="1" s="1"/>
  <c r="BV701" i="1" l="1"/>
  <c r="BU703" i="1"/>
  <c r="BU704" i="1" s="1"/>
  <c r="BU705" i="1" s="1"/>
  <c r="BW701" i="1" l="1"/>
  <c r="BV703" i="1"/>
  <c r="BV704" i="1" s="1"/>
  <c r="BV705" i="1" s="1"/>
  <c r="BX701" i="1" l="1"/>
  <c r="BW703" i="1"/>
  <c r="BW704" i="1" s="1"/>
  <c r="BW705" i="1" s="1"/>
  <c r="BY701" i="1" l="1"/>
  <c r="BX703" i="1"/>
  <c r="BX704" i="1" s="1"/>
  <c r="BX705" i="1" s="1"/>
  <c r="BZ701" i="1" l="1"/>
  <c r="BY703" i="1"/>
  <c r="BY704" i="1" s="1"/>
  <c r="BY705" i="1" s="1"/>
  <c r="CA701" i="1" l="1"/>
  <c r="BZ703" i="1"/>
  <c r="BZ704" i="1" s="1"/>
  <c r="BZ705" i="1" s="1"/>
  <c r="CB701" i="1" l="1"/>
  <c r="CA703" i="1"/>
  <c r="CA704" i="1" s="1"/>
  <c r="CA705" i="1" s="1"/>
  <c r="CC701" i="1" l="1"/>
  <c r="CB703" i="1"/>
  <c r="CB704" i="1" s="1"/>
  <c r="CB705" i="1" s="1"/>
  <c r="CD701" i="1" l="1"/>
  <c r="CC703" i="1"/>
  <c r="CC704" i="1" s="1"/>
  <c r="CC705" i="1" s="1"/>
  <c r="CE701" i="1" l="1"/>
  <c r="CD703" i="1"/>
  <c r="CD704" i="1" s="1"/>
  <c r="CD705" i="1" s="1"/>
  <c r="CF701" i="1" l="1"/>
  <c r="CE703" i="1"/>
  <c r="CE704" i="1" s="1"/>
  <c r="CE705" i="1" s="1"/>
  <c r="CG701" i="1" l="1"/>
  <c r="CF703" i="1"/>
  <c r="CF704" i="1" s="1"/>
  <c r="CF705" i="1" s="1"/>
  <c r="CH701" i="1" l="1"/>
  <c r="CG703" i="1"/>
  <c r="CG704" i="1" s="1"/>
  <c r="CG705" i="1" s="1"/>
  <c r="CI701" i="1" l="1"/>
  <c r="CH703" i="1"/>
  <c r="CH704" i="1" s="1"/>
  <c r="CH705" i="1" s="1"/>
  <c r="CJ701" i="1" l="1"/>
  <c r="CI703" i="1"/>
  <c r="CI704" i="1" s="1"/>
  <c r="CI705" i="1" s="1"/>
  <c r="CK701" i="1" l="1"/>
  <c r="CJ703" i="1"/>
  <c r="CJ704" i="1" s="1"/>
  <c r="CJ705" i="1" s="1"/>
  <c r="CL701" i="1" l="1"/>
  <c r="CK703" i="1"/>
  <c r="CK704" i="1" s="1"/>
  <c r="CK705" i="1" s="1"/>
  <c r="CM701" i="1" l="1"/>
  <c r="CL703" i="1"/>
  <c r="CL704" i="1" s="1"/>
  <c r="CL705" i="1" s="1"/>
  <c r="CN701" i="1" l="1"/>
  <c r="CM703" i="1"/>
  <c r="CM704" i="1" s="1"/>
  <c r="CM705" i="1" s="1"/>
  <c r="CO701" i="1" l="1"/>
  <c r="CN703" i="1"/>
  <c r="CN704" i="1" s="1"/>
  <c r="CN705" i="1" s="1"/>
  <c r="CP701" i="1" l="1"/>
  <c r="CO703" i="1"/>
  <c r="CO704" i="1" s="1"/>
  <c r="CO705" i="1" s="1"/>
  <c r="CQ701" i="1" l="1"/>
  <c r="CP703" i="1"/>
  <c r="CP704" i="1" s="1"/>
  <c r="CP705" i="1" s="1"/>
  <c r="CR701" i="1" l="1"/>
  <c r="CQ703" i="1"/>
  <c r="CQ704" i="1" s="1"/>
  <c r="CQ705" i="1" s="1"/>
  <c r="CS701" i="1" l="1"/>
  <c r="CR703" i="1"/>
  <c r="CR704" i="1" s="1"/>
  <c r="CR705" i="1" s="1"/>
  <c r="CT701" i="1" l="1"/>
  <c r="CS703" i="1"/>
  <c r="CS704" i="1" s="1"/>
  <c r="CS705" i="1" s="1"/>
  <c r="CU701" i="1" l="1"/>
  <c r="CT703" i="1"/>
  <c r="CT704" i="1" s="1"/>
  <c r="CT705" i="1" s="1"/>
  <c r="CV701" i="1" l="1"/>
  <c r="CU703" i="1"/>
  <c r="CU704" i="1" s="1"/>
  <c r="CU705" i="1" s="1"/>
  <c r="CW701" i="1" l="1"/>
  <c r="CV703" i="1"/>
  <c r="CV704" i="1" s="1"/>
  <c r="CV705" i="1" s="1"/>
  <c r="CX701" i="1" l="1"/>
  <c r="CX703" i="1" s="1"/>
  <c r="CX704" i="1" s="1"/>
  <c r="CX705" i="1" s="1"/>
  <c r="CW703" i="1"/>
  <c r="CW704" i="1" s="1"/>
  <c r="CW705" i="1" s="1"/>
  <c r="C706" i="1" l="1"/>
  <c r="D708" i="1" s="1"/>
  <c r="D534" i="1"/>
  <c r="D538" i="1" s="1"/>
</calcChain>
</file>

<file path=xl/sharedStrings.xml><?xml version="1.0" encoding="utf-8"?>
<sst xmlns="http://schemas.openxmlformats.org/spreadsheetml/2006/main" count="1820" uniqueCount="1168">
  <si>
    <t>N stages required</t>
  </si>
  <si>
    <t>Maximum steady state output current</t>
  </si>
  <si>
    <t>Maximum diode current pulse</t>
  </si>
  <si>
    <t>Maximum diode current pulse with safety factor</t>
  </si>
  <si>
    <t>Safety factor</t>
  </si>
  <si>
    <t>Capacitance per stage</t>
  </si>
  <si>
    <t>Energy stored in single fully charged capacitor</t>
  </si>
  <si>
    <t>Diode steady state forward voltage</t>
  </si>
  <si>
    <t>Approximate forward voltage drop during sudden discharge (overestimate)</t>
  </si>
  <si>
    <t>Maximum sudden short circuit current through each side</t>
  </si>
  <si>
    <t>Energy into diode during sudden discharge (gross overestimate assuming all energy from capacitors)</t>
  </si>
  <si>
    <t>Maximum total diode steady state power loss</t>
  </si>
  <si>
    <t>Maximum diode steady state power loss (assuming conducting all the time)</t>
  </si>
  <si>
    <t>Maximum discharged capacitor voltage</t>
  </si>
  <si>
    <t>Maximum resistance required for desired discharge time or less</t>
  </si>
  <si>
    <t>Total power loss through discharge resistors</t>
  </si>
  <si>
    <t>Actual distcharge resistance</t>
  </si>
  <si>
    <t>Maximum voltage per stage</t>
  </si>
  <si>
    <t>Total steady state power losses</t>
  </si>
  <si>
    <t>Units</t>
  </si>
  <si>
    <t>A</t>
  </si>
  <si>
    <t>V</t>
  </si>
  <si>
    <t>W</t>
  </si>
  <si>
    <t>F</t>
  </si>
  <si>
    <t>Ω</t>
  </si>
  <si>
    <t>J</t>
  </si>
  <si>
    <t>Maximum full mltiplier voltage after discharge</t>
  </si>
  <si>
    <t>Maximum energy into each resistor from sudden short circuit (ignoring diode voltage drop)</t>
  </si>
  <si>
    <t>Diode power losses</t>
  </si>
  <si>
    <t>Maximum allowed capacitor discharge time</t>
  </si>
  <si>
    <t>Capacitor discharge resistor</t>
  </si>
  <si>
    <t>Possible component</t>
  </si>
  <si>
    <t>Actual discharge time</t>
  </si>
  <si>
    <t>https://www.mouser.co.uk/datasheet/2/281/MHR0422SA_series_data_sheet-1594297.pdf</t>
  </si>
  <si>
    <t>This certainly seems to be the best part. Use two in series</t>
  </si>
  <si>
    <t>Peak current DCM</t>
  </si>
  <si>
    <t>Efficiency</t>
  </si>
  <si>
    <t>V_in_min</t>
  </si>
  <si>
    <t>V_in_max</t>
  </si>
  <si>
    <t>D_max</t>
  </si>
  <si>
    <t>I_p_peak</t>
  </si>
  <si>
    <t>Maximum duty cycle</t>
  </si>
  <si>
    <t>Maximum voltage to drive primary of transformer</t>
  </si>
  <si>
    <t>Minimum voltage to drive primary of transformer</t>
  </si>
  <si>
    <t>L_p</t>
  </si>
  <si>
    <t>Primary inductance required</t>
  </si>
  <si>
    <t>Switching frequency</t>
  </si>
  <si>
    <t>f_sw</t>
  </si>
  <si>
    <t>n</t>
  </si>
  <si>
    <t>A_l</t>
  </si>
  <si>
    <t>nano henries per turn squared</t>
  </si>
  <si>
    <t>N_p</t>
  </si>
  <si>
    <t>Number of primary turns required</t>
  </si>
  <si>
    <t>B_max</t>
  </si>
  <si>
    <t>Maximum flux density</t>
  </si>
  <si>
    <t>A_e</t>
  </si>
  <si>
    <t>B_sat</t>
  </si>
  <si>
    <t>Saturation flux density</t>
  </si>
  <si>
    <t>Will saturate</t>
  </si>
  <si>
    <t>V_out_min</t>
  </si>
  <si>
    <t>V_out_d_max</t>
  </si>
  <si>
    <t>Output voltage desired at maximum duty cycle</t>
  </si>
  <si>
    <t>I_s_peak</t>
  </si>
  <si>
    <t>Peak secondary current safe for diodes</t>
  </si>
  <si>
    <t>I_o</t>
  </si>
  <si>
    <t>Value</t>
  </si>
  <si>
    <t>Enough stages</t>
  </si>
  <si>
    <t>Diode output current with safety factor</t>
  </si>
  <si>
    <t>Hz</t>
  </si>
  <si>
    <t>Minimum desired output voltage at full power</t>
  </si>
  <si>
    <t>Maximum desired output voltage at full power</t>
  </si>
  <si>
    <t>V_out_max</t>
  </si>
  <si>
    <t>Maximum power output desired</t>
  </si>
  <si>
    <t>Iopmax</t>
  </si>
  <si>
    <t>maximum output current</t>
  </si>
  <si>
    <t>Rout</t>
  </si>
  <si>
    <t xml:space="preserve">output resistance required </t>
  </si>
  <si>
    <t>I_vomaxpmax</t>
  </si>
  <si>
    <t>continuous output current for desired output power at maximum voltage</t>
  </si>
  <si>
    <t>I_vominpmax</t>
  </si>
  <si>
    <t>continuous output current for desired output power at minimum voltage</t>
  </si>
  <si>
    <t>voltage drop at max output voltage</t>
  </si>
  <si>
    <t>voltage drop at minimum output voltage</t>
  </si>
  <si>
    <t>resistor power at max output voltage</t>
  </si>
  <si>
    <t>resistor power at minimum output voltage</t>
  </si>
  <si>
    <t>capacitor discharge to per cycle</t>
  </si>
  <si>
    <t>lower voltage per cycle</t>
  </si>
  <si>
    <t>Voltage ripple</t>
  </si>
  <si>
    <t>Y5T tanδ best case</t>
  </si>
  <si>
    <t>Y5T tanδ worst case</t>
  </si>
  <si>
    <t>N4700 best case</t>
  </si>
  <si>
    <t>N4700 worst case</t>
  </si>
  <si>
    <t>Y6P best case</t>
  </si>
  <si>
    <t>Y6P worst case</t>
  </si>
  <si>
    <t>Y5P best case</t>
  </si>
  <si>
    <t>I_FSM</t>
  </si>
  <si>
    <t>Diode Average output current</t>
  </si>
  <si>
    <t>Villard Diode</t>
  </si>
  <si>
    <t>N Stages Actual</t>
  </si>
  <si>
    <t>N_v</t>
  </si>
  <si>
    <t>N_v_r</t>
  </si>
  <si>
    <t>Power wasted per stage while running from discharge resistor</t>
  </si>
  <si>
    <t>Discharges quickly enough</t>
  </si>
  <si>
    <t>Villard capacitor</t>
  </si>
  <si>
    <t>Y5T worst case power loss per capacitor</t>
  </si>
  <si>
    <t>N4700 worst case loss per capacitor</t>
  </si>
  <si>
    <t>Y6P worst case power loss per capacitor</t>
  </si>
  <si>
    <t>Y5P worst case</t>
  </si>
  <si>
    <t>Y5P worst case power loss per capacitor</t>
  </si>
  <si>
    <t>Y5T worst case power loss total</t>
  </si>
  <si>
    <t>N4700 worst case loss total</t>
  </si>
  <si>
    <t>Y6P worst case power loss total</t>
  </si>
  <si>
    <t>Y5P worst case power loss total</t>
  </si>
  <si>
    <t>V_c_rms</t>
  </si>
  <si>
    <t>Capacitor RMS voltage ripple</t>
  </si>
  <si>
    <t>Capacitor reactive power</t>
  </si>
  <si>
    <t xml:space="preserve">P_c_rms </t>
  </si>
  <si>
    <t>dV_c</t>
  </si>
  <si>
    <t>E_c_max</t>
  </si>
  <si>
    <t>Minimum total series resistance required</t>
  </si>
  <si>
    <t>Actual individual series resistor value</t>
  </si>
  <si>
    <t>N series resistors</t>
  </si>
  <si>
    <t>Description</t>
  </si>
  <si>
    <t>Variable</t>
  </si>
  <si>
    <t>Subsystem/Component</t>
  </si>
  <si>
    <t>Output current limiting composite series resistor</t>
  </si>
  <si>
    <t>Actual series resistance</t>
  </si>
  <si>
    <t>Minimum steady state output current at maximum voltage</t>
  </si>
  <si>
    <t>Total energy stored in all fully charged capacitors at maximum voltage</t>
  </si>
  <si>
    <t>Tolerance</t>
  </si>
  <si>
    <t>Inches to mm</t>
  </si>
  <si>
    <t>L</t>
  </si>
  <si>
    <t>mm</t>
  </si>
  <si>
    <t>L_max</t>
  </si>
  <si>
    <t>d</t>
  </si>
  <si>
    <t>d_max</t>
  </si>
  <si>
    <t>D</t>
  </si>
  <si>
    <t>Space between case and pcb</t>
  </si>
  <si>
    <t>Bend radius</t>
  </si>
  <si>
    <t>Pad spacing distance</t>
  </si>
  <si>
    <t>Minimum hole size</t>
  </si>
  <si>
    <t>Maximum hole size</t>
  </si>
  <si>
    <t>Pad Size Smallest Pad (Standard)</t>
  </si>
  <si>
    <t>More Reliable Pad (Recommended)</t>
  </si>
  <si>
    <t>Extra Strong (Power Applications)</t>
  </si>
  <si>
    <t>Actual hole size using</t>
  </si>
  <si>
    <t>Actual pad size using</t>
  </si>
  <si>
    <t>T_max</t>
  </si>
  <si>
    <t>AXCT81D20KV102K</t>
  </si>
  <si>
    <t>F_max</t>
  </si>
  <si>
    <t>Silkscreen clearance</t>
  </si>
  <si>
    <t>Silkscreen ractangle Width</t>
  </si>
  <si>
    <t>Siklscreen rectangle Height</t>
  </si>
  <si>
    <t>H</t>
  </si>
  <si>
    <t>H_max</t>
  </si>
  <si>
    <t>P</t>
  </si>
  <si>
    <t>P_max</t>
  </si>
  <si>
    <t>Pad spacing</t>
  </si>
  <si>
    <t>Space between pads</t>
  </si>
  <si>
    <t>HVR82MZ1005</t>
  </si>
  <si>
    <t>PCB Footprint Calculations</t>
  </si>
  <si>
    <t>%</t>
  </si>
  <si>
    <t>Maximum series resistance</t>
  </si>
  <si>
    <t>Minimum series resistance</t>
  </si>
  <si>
    <t>Power per resistor at lowest rated output voltage</t>
  </si>
  <si>
    <t>Maximum possible power loss with maximum flyback secondary current (limited to protect diodes)</t>
  </si>
  <si>
    <t>HVR82MY5010</t>
  </si>
  <si>
    <t>N_s</t>
  </si>
  <si>
    <t>Number of secondary turns required</t>
  </si>
  <si>
    <t>N bobbin segments</t>
  </si>
  <si>
    <t>Turns per bobbin segment</t>
  </si>
  <si>
    <t>Actual length for windings</t>
  </si>
  <si>
    <t>Segment length</t>
  </si>
  <si>
    <t>Wire thickness</t>
  </si>
  <si>
    <t>Winding space tolerance</t>
  </si>
  <si>
    <t>Winding thickness with tolerance</t>
  </si>
  <si>
    <t>N turns along segment length</t>
  </si>
  <si>
    <t>N 2mm dividers required not counting air gap one</t>
  </si>
  <si>
    <t>Bobin length for windings not counting air gap</t>
  </si>
  <si>
    <t>Average turn radius</t>
  </si>
  <si>
    <t>inner bobbin diameter</t>
  </si>
  <si>
    <t>Wire length meters</t>
  </si>
  <si>
    <t>Wire radius meters</t>
  </si>
  <si>
    <t>Wire volume</t>
  </si>
  <si>
    <t>Density of wire</t>
  </si>
  <si>
    <t>kg/m^3</t>
  </si>
  <si>
    <t>Mass of wire required</t>
  </si>
  <si>
    <t>Winding height</t>
  </si>
  <si>
    <t>N windings high</t>
  </si>
  <si>
    <t>132.2 longest dimension both cores</t>
  </si>
  <si>
    <t>~ 84.1 internal both sides together longest dimension for bobin lengths</t>
  </si>
  <si>
    <t>Average turn radius primary</t>
  </si>
  <si>
    <t>Wire conductive core thickness</t>
  </si>
  <si>
    <t>Resistance</t>
  </si>
  <si>
    <t>Resistivity</t>
  </si>
  <si>
    <t>Power loss</t>
  </si>
  <si>
    <t>Primary wire connections total length</t>
  </si>
  <si>
    <t>Primary winding wire length meters</t>
  </si>
  <si>
    <t>mm (included skin effect from 2mm, take this out put in proper equations)</t>
  </si>
  <si>
    <t>skin depth</t>
  </si>
  <si>
    <t>skin depth mm</t>
  </si>
  <si>
    <t>wire cross sectional area</t>
  </si>
  <si>
    <t>Wire conductive radius</t>
  </si>
  <si>
    <t>non conducting area due to skin effect</t>
  </si>
  <si>
    <t>conducting cross sectional area</t>
  </si>
  <si>
    <t>m</t>
  </si>
  <si>
    <t>m^2</t>
  </si>
  <si>
    <t>Total length</t>
  </si>
  <si>
    <t>Total surface area windng excluding ends</t>
  </si>
  <si>
    <t>Resistance winding</t>
  </si>
  <si>
    <t>Resistance connection wire length</t>
  </si>
  <si>
    <t>Total resistance</t>
  </si>
  <si>
    <t>Power loss connecton wire</t>
  </si>
  <si>
    <t>Total Power loss</t>
  </si>
  <si>
    <t>Heat flux winding</t>
  </si>
  <si>
    <t>Wire cross sectonal area</t>
  </si>
  <si>
    <t>watts</t>
  </si>
  <si>
    <t xml:space="preserve">Turns per segment. </t>
  </si>
  <si>
    <t>Vsn</t>
  </si>
  <si>
    <t>t_s</t>
  </si>
  <si>
    <t>t_s valid</t>
  </si>
  <si>
    <t>Leakage inductance seen from primary</t>
  </si>
  <si>
    <t>desired_dV_sn</t>
  </si>
  <si>
    <t>R_sn_actual</t>
  </si>
  <si>
    <t>C_sn_desired</t>
  </si>
  <si>
    <t>R_sn_desired</t>
  </si>
  <si>
    <t>C_sn_actual</t>
  </si>
  <si>
    <t>Clamp voltage</t>
  </si>
  <si>
    <t>V_reflected</t>
  </si>
  <si>
    <t>n_p/n_s turns ratio</t>
  </si>
  <si>
    <t>I_peak</t>
  </si>
  <si>
    <t>L_lk1</t>
  </si>
  <si>
    <t>P_sn_nominal</t>
  </si>
  <si>
    <t>P_sn_rated</t>
  </si>
  <si>
    <t>Power resistor must be rated for</t>
  </si>
  <si>
    <t>Acceptable voltage ripple across C in volts</t>
  </si>
  <si>
    <t>Actual voltage ripple</t>
  </si>
  <si>
    <t>Maximum feedback voltage</t>
  </si>
  <si>
    <t>Safe maximum voltage from MOSFET</t>
  </si>
  <si>
    <t>Snubber voltage feedback divider ratio</t>
  </si>
  <si>
    <t>Clamp zener diode leakage current</t>
  </si>
  <si>
    <t>Total power at maximum voltage</t>
  </si>
  <si>
    <t>R_snfb_H</t>
  </si>
  <si>
    <t>R_snfb_L</t>
  </si>
  <si>
    <t>R_snfb_total</t>
  </si>
  <si>
    <t>I_snfb_ max</t>
  </si>
  <si>
    <t>P_snfb_H</t>
  </si>
  <si>
    <t>P_snfb_L</t>
  </si>
  <si>
    <t>P_snfb_total</t>
  </si>
  <si>
    <t>V_snfb_min</t>
  </si>
  <si>
    <t>Esp32 adc n values</t>
  </si>
  <si>
    <t>Input voltage resolution</t>
  </si>
  <si>
    <t>Snubber feedback resolution</t>
  </si>
  <si>
    <t>Current at lowest feedback voltage</t>
  </si>
  <si>
    <t>V_tap at lowest input voltage</t>
  </si>
  <si>
    <t>V_tap at lowest input voltage with no zener diode</t>
  </si>
  <si>
    <t>proportion drift at lowest input voltage</t>
  </si>
  <si>
    <t>V_tap at minimum drive voltage</t>
  </si>
  <si>
    <t>V_tap at minimum drive voltage no tap</t>
  </si>
  <si>
    <t>proportion drift at minimum drive voltage</t>
  </si>
  <si>
    <t>as proportion of adc step</t>
  </si>
  <si>
    <t>Chosen zener diode</t>
  </si>
  <si>
    <t>1N4619</t>
  </si>
  <si>
    <t>Req</t>
  </si>
  <si>
    <t>Maximum capacitance adc pin</t>
  </si>
  <si>
    <t>Rzen_max</t>
  </si>
  <si>
    <t>R_snfb_L_suggested</t>
  </si>
  <si>
    <t>Bulk Capacitor (Electrolytic): Low-Frequency Energy Storage minimum capacitance</t>
  </si>
  <si>
    <t>Acceptible input voltage ripple</t>
  </si>
  <si>
    <t>∆V_in</t>
  </si>
  <si>
    <t>I_in</t>
  </si>
  <si>
    <t>Bulk Capacitor energy at Vin_max</t>
  </si>
  <si>
    <t>R_sfb_i</t>
  </si>
  <si>
    <t>R_sfb_i_required</t>
  </si>
  <si>
    <t>Multiple V_in_max should tollerate</t>
  </si>
  <si>
    <t>Maximum input voltage for range</t>
  </si>
  <si>
    <t>C_sn_n</t>
  </si>
  <si>
    <t>N paralle capacitors</t>
  </si>
  <si>
    <t>Proportion inductance is leakage</t>
  </si>
  <si>
    <t>I_sn_leak</t>
  </si>
  <si>
    <t>I_sn_rated_min</t>
  </si>
  <si>
    <t>I_sn_individual_rated_min</t>
  </si>
  <si>
    <t>I_sn_fsm_requried</t>
  </si>
  <si>
    <t>E_leak</t>
  </si>
  <si>
    <t>Q</t>
  </si>
  <si>
    <t>I_f(av)</t>
  </si>
  <si>
    <t>P_on</t>
  </si>
  <si>
    <t>R_DS(on)</t>
  </si>
  <si>
    <t>Continuous Drain Current</t>
  </si>
  <si>
    <t>I_d_required</t>
  </si>
  <si>
    <t>V_ds_required</t>
  </si>
  <si>
    <t>Q_gs</t>
  </si>
  <si>
    <t>Q_gd</t>
  </si>
  <si>
    <t>Q_g</t>
  </si>
  <si>
    <t>Total gate charge</t>
  </si>
  <si>
    <t>I_g</t>
  </si>
  <si>
    <t>switching time</t>
  </si>
  <si>
    <t>V_drive</t>
  </si>
  <si>
    <t>R_drive</t>
  </si>
  <si>
    <t>Maximum drive current</t>
  </si>
  <si>
    <t>Maximum drive current allowed</t>
  </si>
  <si>
    <t>Maximum drive current rating of gate driver</t>
  </si>
  <si>
    <t>Maximum drive current can safely use</t>
  </si>
  <si>
    <t>t_s_on</t>
  </si>
  <si>
    <t>t_s_off</t>
  </si>
  <si>
    <t>Time to switch off</t>
  </si>
  <si>
    <t>Tiome to switch on</t>
  </si>
  <si>
    <t>V_ds_actual</t>
  </si>
  <si>
    <t>V_DS</t>
  </si>
  <si>
    <t>Vgs which Q_g is for</t>
  </si>
  <si>
    <t>R_pulldown</t>
  </si>
  <si>
    <t>t_off_pulldown</t>
  </si>
  <si>
    <t>Passive off time without gate driver from pulldown resistor. For example on loss of power</t>
  </si>
  <si>
    <t>V_gs(th)</t>
  </si>
  <si>
    <t>I_DM</t>
  </si>
  <si>
    <t>Maximum pulsed drain current</t>
  </si>
  <si>
    <t>I_D25</t>
  </si>
  <si>
    <t>Pulldown great (less or equal to I_D25)</t>
  </si>
  <si>
    <t>Pulldown acceptible (less or equal to I_DM)</t>
  </si>
  <si>
    <t>P_Rpd</t>
  </si>
  <si>
    <t>Pulldown resistor power</t>
  </si>
  <si>
    <t>P_TOTAL</t>
  </si>
  <si>
    <t>s</t>
  </si>
  <si>
    <t>C</t>
  </si>
  <si>
    <t>V_ds high enough</t>
  </si>
  <si>
    <t>Max current reached in passive gate-off scenario (at peak current)</t>
  </si>
  <si>
    <t>P_gate</t>
  </si>
  <si>
    <t>Power for switching (power required to drive gate on and off)</t>
  </si>
  <si>
    <t>τ_sfb_cadc</t>
  </si>
  <si>
    <t>Primary Current Feedback</t>
  </si>
  <si>
    <t>R_pcfb_sense</t>
  </si>
  <si>
    <t>Sense resistance</t>
  </si>
  <si>
    <t>V_pcfb_sense</t>
  </si>
  <si>
    <t>Multiple of peak current desired for top of range</t>
  </si>
  <si>
    <t>Voltage across sense resistor at peak primary current</t>
  </si>
  <si>
    <t>Peak current should be designed  for</t>
  </si>
  <si>
    <t>Resistor power at maximum current rated for</t>
  </si>
  <si>
    <t>P_pcfb_sense_max</t>
  </si>
  <si>
    <t>V_R_pcfb_sense_peak</t>
  </si>
  <si>
    <t>V_R_pcfb_sense_max</t>
  </si>
  <si>
    <t>Voltage across sense resistor at peak max current</t>
  </si>
  <si>
    <t>ADC input voltage desired at maximum current</t>
  </si>
  <si>
    <t>R_pcfb_f</t>
  </si>
  <si>
    <t>R_pcfb_i</t>
  </si>
  <si>
    <t>R_pcfb_i_required</t>
  </si>
  <si>
    <t>Operational amplifier Input offset voltage</t>
  </si>
  <si>
    <t>V_os</t>
  </si>
  <si>
    <t>I_b</t>
  </si>
  <si>
    <t>Operational amplifier input bias current</t>
  </si>
  <si>
    <t>Gain Bandwidth Product (GBWP)</t>
  </si>
  <si>
    <t>GBWP</t>
  </si>
  <si>
    <t>SR</t>
  </si>
  <si>
    <t>Slew Rate</t>
  </si>
  <si>
    <t>SR_normalized</t>
  </si>
  <si>
    <t>Slew Rate Normalized</t>
  </si>
  <si>
    <t>V/s</t>
  </si>
  <si>
    <t>mV/us</t>
  </si>
  <si>
    <t>CMRR</t>
  </si>
  <si>
    <t>Common Mode Input Range</t>
  </si>
  <si>
    <t>dB</t>
  </si>
  <si>
    <t>Gain required</t>
  </si>
  <si>
    <t>Actual value</t>
  </si>
  <si>
    <t>Actual gain</t>
  </si>
  <si>
    <t>R_pcfb_f/R_pcfb_i required</t>
  </si>
  <si>
    <t>Minimum measureable current from input offset voltage</t>
  </si>
  <si>
    <t>I_pcfb_sense_min</t>
  </si>
  <si>
    <t>BW</t>
  </si>
  <si>
    <t>Gain acceptible</t>
  </si>
  <si>
    <t>GBWP Acceptible (BW&gt;=f_sw)</t>
  </si>
  <si>
    <t>Minimum slew rate required</t>
  </si>
  <si>
    <t>Slew rate high enough</t>
  </si>
  <si>
    <t>Minimum GBWP required</t>
  </si>
  <si>
    <t>Operational amplifier</t>
  </si>
  <si>
    <t>Operational amplifier part</t>
  </si>
  <si>
    <t>MCP6021-E/P</t>
  </si>
  <si>
    <t>A_v_required</t>
  </si>
  <si>
    <t>Gain_db_required</t>
  </si>
  <si>
    <t>A_v</t>
  </si>
  <si>
    <t>Gain_db</t>
  </si>
  <si>
    <t>CMRR acceptible (larger than Gain_db)</t>
  </si>
  <si>
    <t>Minimum measurable current required</t>
  </si>
  <si>
    <t>Input offset voltage acceptible</t>
  </si>
  <si>
    <t>P_pcfb_sense_peak</t>
  </si>
  <si>
    <t>Resistor power under normal conditions reaching peak primary current</t>
  </si>
  <si>
    <t>R_eq-</t>
  </si>
  <si>
    <t>R_eq+</t>
  </si>
  <si>
    <r>
      <t>Differential input-referred voltage offset</t>
    </r>
    <r>
      <rPr>
        <sz val="11"/>
        <color theme="1"/>
        <rFont val="Calibri"/>
        <family val="2"/>
        <scheme val="minor"/>
      </rPr>
      <t xml:space="preserve"> due to bias currents.</t>
    </r>
  </si>
  <si>
    <t>V_os_input</t>
  </si>
  <si>
    <t>V_os_amp</t>
  </si>
  <si>
    <t>Input Offset Voltage</t>
  </si>
  <si>
    <t>V_os_total</t>
  </si>
  <si>
    <t>A_v_max</t>
  </si>
  <si>
    <t>Maximum gain for resistor tollerances</t>
  </si>
  <si>
    <t>R_pcfb_f and R_pcfb_i tolerance</t>
  </si>
  <si>
    <t>R_pcfb_f_max</t>
  </si>
  <si>
    <t>R_pcfb_f_min</t>
  </si>
  <si>
    <t>R_pcfb_i_max</t>
  </si>
  <si>
    <t>R_pcfb_i_min</t>
  </si>
  <si>
    <t>A_v_min</t>
  </si>
  <si>
    <t>Maximum proportion variation in A_v</t>
  </si>
  <si>
    <t>Maximum % variation in A_v</t>
  </si>
  <si>
    <t>V_nominal</t>
  </si>
  <si>
    <t>Voltage on ADC input for 1A input</t>
  </si>
  <si>
    <t>V_gain_error</t>
  </si>
  <si>
    <t>V_error_total_1A</t>
  </si>
  <si>
    <t>V_error_total_I_peak</t>
  </si>
  <si>
    <t>V_error_total_I_max</t>
  </si>
  <si>
    <t>V_adc to current multiplier</t>
  </si>
  <si>
    <t>I_error_total_1A</t>
  </si>
  <si>
    <t>I_error_total_I_peak</t>
  </si>
  <si>
    <t>I_error_total_I_max</t>
  </si>
  <si>
    <t>Q_c</t>
  </si>
  <si>
    <t>Charge per cycle</t>
  </si>
  <si>
    <t>Peak primary current at end of t_on</t>
  </si>
  <si>
    <t>Duty cycle at peak primary current</t>
  </si>
  <si>
    <t>ΔV_max</t>
  </si>
  <si>
    <t>Scaling factor for burst handling and ripple smoothing</t>
  </si>
  <si>
    <t>f_c</t>
  </si>
  <si>
    <t>cutoff frequency for good attenuation</t>
  </si>
  <si>
    <t>L_lp</t>
  </si>
  <si>
    <t>C_lp_tank_desired</t>
  </si>
  <si>
    <t>C_lp_tank_min</t>
  </si>
  <si>
    <t>L_lp_min</t>
  </si>
  <si>
    <t>Minimum desired low-pass filter inductance</t>
  </si>
  <si>
    <t>f_c_desired</t>
  </si>
  <si>
    <t>Actual cutoff frequency</t>
  </si>
  <si>
    <t>C_lp</t>
  </si>
  <si>
    <t>Actual tank capacitance</t>
  </si>
  <si>
    <t>Attenuation(dB)</t>
  </si>
  <si>
    <t>E_C_lp_max</t>
  </si>
  <si>
    <t>Power Conditioning</t>
  </si>
  <si>
    <t>R_ir</t>
  </si>
  <si>
    <t>Inrush current limiting resistance</t>
  </si>
  <si>
    <t>Minimum power rating for inrush current limiting resistor</t>
  </si>
  <si>
    <t>s1</t>
  </si>
  <si>
    <t>s2</t>
  </si>
  <si>
    <t>t_peak</t>
  </si>
  <si>
    <t>P_R_ir_max</t>
  </si>
  <si>
    <t>Circuit is underdamped</t>
  </si>
  <si>
    <t>Underdamped</t>
  </si>
  <si>
    <t>α</t>
  </si>
  <si>
    <t>ω0</t>
  </si>
  <si>
    <t>ωd​</t>
  </si>
  <si>
    <t>Percent overshoot</t>
  </si>
  <si>
    <t>t_99%</t>
  </si>
  <si>
    <t>V_c_rating_min</t>
  </si>
  <si>
    <t>Minimum voltage rating of capacitor(s)</t>
  </si>
  <si>
    <t>C_lp_individual</t>
  </si>
  <si>
    <t>N_C_lp</t>
  </si>
  <si>
    <t>C_lp tolerance</t>
  </si>
  <si>
    <t>C_lp_min</t>
  </si>
  <si>
    <t>ESR_C_lp_individual</t>
  </si>
  <si>
    <t>ESR of individual capacitor</t>
  </si>
  <si>
    <t>ESR_C_lp_total</t>
  </si>
  <si>
    <t>P_C_lp_loss</t>
  </si>
  <si>
    <t>P_C_lp_loss_individual</t>
  </si>
  <si>
    <t>Actual low-pass filter  inductance</t>
  </si>
  <si>
    <t>I_avg_max</t>
  </si>
  <si>
    <t>I_L_lp_min</t>
  </si>
  <si>
    <t>Relay coil resistance</t>
  </si>
  <si>
    <t>Relay coil resistance tolerance</t>
  </si>
  <si>
    <t>R_re_coil_min</t>
  </si>
  <si>
    <t>R_re_coil</t>
  </si>
  <si>
    <t>R_re_coil_max</t>
  </si>
  <si>
    <t>V_re_nom</t>
  </si>
  <si>
    <t>I_re_nom</t>
  </si>
  <si>
    <t>Relay R,V and I nominal match up</t>
  </si>
  <si>
    <t>V_re_max</t>
  </si>
  <si>
    <t>Maximum relay voltage</t>
  </si>
  <si>
    <t>V_re_min</t>
  </si>
  <si>
    <t>Minimum relay voltage</t>
  </si>
  <si>
    <t>I_re_min_required</t>
  </si>
  <si>
    <t>I_re_max_required</t>
  </si>
  <si>
    <t>V_in_nom</t>
  </si>
  <si>
    <t>Nominal input voltage</t>
  </si>
  <si>
    <t>Typical current using suggested resistor value with nominal input voltage</t>
  </si>
  <si>
    <t>Minimum current (with minimum input voltage and  R_re_coil_max)</t>
  </si>
  <si>
    <t>Maximum current (with maximum input voltage and  R_re_coil_min)</t>
  </si>
  <si>
    <t>R_re_ext</t>
  </si>
  <si>
    <t>Suitable R_ext value</t>
  </si>
  <si>
    <t>P_R_re_ext_max</t>
  </si>
  <si>
    <t>P_R_re_ext_min</t>
  </si>
  <si>
    <t>R_re_ext tolerance</t>
  </si>
  <si>
    <t>R_re_ext_min</t>
  </si>
  <si>
    <t>R_re_ext_max</t>
  </si>
  <si>
    <t>P_R_re_EXT_nom</t>
  </si>
  <si>
    <t>ΔV_ESR</t>
  </si>
  <si>
    <t>ΔV_C</t>
  </si>
  <si>
    <t>ΔV_total</t>
  </si>
  <si>
    <t>R_ESR_individual</t>
  </si>
  <si>
    <t>R_ESR_actual</t>
  </si>
  <si>
    <t>P_C_sn_total</t>
  </si>
  <si>
    <t>P_C_sn_individual</t>
  </si>
  <si>
    <t>ΔV_sn_actual_total</t>
  </si>
  <si>
    <t>ΔV_sn_C</t>
  </si>
  <si>
    <t>ΔV_sn_ESR</t>
  </si>
  <si>
    <t>https://www.mouser.co.uk/ProductDetail/KEMET/R75IW5270AA40J?qs=aP1CjGhiNiEaI%2F7WsvzojQ%3D%3D</t>
  </si>
  <si>
    <t>N in parallel</t>
  </si>
  <si>
    <t>https://www.mouser.co.uk/ProductDetail/EPCOS-TDK/B32678G3476K?qs=IQR8xM2KsGh1aOrglafROA%3D%3D</t>
  </si>
  <si>
    <t>https://www.mouser.co.uk/ProductDetail/EPCOS-TDK/B32674D3805K000?qs=mz7Iz7JhaAV5lafkGXiYeg%3D%3D</t>
  </si>
  <si>
    <t>https://www.mouser.co.uk/ProductDetail/EPCOS-TDK/B32676G6126K000?qs=mz7Iz7JhaAVrrHmvpKbQ8A%3D%3D</t>
  </si>
  <si>
    <t>https://www.mouser.co.uk/ProductDetail/EPCOS-TDK/B32674D4605K000?qs=mz7Iz7JhaAUE8TovPOC19w%3D%3D</t>
  </si>
  <si>
    <t>https://www.mouser.co.uk/ProductDetail/EPCOS-TDK/B32674D4565K000?qs=mz7Iz7JhaAVSf1KPVrH8mQ%3D%3D</t>
  </si>
  <si>
    <t>Total ESR</t>
  </si>
  <si>
    <t>Price</t>
  </si>
  <si>
    <t>ESR</t>
  </si>
  <si>
    <t>Total Price</t>
  </si>
  <si>
    <t>Total Capacitance</t>
  </si>
  <si>
    <t>Capacitance</t>
  </si>
  <si>
    <t xml:space="preserve"> </t>
  </si>
  <si>
    <t>k</t>
  </si>
  <si>
    <t>safety factor</t>
  </si>
  <si>
    <t>V_sn_actual</t>
  </si>
  <si>
    <t>C_sn_actual_individual</t>
  </si>
  <si>
    <t>k_actual</t>
  </si>
  <si>
    <t>V_reflected_max</t>
  </si>
  <si>
    <t>RCD Snubber</t>
  </si>
  <si>
    <t>n_s</t>
  </si>
  <si>
    <t>n_r</t>
  </si>
  <si>
    <t>I_max</t>
  </si>
  <si>
    <t>I_min</t>
  </si>
  <si>
    <t>V_g</t>
  </si>
  <si>
    <t>C_2</t>
  </si>
  <si>
    <t>V_max</t>
  </si>
  <si>
    <t>Z_os</t>
  </si>
  <si>
    <t>C_s</t>
  </si>
  <si>
    <t>L_k</t>
  </si>
  <si>
    <t>I_pp</t>
  </si>
  <si>
    <t>V_i</t>
  </si>
  <si>
    <t>Input voltage</t>
  </si>
  <si>
    <t>V_o</t>
  </si>
  <si>
    <t>Output voltage</t>
  </si>
  <si>
    <t>Np/Ns</t>
  </si>
  <si>
    <t>L_s_max</t>
  </si>
  <si>
    <t>Maximum upper limit of L_s</t>
  </si>
  <si>
    <t>L_s_min</t>
  </si>
  <si>
    <t>Minimum L_s</t>
  </si>
  <si>
    <t>I_sw</t>
  </si>
  <si>
    <t>Maximum peak current allowed by the switch</t>
  </si>
  <si>
    <t>L_s</t>
  </si>
  <si>
    <t>L_m</t>
  </si>
  <si>
    <t>Desired max switch drain-source voltage</t>
  </si>
  <si>
    <t>L_s_valid</t>
  </si>
  <si>
    <t>L_s valid</t>
  </si>
  <si>
    <t>Actual chosen L_s</t>
  </si>
  <si>
    <t>Calculated C_s</t>
  </si>
  <si>
    <t>C_s_suggested</t>
  </si>
  <si>
    <t>I_lk_min</t>
  </si>
  <si>
    <t>I_c2_pkR</t>
  </si>
  <si>
    <t>Ids_pk</t>
  </si>
  <si>
    <t>I_c2_pkS</t>
  </si>
  <si>
    <t>L_lk</t>
  </si>
  <si>
    <t>Change Vmax</t>
  </si>
  <si>
    <t>v_ max/V_g</t>
  </si>
  <si>
    <t>Actual C_s</t>
  </si>
  <si>
    <t>Design based on</t>
  </si>
  <si>
    <t>C:\repos\snippets\CircuitAnalysis\VoltageMultiplier\Sources\Snubber\07948040.pdf</t>
  </si>
  <si>
    <t>E_pulse_max_desired</t>
  </si>
  <si>
    <t>Desired energy into flyback on each cycle with D=D_max</t>
  </si>
  <si>
    <t>n_s_over_p</t>
  </si>
  <si>
    <t>n_p_over_s</t>
  </si>
  <si>
    <t>n_p/n_s</t>
  </si>
  <si>
    <t>n_s/n_p</t>
  </si>
  <si>
    <t>Power Supply Voltage Feedback</t>
  </si>
  <si>
    <t>P_ESR</t>
  </si>
  <si>
    <t>R_C_ESR</t>
  </si>
  <si>
    <t>Conservative estimate</t>
  </si>
  <si>
    <t>https://www.mouser.co.uk/ProductDetail/KEMET/R75RR322050L4J?qs=zW32dvEIR3sfSLCevL5nlQ%3D%3D</t>
  </si>
  <si>
    <t>So only way to get more power out is to increase input voltage or increase peak current, but this is limited by the villard diodes.</t>
  </si>
  <si>
    <t>So what this means is the natural frequency the system operates at with limited peak primary current and discharging to 0 before next cycle. Is that the frequency increases in proportion to the drive voltage being placed across the flyback transformer.</t>
  </si>
  <si>
    <t>ω_r</t>
  </si>
  <si>
    <t>L_eq</t>
  </si>
  <si>
    <t>V_C,max</t>
  </si>
  <si>
    <t>I_D_s1,max</t>
  </si>
  <si>
    <t>I_D_s2,max</t>
  </si>
  <si>
    <t>V_D_s1,max</t>
  </si>
  <si>
    <t>V_D_s2,max</t>
  </si>
  <si>
    <t>I_Ds1,rating_min</t>
  </si>
  <si>
    <t>V_C,rating_min</t>
  </si>
  <si>
    <t>I_Ls,rating_min</t>
  </si>
  <si>
    <t>V_Ds2,rating_min</t>
  </si>
  <si>
    <t>V_Ds1,rating_min</t>
  </si>
  <si>
    <t>ΔV</t>
  </si>
  <si>
    <t>Maximum ripple across polypropylene capacitor allowed</t>
  </si>
  <si>
    <t>C_snp_required</t>
  </si>
  <si>
    <t>Snubber polypropylene capacitance required</t>
  </si>
  <si>
    <t>Regenerative Snubber Voltage Feedback</t>
  </si>
  <si>
    <t>RCD Snubber Voltage Feedback</t>
  </si>
  <si>
    <t>R_sfb_H</t>
  </si>
  <si>
    <t>R_sfb_L</t>
  </si>
  <si>
    <t>R_sfb_total</t>
  </si>
  <si>
    <t>V_drive_max</t>
  </si>
  <si>
    <t>P_R_sfb_H,max</t>
  </si>
  <si>
    <t>P_R_sfb_L,max</t>
  </si>
  <si>
    <t>I_sfb_max</t>
  </si>
  <si>
    <t>P_sfb</t>
  </si>
  <si>
    <t>Maximum divided voltage for maximum drive voltage</t>
  </si>
  <si>
    <t>Divide ratio required</t>
  </si>
  <si>
    <t>Actual divide ratio</t>
  </si>
  <si>
    <t>Divide ratio valid</t>
  </si>
  <si>
    <t>P_Ds1</t>
  </si>
  <si>
    <t>P_Ds2</t>
  </si>
  <si>
    <t>V_d_s1,forward</t>
  </si>
  <si>
    <t>V_d_s2,forward</t>
  </si>
  <si>
    <t>OVER ESTIMATE</t>
  </si>
  <si>
    <t>Inductor energy</t>
  </si>
  <si>
    <t>I_in_typical</t>
  </si>
  <si>
    <t>V_in_typical</t>
  </si>
  <si>
    <t>Capacitor voltage change from nominal for inductor energy</t>
  </si>
  <si>
    <t>PCB Track Thickness  IPC-2221</t>
  </si>
  <si>
    <t>Current (I)</t>
  </si>
  <si>
    <t>Thickness oz/ft</t>
  </si>
  <si>
    <t>T_rise</t>
  </si>
  <si>
    <t>Track</t>
  </si>
  <si>
    <t>Inputs from batteries</t>
  </si>
  <si>
    <t>Connection to both external 3A max PSU's</t>
  </si>
  <si>
    <t>To fiber optics</t>
  </si>
  <si>
    <t>22 amp peak circuit</t>
  </si>
  <si>
    <t>Length of track</t>
  </si>
  <si>
    <t>Actual Width Chosen</t>
  </si>
  <si>
    <t>External Layer Width Required (mm)</t>
  </si>
  <si>
    <t>Internal Layer Width Required (mm)</t>
  </si>
  <si>
    <t>Power</t>
  </si>
  <si>
    <t>Actual Expected Trise Internal</t>
  </si>
  <si>
    <t>Actual Expected Trise External</t>
  </si>
  <si>
    <t>Voltage Drop</t>
  </si>
  <si>
    <t>Mineral oil volume</t>
  </si>
  <si>
    <t>m^3</t>
  </si>
  <si>
    <t>Vessel ID</t>
  </si>
  <si>
    <t>Height</t>
  </si>
  <si>
    <t>Maximum heat power</t>
  </si>
  <si>
    <t>kJ/kg·K</t>
  </si>
  <si>
    <t>Allowed temperture rise above ambient</t>
  </si>
  <si>
    <t>K</t>
  </si>
  <si>
    <t>Mineral oil density</t>
  </si>
  <si>
    <t>Mineral oil Specific heat capacity oil</t>
  </si>
  <si>
    <t>kg/m³</t>
  </si>
  <si>
    <t>m³</t>
  </si>
  <si>
    <t>Total mass of mineral oil in vessel</t>
  </si>
  <si>
    <t>kg</t>
  </si>
  <si>
    <t>Total energy capacity for specified temperture rise</t>
  </si>
  <si>
    <t>KJ</t>
  </si>
  <si>
    <t>Maximum time for single turnover</t>
  </si>
  <si>
    <t>Desired maximum time for single turnover including safety factor</t>
  </si>
  <si>
    <t>Flow rate required</t>
  </si>
  <si>
    <t>m³/s</t>
  </si>
  <si>
    <t>ml/s</t>
  </si>
  <si>
    <t>Safe flow speed portal</t>
  </si>
  <si>
    <t>m/s</t>
  </si>
  <si>
    <t>Portal area required</t>
  </si>
  <si>
    <t>Portal sizing (diameter)</t>
  </si>
  <si>
    <t>Portal diameter minimum (mm)</t>
  </si>
  <si>
    <t>Minimum portal diameter</t>
  </si>
  <si>
    <t>Desired reynalds number</t>
  </si>
  <si>
    <t>Kinemetic viscosity</t>
  </si>
  <si>
    <t>Dyanmic viscosity</t>
  </si>
  <si>
    <t>Actual reynolds number</t>
  </si>
  <si>
    <t>Actual Portal diameter</t>
  </si>
  <si>
    <t>Actual portal diameter (m)</t>
  </si>
  <si>
    <t>Reynolds number acceptible</t>
  </si>
  <si>
    <t>M4</t>
  </si>
  <si>
    <t>Length</t>
  </si>
  <si>
    <t>Diameter</t>
  </si>
  <si>
    <t>Number</t>
  </si>
  <si>
    <t>M3</t>
  </si>
  <si>
    <t>30mm</t>
  </si>
  <si>
    <t>M2.5</t>
  </si>
  <si>
    <t>M8</t>
  </si>
  <si>
    <t>20mm</t>
  </si>
  <si>
    <t>30mm 40 more desirable</t>
  </si>
  <si>
    <t>https://www.aliexpress.com/item/1005005480826442.html?spm=a2g0o.cart.0.0.10e238dawUu18S&amp;mp=1&amp;pdp_npi=5%40dis%21GBP%21GBP%201.52%21GBP%201.26%21%21GBP%201.26%21%21%21%4021038da617489300338885085ef51d%2112000033254538100%21ct%21UK%214911257576%21%211%210</t>
  </si>
  <si>
    <t>https://www.aliexpress.com/item/1005005489704779.html?spm=a2g0o.cart.0.0.3af938daqF893N&amp;mp=1&amp;pdp_npi=5%40dis%21GBP%21GBP%202.11%21GBP%201.84%21%21GBP%201.84%21%21%21%4021038da617489300680525622ef51d%2112000033284825011%21ct%21UK%214911257576%21%211%210</t>
  </si>
  <si>
    <t>https://www.aliexpress.com/item/1005005480826442.html?spm=a2g0o.cart.0.0.560938daHEcyqE&amp;mp=1&amp;pdp_npi=5%40dis%21GBP%21GBP%200.82%21GBP%200.68%21%21GBP%200.68%21%21%21%4021038da617489300775685831ef51d%2112000033254379950%21ct%21UK%214911257576%21%211%210</t>
  </si>
  <si>
    <t>https://www.aliexpress.com/item/32979035684.html?spm=a2g0o.productlist.main.1.43315cf9lFXo4v&amp;algo_pvid=1ae9e8c1-7a0f-4aec-b376-9270d2db3078&amp;algo_exp_id=1ae9e8c1-7a0f-4aec-b376-9270d2db3078-0&amp;pdp_ext_f=%7B%22order%22%3A%2249%22%2C%22eval%22%3A%221%22%7D&amp;pdp_npi=4%40dis%21GBP%211.02%210.96%21%21%211.34%211.26%21%402103956b17489301282611606e8cf3%2112000037695417645%21sea%21UK%214911257576%21X&amp;curPageLogUid=ecdD7wgyjiJL&amp;utparam-url=scene%3Asearch%7Cquery_from%3A</t>
  </si>
  <si>
    <t>https://www.aliexpress.com/item/1005005489704779.html?spm=a2g0o.cart.0.0.184338dahPk8Kk&amp;mp=1&amp;pdp_npi=5%40dis%21GBP%21GBP%202.11%21GBP%201.84%21%21GBP%201.84%21%21%21%40211b807017489305761224505eeaf6%2112000033284825011%21ct%21UK%214911257576%21%211%210</t>
  </si>
  <si>
    <t>25mm (20mm just enough I think)</t>
  </si>
  <si>
    <t>https://www.aliexpress.com/item/1005005747262698.html?spm=a2g0o.cart.0.0.4cc038daQAAcCh&amp;mp=1&amp;pdp_npi=5%40dis%21GBP%21GBP%205.88%21GBP%202.94%21%21GBP%202.94%21%21%21%40211b807017489305983274816eeaf6%2112000034202358244%21ct%21UK%214911257576%21%211%210</t>
  </si>
  <si>
    <t xml:space="preserve">Washer kit varying sizes m2.5 + </t>
  </si>
  <si>
    <t xml:space="preserve">25mm </t>
  </si>
  <si>
    <t>Driver MOSFET Heat sinking</t>
  </si>
  <si>
    <t>Thermal conductivity of insulator layer</t>
  </si>
  <si>
    <t>W/m-K</t>
  </si>
  <si>
    <t>Thickness of insulator layer (mm)</t>
  </si>
  <si>
    <t>Contact Area</t>
  </si>
  <si>
    <t>Total thermal resistance</t>
  </si>
  <si>
    <t>RθCS</t>
  </si>
  <si>
    <t>Case-to-Sink Thermal resistance of insulator layer</t>
  </si>
  <si>
    <t>RθJC</t>
  </si>
  <si>
    <t>Junction-to-Case</t>
  </si>
  <si>
    <t>RθSA​</t>
  </si>
  <si>
    <t>Sink-to-Ambient Thermal resistance of heatsink max</t>
  </si>
  <si>
    <t>Delta T</t>
  </si>
  <si>
    <t>ΔT</t>
  </si>
  <si>
    <t>Maximum ambient temperature</t>
  </si>
  <si>
    <t>Maximum junction temperature</t>
  </si>
  <si>
    <t>Maximum allowed junction temperature</t>
  </si>
  <si>
    <t>Acceptible</t>
  </si>
  <si>
    <t>Dirver MOSFET Screw Washer choice</t>
  </si>
  <si>
    <t>High Voltage Output Feedback</t>
  </si>
  <si>
    <t>N individual resistors in composite high voltage resistor</t>
  </si>
  <si>
    <t>Ratio required</t>
  </si>
  <si>
    <t>Low leg resistance required</t>
  </si>
  <si>
    <t>Current at maximum output voltage</t>
  </si>
  <si>
    <t>Power per individual composite resistor</t>
  </si>
  <si>
    <t>Total power</t>
  </si>
  <si>
    <t>Power in lower leg resistor</t>
  </si>
  <si>
    <t>Cooling fan</t>
  </si>
  <si>
    <t>Number of heatsinks (identicle in this case)</t>
  </si>
  <si>
    <t>Desired flow rate for each heatsink</t>
  </si>
  <si>
    <t>cross sectional area</t>
  </si>
  <si>
    <t>LFM</t>
  </si>
  <si>
    <t>Cubic meters per minute per heatsink</t>
  </si>
  <si>
    <t>Cubic meters per hour</t>
  </si>
  <si>
    <t>Inrush resistor temperature change</t>
  </si>
  <si>
    <t>Total energy into inrush current limiting resistor</t>
  </si>
  <si>
    <t>E_R_ir</t>
  </si>
  <si>
    <t>V_R_ir</t>
  </si>
  <si>
    <t>Volume of inrush resistor metal</t>
  </si>
  <si>
    <t>c_p</t>
  </si>
  <si>
    <t>Inrush resistor metal specific heat capacity (probably aluminium alloy)</t>
  </si>
  <si>
    <t>ρ</t>
  </si>
  <si>
    <t>Inrush resistor metal density</t>
  </si>
  <si>
    <t>kPETG</t>
  </si>
  <si>
    <t>heff​</t>
  </si>
  <si>
    <t>Effective thermal dissipation rate</t>
  </si>
  <si>
    <t>Thermal time constant</t>
  </si>
  <si>
    <t>Thermal capacitance</t>
  </si>
  <si>
    <t>Cth​</t>
  </si>
  <si>
    <t>t99%​</t>
  </si>
  <si>
    <t>Thermal conductivity petg</t>
  </si>
  <si>
    <t>RPETG​</t>
  </si>
  <si>
    <t>Thermal resistance PETG</t>
  </si>
  <si>
    <t>Area PETG insulator</t>
  </si>
  <si>
    <t>A_insulator</t>
  </si>
  <si>
    <t>L_insulator</t>
  </si>
  <si>
    <t>Length insulator</t>
  </si>
  <si>
    <t>Q(t)</t>
  </si>
  <si>
    <t>ΔTfar side</t>
  </si>
  <si>
    <t>Actual low leg resistance</t>
  </si>
  <si>
    <t>Active cooling by oil circulation</t>
  </si>
  <si>
    <t>Power loss discharge resistors</t>
  </si>
  <si>
    <t>Steady state power loss diodes</t>
  </si>
  <si>
    <t>Flyback power loss</t>
  </si>
  <si>
    <t>Total power loss into mineral oil</t>
  </si>
  <si>
    <t>?? I think I used two approaches this needs to go above is correct</t>
  </si>
  <si>
    <t>Individual current limiting resistor power rating</t>
  </si>
  <si>
    <t>Minimum output voltage acceptible (doesn’t cause too high loss)</t>
  </si>
  <si>
    <t>Maximum steady state power loss at lowest rated output voltage</t>
  </si>
  <si>
    <t>Maximum steady state power loss at highest rated output voltage</t>
  </si>
  <si>
    <t>Maximum composite output current limiting resistor average power</t>
  </si>
  <si>
    <t>Regenerative Snubber</t>
  </si>
  <si>
    <t>Liquid resistor resistivity</t>
  </si>
  <si>
    <t>Area</t>
  </si>
  <si>
    <t>Thermal capacity</t>
  </si>
  <si>
    <t>Volume</t>
  </si>
  <si>
    <t>Specitic heat capacity</t>
  </si>
  <si>
    <t>J/kg°C </t>
  </si>
  <si>
    <t>Density</t>
  </si>
  <si>
    <t>Maximum allowed temperature rise</t>
  </si>
  <si>
    <t>Maximum energy capacity</t>
  </si>
  <si>
    <t>Dummy Loads For Testing Primary</t>
  </si>
  <si>
    <t>Minimum current required to test above lower bound of ADC</t>
  </si>
  <si>
    <t>Max resistance required</t>
  </si>
  <si>
    <t>Min resistance required</t>
  </si>
  <si>
    <t>Nominal resistance required</t>
  </si>
  <si>
    <t>Actual resistance for minimum current test</t>
  </si>
  <si>
    <t>Maximum output power</t>
  </si>
  <si>
    <t>Actual individual resistor value</t>
  </si>
  <si>
    <t>N in series</t>
  </si>
  <si>
    <t>Series resistance</t>
  </si>
  <si>
    <t>Minimum resistance for 200w test required</t>
  </si>
  <si>
    <t>Maximum current reached</t>
  </si>
  <si>
    <t>Maximum peak current</t>
  </si>
  <si>
    <t>Minimum peak current</t>
  </si>
  <si>
    <t>Maximum average power</t>
  </si>
  <si>
    <t>Maximum Peak power</t>
  </si>
  <si>
    <t>Minimum Peak Power</t>
  </si>
  <si>
    <t>Minimum average power</t>
  </si>
  <si>
    <t>1, 1, 1, 1, 1</t>
  </si>
  <si>
    <t>Resistor combination for maximum supply voltage</t>
  </si>
  <si>
    <t>1, 1, 1, 1, 1, 1</t>
  </si>
  <si>
    <t>1, 1, 1, 2, 2</t>
  </si>
  <si>
    <t>1, 1, 1, 1, 2, 2</t>
  </si>
  <si>
    <t>1, 1, 1, 1, 1, 2, 2</t>
  </si>
  <si>
    <t>1, 1, 1, 1, 1, 1, 2, 2</t>
  </si>
  <si>
    <t>1, 1, 1, 2, 2, 4</t>
  </si>
  <si>
    <t>1, 2, 2, 4, 4</t>
  </si>
  <si>
    <t>1, 1, 1, 1, 2, 2, 4 OR 2, 4, 4</t>
  </si>
  <si>
    <t>1, 1, 2, 2, 4, 4</t>
  </si>
  <si>
    <t>Secondary Leakage inductance</t>
  </si>
  <si>
    <t>L_s_actual</t>
  </si>
  <si>
    <t>f</t>
  </si>
  <si>
    <t>drive frequency (Hz) (16 kHz nominal)</t>
  </si>
  <si>
    <t>N</t>
  </si>
  <si>
    <t>CT turns ratio (e.g. 1000:1 ⇒ N=1000)</t>
  </si>
  <si>
    <t>Vadc_fs</t>
  </si>
  <si>
    <t>Vf</t>
  </si>
  <si>
    <t>forward drop of one rectifier diode at your CT secondary current (V)</t>
  </si>
  <si>
    <t>Burden resistor resistance = Vtarget_pk / Isec_pk</t>
  </si>
  <si>
    <t>Rb_suggested</t>
  </si>
  <si>
    <t>Rb_actual</t>
  </si>
  <si>
    <t>Actual value chosen</t>
  </si>
  <si>
    <t>Primary peak current (A) under typical operating conditions</t>
  </si>
  <si>
    <t>Maximum peak current to ever be potentially seen</t>
  </si>
  <si>
    <t>I_pri_pk_max</t>
  </si>
  <si>
    <t>Expected RMS at the maximum operating point</t>
  </si>
  <si>
    <t>I_pri_rms_max</t>
  </si>
  <si>
    <t>I_sec_pk_max</t>
  </si>
  <si>
    <t>I_sec_rms_max</t>
  </si>
  <si>
    <t>ADC full-scale you want to use at the maximum primary peak current</t>
  </si>
  <si>
    <t>Peak power in Rb at maximum primary current</t>
  </si>
  <si>
    <t>Peak power seen in a bridge rectifier diode at maximum primary current</t>
  </si>
  <si>
    <t>Actual peak voltage seen by ADC at maximum primary current</t>
  </si>
  <si>
    <t>Vadc_actual_pk_max</t>
  </si>
  <si>
    <t>P_D_peak_max</t>
  </si>
  <si>
    <t>P_Rb_peak_max</t>
  </si>
  <si>
    <t>Peak power in Rb at typical peak primary current</t>
  </si>
  <si>
    <t>P_Rb_peak_typ</t>
  </si>
  <si>
    <t>I_sec_pk_typ</t>
  </si>
  <si>
    <t>P_D_peak_typ</t>
  </si>
  <si>
    <t>Peak power seen in a bridge rectifier diode at typical peak primary current</t>
  </si>
  <si>
    <t>V_adc_peak_typ</t>
  </si>
  <si>
    <t>Typical Peak voltage seen by ADC</t>
  </si>
  <si>
    <t>P_Rb_average_max</t>
  </si>
  <si>
    <t>P_Rb_average_typ</t>
  </si>
  <si>
    <t>Average power in Rb at typical primary current</t>
  </si>
  <si>
    <t>Average power in Rb at maximum primary current</t>
  </si>
  <si>
    <t>I_sec_rms_typ</t>
  </si>
  <si>
    <t>I_pri_rms_typ</t>
  </si>
  <si>
    <t>I_pri_pk_typ</t>
  </si>
  <si>
    <t>Rb_peak_max</t>
  </si>
  <si>
    <t>Maximum peak burden seen by current transformer</t>
  </si>
  <si>
    <t>Id_pk</t>
  </si>
  <si>
    <t>Minimum diode current rating (comfortably rated for repetitive peak current)</t>
  </si>
  <si>
    <t>Id_actual</t>
  </si>
  <si>
    <t>Actual diode repetitive peak current rating</t>
  </si>
  <si>
    <t>V_zener_min_actual</t>
  </si>
  <si>
    <t>Minimum ADC input protection zener diode voltage</t>
  </si>
  <si>
    <t>R_series_min</t>
  </si>
  <si>
    <t>Minimum resistor value between Rb node and ADC input node</t>
  </si>
  <si>
    <t>t_half_cycle</t>
  </si>
  <si>
    <t>N_ts</t>
  </si>
  <si>
    <t>N time steps for integrating volt-time-product</t>
  </si>
  <si>
    <t>Time step</t>
  </si>
  <si>
    <t>Interval</t>
  </si>
  <si>
    <t>I_primary</t>
  </si>
  <si>
    <t>I_primary_pk</t>
  </si>
  <si>
    <t>I_secondary</t>
  </si>
  <si>
    <t>Vs_step</t>
  </si>
  <si>
    <t>Vs</t>
  </si>
  <si>
    <t>Vs_max_actual</t>
  </si>
  <si>
    <t>Vs acceptible</t>
  </si>
  <si>
    <t>Desired output voltage</t>
  </si>
  <si>
    <t>Vout</t>
  </si>
  <si>
    <t>R2</t>
  </si>
  <si>
    <t>R1</t>
  </si>
  <si>
    <t>Do not change</t>
  </si>
  <si>
    <t>Required R2 value</t>
  </si>
  <si>
    <t>Minimum desired output voltage</t>
  </si>
  <si>
    <t>Vout_min</t>
  </si>
  <si>
    <t>Vout_max</t>
  </si>
  <si>
    <t>Maximum desired output voltage</t>
  </si>
  <si>
    <t>Required R2 value for minimum output voltage</t>
  </si>
  <si>
    <t>Requried R2 value for maximum output voltage</t>
  </si>
  <si>
    <t>R2_max</t>
  </si>
  <si>
    <t>R2_min</t>
  </si>
  <si>
    <t>Cff</t>
  </si>
  <si>
    <t>LM2956HV-adj for 3.3v</t>
  </si>
  <si>
    <t>LM2956HV-adj for 5v</t>
  </si>
  <si>
    <t>LM2956HV-adj for 2-30v</t>
  </si>
  <si>
    <t>LM2956HV-adj for 9-15v</t>
  </si>
  <si>
    <t>LM2956HV-adj for 10v</t>
  </si>
  <si>
    <t>Feedforward capacitor given by equations on https://e2e.ti.com/support/power-management-group/power-management/f/power-management-forum/898296/lm2596-feedforward-capacitor-selection#:~:text=Andy%20Chen%20over%206%20years,performance%20in%20the%20actual%20application.</t>
  </si>
  <si>
    <t>V_SC,max</t>
  </si>
  <si>
    <t>Maximum snubber capacitor voltage</t>
  </si>
  <si>
    <t>V_supply_max</t>
  </si>
  <si>
    <t>Maximum supply voltage</t>
  </si>
  <si>
    <t>I_DS_pk</t>
  </si>
  <si>
    <t>V_DS_max</t>
  </si>
  <si>
    <t>Surely this should be 100? As we literally are using the maximum drain source voltage we set with the snubber but we are adding to this the supply voltage?</t>
  </si>
  <si>
    <t>P_sw_max</t>
  </si>
  <si>
    <t>Driver MOSFET single with regenerative snubber</t>
  </si>
  <si>
    <t>Time to switch on lower MOSFET's</t>
  </si>
  <si>
    <t>Time to switch off lower MOSFET's</t>
  </si>
  <si>
    <t>V_drive_lower</t>
  </si>
  <si>
    <t>Voltage gate being driven to for upper MOSFET'S</t>
  </si>
  <si>
    <t>Voltage gate being driven to for lower MOSFETSS</t>
  </si>
  <si>
    <t>t_s_lower</t>
  </si>
  <si>
    <t>t_s_on_lower</t>
  </si>
  <si>
    <t>t_s_off_lower</t>
  </si>
  <si>
    <t>t_s_upper</t>
  </si>
  <si>
    <t>t_s_on_upper</t>
  </si>
  <si>
    <t>t_s_off_upper</t>
  </si>
  <si>
    <t>Switching time upper MOSFET's</t>
  </si>
  <si>
    <t>Switching time lower MOSFET's</t>
  </si>
  <si>
    <t>Time to switch on upper MOSFET's</t>
  </si>
  <si>
    <t>Time to switch off upper MOSFET's</t>
  </si>
  <si>
    <t>P_sw_max_single_mosfet</t>
  </si>
  <si>
    <t>P_gate_single_mosfet</t>
  </si>
  <si>
    <t>P_total_max_single_mosfet</t>
  </si>
  <si>
    <t>Maximum total power that can be dissipated as heat in a single MOSFET</t>
  </si>
  <si>
    <t>P_total_max_bridge</t>
  </si>
  <si>
    <t>Maximum total power that can be dissipated as heat in all four H Bridge MOSFET's combined</t>
  </si>
  <si>
    <t>Maximum pulsed drain current rating of MOSFET</t>
  </si>
  <si>
    <t>L_load</t>
  </si>
  <si>
    <t>Inductance of load</t>
  </si>
  <si>
    <t>Maximum desired voltage ripple on high side boot capacitance</t>
  </si>
  <si>
    <t>ΔV_desired_max</t>
  </si>
  <si>
    <t>C_boot_actual</t>
  </si>
  <si>
    <t>C_boot_required</t>
  </si>
  <si>
    <t>ΔV_actual_max</t>
  </si>
  <si>
    <t>Minimum high side boot capacitance required for high side</t>
  </si>
  <si>
    <t>Actual high side boot capacitance</t>
  </si>
  <si>
    <t>Actual voltage ripple on high side boot capacitance</t>
  </si>
  <si>
    <t>VBSUV</t>
  </si>
  <si>
    <t>I use VBSUV+, max because I am not someone who flirts with failure</t>
  </si>
  <si>
    <t xml:space="preserve"> =(VB−VS)min,actual​ − ("VBSUV−​" but I choose to use VBSUV+,max here)</t>
  </si>
  <si>
    <t>V_F_max_diode</t>
  </si>
  <si>
    <t>Maximum forward voltage drop of diode to high side from Vcc</t>
  </si>
  <si>
    <t>V_drive_upper_min</t>
  </si>
  <si>
    <t>V_cc</t>
  </si>
  <si>
    <t>V_cc to gate driver</t>
  </si>
  <si>
    <t>C_boot large enough</t>
  </si>
  <si>
    <t>UVLO_margin_desired</t>
  </si>
  <si>
    <t>Acceptable margin. DO NOT CHANGE</t>
  </si>
  <si>
    <t>VLS​</t>
  </si>
  <si>
    <t xml:space="preserve"> =VCC−COM</t>
  </si>
  <si>
    <t>VCCUV+,max</t>
  </si>
  <si>
    <t>UVLO_u_margin_actual</t>
  </si>
  <si>
    <t>UVLO_l_margin_actual</t>
  </si>
  <si>
    <t>Actual low side under voltage lock out margin</t>
  </si>
  <si>
    <t>UVLO_u_margin_actual big enough</t>
  </si>
  <si>
    <t>UVLO_l_margin_actual big enough</t>
  </si>
  <si>
    <t xml:space="preserve">Q_refill </t>
  </si>
  <si>
    <t>charge to refill boot capacitor on each cycle</t>
  </si>
  <si>
    <t>I_d_boot_avg</t>
  </si>
  <si>
    <t>Average current through boot diode</t>
  </si>
  <si>
    <t>Effective resistance for refilling boot capacitor</t>
  </si>
  <si>
    <t>R_eff_boot</t>
  </si>
  <si>
    <t>R_diode_boot</t>
  </si>
  <si>
    <t>Peak current through boot diode on refill C_boot</t>
  </si>
  <si>
    <t>V_boot_initial</t>
  </si>
  <si>
    <t>The lowest voltage drive can happen theoretically =  VBSUV+,min</t>
  </si>
  <si>
    <t>Diode suitable to handle maximum peak current on boostrap</t>
  </si>
  <si>
    <t>I_boot_diode_peak_max</t>
  </si>
  <si>
    <t>I_boot_diode_peak_from_ΔV</t>
  </si>
  <si>
    <t>V_boot_diode_RRM</t>
  </si>
  <si>
    <t>I_FSM_boot_diode</t>
  </si>
  <si>
    <t>ESR_c_boot</t>
  </si>
  <si>
    <t>Boot diode V_RRM big enough</t>
  </si>
  <si>
    <t>Estimated current step for bootstrap diode</t>
  </si>
  <si>
    <t>Δi_boot_diode</t>
  </si>
  <si>
    <t>L_boot_loop</t>
  </si>
  <si>
    <t>Δt</t>
  </si>
  <si>
    <t xml:space="preserve">Estimated: Δt is the time over which the current in that specific loop changes, not the total MOSFET gate charge time </t>
  </si>
  <si>
    <t>Estimated loop inductance. Being over conservative and using a bad design value</t>
  </si>
  <si>
    <t>Estimated Inductive spike caused by the forward current step when the bootstrap diode turns ON</t>
  </si>
  <si>
    <t>Irr</t>
  </si>
  <si>
    <t>trr​</t>
  </si>
  <si>
    <t>Reverse recovery time</t>
  </si>
  <si>
    <t>Voltage spike when the gate driver turns off the MOSFET. Qrr matters when the diode turns OFF, not when it turns on.</t>
  </si>
  <si>
    <t>V_spike_Qrr_desired</t>
  </si>
  <si>
    <t>V_spike_Qrr_acceptable</t>
  </si>
  <si>
    <t>V_spike_Qrr</t>
  </si>
  <si>
    <t>Maximum voltage spike desired when boostrap diode turns on</t>
  </si>
  <si>
    <t>Maximum voltage spike due to Qrr of boostrap diode when it turns off</t>
  </si>
  <si>
    <t>V_spike_boot_on</t>
  </si>
  <si>
    <t>V_spike_boot_on_desired</t>
  </si>
  <si>
    <t>V_spike_boot_on_acceptable</t>
  </si>
  <si>
    <t>I_d_actual</t>
  </si>
  <si>
    <t>I_d high enough</t>
  </si>
  <si>
    <t>For Part</t>
  </si>
  <si>
    <t>Driver MOSFET H-Bridge</t>
  </si>
  <si>
    <t>0.5 xIrrxtrr is a good approximation. The reverse current because the diode stores charge</t>
  </si>
  <si>
    <t>MUR420</t>
  </si>
  <si>
    <t>Kee boot loop tight</t>
  </si>
  <si>
    <t>Had to approximate this. Over estimated</t>
  </si>
  <si>
    <t>FG26X7R2A105KNT06</t>
  </si>
  <si>
    <t>Had to approximate this but can update later</t>
  </si>
  <si>
    <t>Worst case from data sheet graph.</t>
  </si>
  <si>
    <t>Actual continuous drain current of MOSFET</t>
  </si>
  <si>
    <t>Continuous Drain Current required for MOSFET</t>
  </si>
  <si>
    <t>T</t>
  </si>
  <si>
    <t>nH/turn</t>
  </si>
  <si>
    <t>I_s_peak_max</t>
  </si>
  <si>
    <t>Max peak secondary current safe for diodes</t>
  </si>
  <si>
    <t>L_s_min_for_Pout</t>
  </si>
  <si>
    <t>L_s_for_turns_ratio</t>
  </si>
  <si>
    <t>Secondary inductance given for desired turns ratio</t>
  </si>
  <si>
    <t>Actual secondary inductance selected</t>
  </si>
  <si>
    <t>Minimum secondary inductance required to deliver the desired output power at minimum input voltage, maximum duty cycle, and switching frequency, assuming DCM operation as a standard flyback.</t>
  </si>
  <si>
    <t>V_stage_max</t>
  </si>
  <si>
    <t>P_out_max_desired</t>
  </si>
  <si>
    <t>Ω⋅m</t>
  </si>
  <si>
    <t>Actual primary inductance measured</t>
  </si>
  <si>
    <t>W/m^2</t>
  </si>
  <si>
    <t>N turns</t>
  </si>
  <si>
    <t>N_p_actual</t>
  </si>
  <si>
    <t>Power loss winding (triangle wave)</t>
  </si>
  <si>
    <t>N_bob_seg</t>
  </si>
  <si>
    <t>N_per_seg</t>
  </si>
  <si>
    <t>P_secondary</t>
  </si>
  <si>
    <t>Transformer primary design (thick turns no bobin)</t>
  </si>
  <si>
    <t>Transformer secondary design (fine wire many turns on bobin)</t>
  </si>
  <si>
    <r>
      <t xml:space="preserve">Times reflected voltage 2-2.5 is typical. Too low (&lt; 1.5×) - Snubber absorbs too much energy unnecessarily. | Too high (&gt; 3×) | - Voltage spike may exceed MOSFET drain rating - Core reset might be incomplete - Clamping may not happen at all. | Just right (2.0–2.5×) | - Leaves room for normal operation + leakage spike - Allows full transfer to secondary - Captures only the excess energy </t>
    </r>
    <r>
      <rPr>
        <b/>
        <sz val="11"/>
        <color theme="0" tint="-0.499984740745262"/>
        <rFont val="Calibri"/>
        <family val="2"/>
        <scheme val="minor"/>
      </rPr>
      <t>- Keeps losses manageable</t>
    </r>
  </si>
  <si>
    <t>Primary Current Feedback V2 (Current transformer with rectifier bridge and burden resistor and ADC)</t>
  </si>
  <si>
    <t>SF</t>
  </si>
  <si>
    <t>N Turns</t>
  </si>
  <si>
    <t>Air gap length</t>
  </si>
  <si>
    <t>Inductance</t>
  </si>
  <si>
    <t>A_L</t>
  </si>
  <si>
    <t>UY30 PC40</t>
  </si>
  <si>
    <t>Transformer (debugging with low voltage villard using BYC8-600P) without primary current feedback (use maximum input voltage to determine inductance required)</t>
  </si>
  <si>
    <t>V_out_desired</t>
  </si>
  <si>
    <t>Output voltage desired at FIXED DUTY CYCLE</t>
  </si>
  <si>
    <t>0.5 (FIXED because no primary current feedback)</t>
  </si>
  <si>
    <t>Good starting point</t>
  </si>
  <si>
    <t>n_s_over_p_required_min</t>
  </si>
  <si>
    <t>Minimum n_s/n_p required to keep peak secondary current safe for diode</t>
  </si>
  <si>
    <t>n_s_over_p_for_voltage_ratio</t>
  </si>
  <si>
    <t>ns_over_np_v_in_max</t>
  </si>
  <si>
    <t>n_s/n_ For voltage ratio at maximum input voltage</t>
  </si>
  <si>
    <t>n_s/n_ For voltage ratio at minimum input voltage</t>
  </si>
  <si>
    <t>n_s_over_p_actual</t>
  </si>
  <si>
    <t>Actual chosen ns/np</t>
  </si>
  <si>
    <t>L_p_for_desired_power</t>
  </si>
  <si>
    <t>L_p_actual</t>
  </si>
  <si>
    <t>n_s/n_p high enough to give safe secondary peak current for diodes</t>
  </si>
  <si>
    <t>Chosen inductor energy at peak primary current</t>
  </si>
  <si>
    <t>Chosen inductor energy at peak primary current large enough to deliver desired power</t>
  </si>
  <si>
    <t>Flyback Mismatch Ratio at minimum input voltage</t>
  </si>
  <si>
    <t>Flyback Mismatch Ratio at maximum input voltage</t>
  </si>
  <si>
    <t>Flyback Mismatch Ratio too low</t>
  </si>
  <si>
    <t>n_p_over_s_actual</t>
  </si>
  <si>
    <t>I_zener_leak_max</t>
  </si>
  <si>
    <t>Divider multiple desired</t>
  </si>
  <si>
    <t>R_L</t>
  </si>
  <si>
    <t>R_H_required</t>
  </si>
  <si>
    <t>R_H_actual</t>
  </si>
  <si>
    <t>R_eq</t>
  </si>
  <si>
    <t>V_tap at maximum input voltage with zener</t>
  </si>
  <si>
    <t>V_tap at maximum input voltage without zener</t>
  </si>
  <si>
    <t>V_tap at minimum input voltage with zener</t>
  </si>
  <si>
    <t>V_tap votlage error at maximum input voltage</t>
  </si>
  <si>
    <t>Error</t>
  </si>
  <si>
    <t>P_H</t>
  </si>
  <si>
    <t>P_L</t>
  </si>
  <si>
    <t>Tolerance on resistors</t>
  </si>
  <si>
    <t>Maximum voltage error reflected to input due to zener</t>
  </si>
  <si>
    <t>Maximum divider ratio possible with tolerances</t>
  </si>
  <si>
    <t>Nominal divider ratio</t>
  </si>
  <si>
    <t>Minimum divider ratio possible with tolerances</t>
  </si>
  <si>
    <t>Positive error</t>
  </si>
  <si>
    <t>Negative error</t>
  </si>
  <si>
    <t>Positive error percent</t>
  </si>
  <si>
    <t>Negative error percent</t>
  </si>
  <si>
    <t>Maximum percent error</t>
  </si>
  <si>
    <t>Maximum Total Error</t>
  </si>
  <si>
    <t>τ</t>
  </si>
  <si>
    <t>Time constant for charging capacitor</t>
  </si>
  <si>
    <t>τ_99</t>
  </si>
  <si>
    <t>Resistors tolerance as proportion</t>
  </si>
  <si>
    <t>ΔV_tap at minimum input voltage without zener</t>
  </si>
  <si>
    <t>ΔV_tap</t>
  </si>
  <si>
    <t>ΔV_tap voltage error at minimum input voltage</t>
  </si>
  <si>
    <t>Maximum ADC voltage</t>
  </si>
  <si>
    <t>Maximum voltage corresponding to ADC voltage</t>
  </si>
  <si>
    <t>Individual composite resistor resistance</t>
  </si>
  <si>
    <t>Individual composite resistor voltage rating</t>
  </si>
  <si>
    <t>Minimum number of resistors required for safe voltage on each</t>
  </si>
  <si>
    <t>Individual composite resistor power rating</t>
  </si>
  <si>
    <t>Individual composite resistor safe power</t>
  </si>
  <si>
    <t>Individual composite resistor safe voltage</t>
  </si>
  <si>
    <t>Individual composite resistor power safe</t>
  </si>
  <si>
    <t>Individual composite resistor voltage safe</t>
  </si>
  <si>
    <t>Individual composite resistor voltage</t>
  </si>
  <si>
    <t>R_boot</t>
  </si>
  <si>
    <t>Boot resistor value or trace value</t>
  </si>
  <si>
    <t>τ_boot</t>
  </si>
  <si>
    <t>t_boot_99</t>
  </si>
  <si>
    <t>t_boot_99 short enough</t>
  </si>
  <si>
    <t>Induced Voltages PCB</t>
  </si>
  <si>
    <t>μ0</t>
  </si>
  <si>
    <t>𝑙</t>
  </si>
  <si>
    <t>w</t>
  </si>
  <si>
    <t>M</t>
  </si>
  <si>
    <t>Mutual inductance</t>
  </si>
  <si>
    <t>di/dt</t>
  </si>
  <si>
    <t>Approximate maximum di/dt</t>
  </si>
  <si>
    <t>Induced voltage</t>
  </si>
  <si>
    <t>V_induced​</t>
  </si>
  <si>
    <t>θ</t>
  </si>
  <si>
    <t>Angle between tracks</t>
  </si>
  <si>
    <t>Name</t>
  </si>
  <si>
    <t>Example</t>
  </si>
  <si>
    <t>Two 10cm 0.25mm traces</t>
  </si>
  <si>
    <t>ζ</t>
  </si>
  <si>
    <t>R_g</t>
  </si>
  <si>
    <t>Gate drive resistance</t>
  </si>
  <si>
    <t>C_iss</t>
  </si>
  <si>
    <t>This is the total capacitance seen at the gate pin relative to the source when the drain is AC grounded. It is primarily the gate-to-source capacitance (\(C_{GS}\)) in parallel with the gate-to-drain capacitance (\(C_{GD}\)). This is the value that dominates the charging/discharging time and is the correct value to use in your RLC circuit calculation.</t>
  </si>
  <si>
    <t>L_trace</t>
  </si>
  <si>
    <t>Worst estimate trace inductance</t>
  </si>
  <si>
    <t>Inductance of trace above ground plane</t>
  </si>
  <si>
    <t>l</t>
  </si>
  <si>
    <t>Trace Length</t>
  </si>
  <si>
    <t>Trace width</t>
  </si>
  <si>
    <t>t</t>
  </si>
  <si>
    <t>Trace thickness</t>
  </si>
  <si>
    <t>L_microstrip</t>
  </si>
  <si>
    <t>R_g_int</t>
  </si>
  <si>
    <t>Internal gate resistance of MOSFET</t>
  </si>
  <si>
    <t>R_g_ext</t>
  </si>
  <si>
    <t>External gate resistance provided</t>
  </si>
  <si>
    <t>R_driver</t>
  </si>
  <si>
    <t>Gate driver output impedance</t>
  </si>
  <si>
    <t>I_drive_max_all_impedances</t>
  </si>
  <si>
    <t>Maximum drive current to gate using all impedances</t>
  </si>
  <si>
    <t>I_drive_g_ext_only</t>
  </si>
  <si>
    <t>Maximum drive current to gate using only the external provided resistor (Safe if no other impedance known)</t>
  </si>
  <si>
    <t>^^Lower mosfet voltage was used as this is higher due to boostrap diode drop</t>
  </si>
  <si>
    <t>Tolerance R_g_ext</t>
  </si>
  <si>
    <t>R_g_ext_min</t>
  </si>
  <si>
    <t>Minimum value of R_g_ext due to tolerance</t>
  </si>
  <si>
    <t>Maximum drive current safe</t>
  </si>
  <si>
    <t>Gate resistor approximate inductance</t>
  </si>
  <si>
    <t>L_resistor</t>
  </si>
  <si>
    <t>L_total</t>
  </si>
  <si>
    <t>Trace Separation (m)</t>
  </si>
  <si>
    <t>Parallel Trace Length (m)</t>
  </si>
  <si>
    <t>2l/d</t>
  </si>
  <si>
    <t>d/(2l)</t>
  </si>
  <si>
    <t>(2l/d)^2</t>
  </si>
  <si>
    <t>(d/(2l))^2</t>
  </si>
  <si>
    <t>IPC-2221 Track Thickness Calculation</t>
  </si>
  <si>
    <t>Internal else External</t>
  </si>
  <si>
    <t>I</t>
  </si>
  <si>
    <t>Allowable rise in temperature</t>
  </si>
  <si>
    <t xml:space="preserve">Cross-Sectional Area </t>
  </si>
  <si>
    <t>mil^2</t>
  </si>
  <si>
    <t>Thickness</t>
  </si>
  <si>
    <t>RMS Current</t>
  </si>
  <si>
    <t>Width</t>
  </si>
  <si>
    <t>Actual ratio</t>
  </si>
  <si>
    <t>All capacitors total energy change per cycle required</t>
  </si>
  <si>
    <t>t_quart_cycle</t>
  </si>
  <si>
    <t>E_quarter</t>
  </si>
  <si>
    <t>Energy desired for each driving quarter cycle, since there are two its half the above</t>
  </si>
  <si>
    <t>Transformer (Bipolar DCM)</t>
  </si>
  <si>
    <t>Chosen primary inductance</t>
  </si>
  <si>
    <t>Peak current DCM (would be lower in real life due to power being driven into villard on driving quarter cycles)</t>
  </si>
  <si>
    <t>H Bridge snubber design</t>
  </si>
  <si>
    <t>f_ring</t>
  </si>
  <si>
    <t>Ringing frequency from oscillscope</t>
  </si>
  <si>
    <t>C_oss</t>
  </si>
  <si>
    <t>L_parasitic</t>
  </si>
  <si>
    <t>Parasitic inductance</t>
  </si>
  <si>
    <t>2-4 times C_oss</t>
  </si>
  <si>
    <t>Farads</t>
  </si>
  <si>
    <t>Actual chosen snubber capacitance</t>
  </si>
  <si>
    <t>C_s_recommended</t>
  </si>
  <si>
    <t>C_s_actual</t>
  </si>
  <si>
    <t>R_s_recommended</t>
  </si>
  <si>
    <t>P_s</t>
  </si>
  <si>
    <t>snubber power dissipation</t>
  </si>
  <si>
    <t>f_swiching</t>
  </si>
  <si>
    <t>Maximum instantaneous current if snubber discharged completely through resistor to power rails</t>
  </si>
  <si>
    <t>Multiply by two x2 because H bridge so two in series (350pf to 300pf from Capacitance Fig 12 plot)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</si>
</sst>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£&quot;#,##0;[Red]\-&quot;£&quot;#,##0"/>
    <numFmt numFmtId="8" formatCode="&quot;£&quot;#,##0.00;[Red]\-&quot;£&quot;#,##0.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0"/>
      <color rgb="FF333333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333333"/>
      <name val="Arial"/>
      <family val="2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2"/>
      <color rgb="FFEEF0FF"/>
      <name val="Arial"/>
      <family val="2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u/>
      <sz val="11"/>
      <color theme="0" tint="-0.499984740745262"/>
      <name val="Calibri"/>
      <family val="2"/>
      <scheme val="minor"/>
    </font>
    <font>
      <sz val="10"/>
      <color theme="0" tint="-0.499984740745262"/>
      <name val="Arial"/>
      <family val="2"/>
    </font>
    <font>
      <b/>
      <sz val="11"/>
      <color theme="0" tint="-0.249977111117893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1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3" fillId="0" borderId="0" xfId="1"/>
    <xf numFmtId="0" fontId="0" fillId="3" borderId="0" xfId="0" applyFill="1"/>
    <xf numFmtId="0" fontId="2" fillId="3" borderId="0" xfId="0" applyFont="1" applyFill="1"/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11" fontId="0" fillId="3" borderId="0" xfId="0" applyNumberFormat="1" applyFill="1"/>
    <xf numFmtId="0" fontId="1" fillId="3" borderId="0" xfId="0" applyFont="1" applyFill="1"/>
    <xf numFmtId="11" fontId="0" fillId="0" borderId="0" xfId="0" applyNumberFormat="1" applyFill="1"/>
    <xf numFmtId="0" fontId="0" fillId="0" borderId="0" xfId="0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Border="1"/>
    <xf numFmtId="0" fontId="0" fillId="0" borderId="2" xfId="0" applyBorder="1"/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0" fillId="0" borderId="1" xfId="0" applyFill="1" applyBorder="1"/>
    <xf numFmtId="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11" fontId="4" fillId="0" borderId="0" xfId="0" applyNumberFormat="1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horizontal="center" vertical="center"/>
    </xf>
    <xf numFmtId="11" fontId="5" fillId="0" borderId="0" xfId="0" applyNumberFormat="1" applyFont="1"/>
    <xf numFmtId="8" fontId="5" fillId="0" borderId="0" xfId="0" applyNumberFormat="1" applyFont="1"/>
    <xf numFmtId="0" fontId="0" fillId="0" borderId="0" xfId="0" applyAlignment="1">
      <alignment vertical="center" wrapText="1"/>
    </xf>
    <xf numFmtId="0" fontId="7" fillId="0" borderId="0" xfId="0" applyFont="1"/>
    <xf numFmtId="0" fontId="0" fillId="0" borderId="0" xfId="0" applyAlignment="1">
      <alignment horizontal="center" vertical="center"/>
    </xf>
    <xf numFmtId="0" fontId="8" fillId="0" borderId="0" xfId="0" applyFont="1"/>
    <xf numFmtId="0" fontId="0" fillId="0" borderId="0" xfId="0" applyFont="1"/>
    <xf numFmtId="0" fontId="9" fillId="0" borderId="0" xfId="0" applyFont="1"/>
    <xf numFmtId="0" fontId="0" fillId="0" borderId="0" xfId="0" applyAlignment="1">
      <alignment vertical="center"/>
    </xf>
    <xf numFmtId="0" fontId="6" fillId="0" borderId="0" xfId="0" applyFont="1"/>
    <xf numFmtId="0" fontId="0" fillId="3" borderId="0" xfId="0" applyFont="1" applyFill="1"/>
    <xf numFmtId="0" fontId="0" fillId="0" borderId="0" xfId="0" applyAlignment="1">
      <alignment textRotation="45"/>
    </xf>
    <xf numFmtId="0" fontId="0" fillId="0" borderId="1" xfId="0" applyBorder="1" applyAlignment="1">
      <alignment textRotation="45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1" fontId="1" fillId="0" borderId="0" xfId="0" applyNumberFormat="1" applyFont="1"/>
    <xf numFmtId="0" fontId="11" fillId="0" borderId="0" xfId="0" applyFont="1"/>
    <xf numFmtId="11" fontId="0" fillId="0" borderId="0" xfId="0" applyNumberFormat="1" applyFont="1"/>
    <xf numFmtId="11" fontId="11" fillId="0" borderId="0" xfId="0" applyNumberFormat="1" applyFont="1"/>
    <xf numFmtId="0" fontId="1" fillId="0" borderId="0" xfId="0" applyNumberFormat="1" applyFont="1"/>
    <xf numFmtId="0" fontId="11" fillId="0" borderId="0" xfId="0" applyNumberFormat="1" applyFont="1"/>
    <xf numFmtId="0" fontId="0" fillId="0" borderId="0" xfId="0" applyFill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1" fontId="15" fillId="0" borderId="0" xfId="0" applyNumberFormat="1" applyFont="1"/>
    <xf numFmtId="0" fontId="17" fillId="0" borderId="0" xfId="1" applyFont="1"/>
    <xf numFmtId="8" fontId="18" fillId="0" borderId="0" xfId="0" applyNumberFormat="1" applyFont="1"/>
    <xf numFmtId="8" fontId="18" fillId="5" borderId="5" xfId="0" applyNumberFormat="1" applyFont="1" applyFill="1" applyBorder="1" applyAlignment="1">
      <alignment horizontal="right" vertical="top" wrapText="1" indent="1"/>
    </xf>
    <xf numFmtId="6" fontId="15" fillId="0" borderId="0" xfId="0" applyNumberFormat="1" applyFont="1"/>
    <xf numFmtId="0" fontId="11" fillId="0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4" fillId="3" borderId="0" xfId="0" applyFont="1" applyFill="1"/>
    <xf numFmtId="0" fontId="4" fillId="0" borderId="0" xfId="0" applyFont="1" applyFill="1"/>
    <xf numFmtId="11" fontId="4" fillId="0" borderId="0" xfId="0" applyNumberFormat="1" applyFont="1" applyFill="1"/>
    <xf numFmtId="11" fontId="4" fillId="3" borderId="0" xfId="0" applyNumberFormat="1" applyFont="1" applyFill="1"/>
    <xf numFmtId="0" fontId="4" fillId="3" borderId="0" xfId="1" applyFont="1" applyFill="1"/>
    <xf numFmtId="11" fontId="22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4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28575</xdr:colOff>
      <xdr:row>177</xdr:row>
      <xdr:rowOff>47625</xdr:rowOff>
    </xdr:from>
    <xdr:to>
      <xdr:col>16</xdr:col>
      <xdr:colOff>3648942</xdr:colOff>
      <xdr:row>186</xdr:row>
      <xdr:rowOff>105022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7375" y="11287125"/>
          <a:ext cx="6211167" cy="1771897"/>
        </a:xfrm>
        <a:prstGeom prst="rect">
          <a:avLst/>
        </a:prstGeom>
      </xdr:spPr>
    </xdr:pic>
    <xdr:clientData/>
  </xdr:twoCellAnchor>
  <xdr:twoCellAnchor editAs="oneCell">
    <xdr:from>
      <xdr:col>4</xdr:col>
      <xdr:colOff>789215</xdr:colOff>
      <xdr:row>284</xdr:row>
      <xdr:rowOff>13607</xdr:rowOff>
    </xdr:from>
    <xdr:to>
      <xdr:col>6</xdr:col>
      <xdr:colOff>742223</xdr:colOff>
      <xdr:row>287</xdr:row>
      <xdr:rowOff>23213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02536" y="36018107"/>
          <a:ext cx="2410161" cy="581106"/>
        </a:xfrm>
        <a:prstGeom prst="rect">
          <a:avLst/>
        </a:prstGeom>
      </xdr:spPr>
    </xdr:pic>
    <xdr:clientData/>
  </xdr:twoCellAnchor>
  <xdr:twoCellAnchor editAs="oneCell">
    <xdr:from>
      <xdr:col>7</xdr:col>
      <xdr:colOff>997321</xdr:colOff>
      <xdr:row>371</xdr:row>
      <xdr:rowOff>134471</xdr:rowOff>
    </xdr:from>
    <xdr:to>
      <xdr:col>16</xdr:col>
      <xdr:colOff>497087</xdr:colOff>
      <xdr:row>378</xdr:row>
      <xdr:rowOff>46128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50678" y="70456185"/>
          <a:ext cx="7271017" cy="1245157"/>
        </a:xfrm>
        <a:prstGeom prst="rect">
          <a:avLst/>
        </a:prstGeom>
      </xdr:spPr>
    </xdr:pic>
    <xdr:clientData/>
  </xdr:twoCellAnchor>
  <xdr:twoCellAnchor editAs="oneCell">
    <xdr:from>
      <xdr:col>6</xdr:col>
      <xdr:colOff>13609</xdr:colOff>
      <xdr:row>2</xdr:row>
      <xdr:rowOff>83786</xdr:rowOff>
    </xdr:from>
    <xdr:to>
      <xdr:col>10</xdr:col>
      <xdr:colOff>367531</xdr:colOff>
      <xdr:row>17</xdr:row>
      <xdr:rowOff>121227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78245" y="464786"/>
          <a:ext cx="5181846" cy="2894941"/>
        </a:xfrm>
        <a:prstGeom prst="rect">
          <a:avLst/>
        </a:prstGeom>
      </xdr:spPr>
    </xdr:pic>
    <xdr:clientData/>
  </xdr:twoCellAnchor>
  <xdr:twoCellAnchor editAs="oneCell">
    <xdr:from>
      <xdr:col>5</xdr:col>
      <xdr:colOff>883228</xdr:colOff>
      <xdr:row>21</xdr:row>
      <xdr:rowOff>69273</xdr:rowOff>
    </xdr:from>
    <xdr:to>
      <xdr:col>10</xdr:col>
      <xdr:colOff>476660</xdr:colOff>
      <xdr:row>27</xdr:row>
      <xdr:rowOff>177458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12683" y="4069773"/>
          <a:ext cx="5334000" cy="12511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304800</xdr:colOff>
      <xdr:row>315</xdr:row>
      <xdr:rowOff>114300</xdr:rowOff>
    </xdr:to>
    <xdr:sp macro="" textlink="">
      <xdr:nvSpPr>
        <xdr:cNvPr id="1066" name="AutoShape 42" descr="Topology of the Flyback converter with energy regenerative snubber. "/>
        <xdr:cNvSpPr>
          <a:spLocks noChangeAspect="1" noChangeArrowheads="1"/>
        </xdr:cNvSpPr>
      </xdr:nvSpPr>
      <xdr:spPr bwMode="auto">
        <a:xfrm>
          <a:off x="1781175" y="451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309</xdr:row>
      <xdr:rowOff>0</xdr:rowOff>
    </xdr:from>
    <xdr:to>
      <xdr:col>4</xdr:col>
      <xdr:colOff>304800</xdr:colOff>
      <xdr:row>310</xdr:row>
      <xdr:rowOff>114300</xdr:rowOff>
    </xdr:to>
    <xdr:sp macro="" textlink="">
      <xdr:nvSpPr>
        <xdr:cNvPr id="1067" name="AutoShape 43" descr="Topology of the Flyback converter with energy regenerative snubber. "/>
        <xdr:cNvSpPr>
          <a:spLocks noChangeAspect="1" noChangeArrowheads="1"/>
        </xdr:cNvSpPr>
      </xdr:nvSpPr>
      <xdr:spPr bwMode="auto">
        <a:xfrm>
          <a:off x="8972550" y="4477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304800</xdr:colOff>
      <xdr:row>314</xdr:row>
      <xdr:rowOff>114300</xdr:rowOff>
    </xdr:to>
    <xdr:sp macro="" textlink="">
      <xdr:nvSpPr>
        <xdr:cNvPr id="18" name="AutoShape 42" descr="Topology of the Flyback converter with energy regenerative snubber. "/>
        <xdr:cNvSpPr>
          <a:spLocks noChangeAspect="1" noChangeArrowheads="1"/>
        </xdr:cNvSpPr>
      </xdr:nvSpPr>
      <xdr:spPr bwMode="auto">
        <a:xfrm>
          <a:off x="1781175" y="457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40821</xdr:colOff>
      <xdr:row>308</xdr:row>
      <xdr:rowOff>122464</xdr:rowOff>
    </xdr:from>
    <xdr:to>
      <xdr:col>5</xdr:col>
      <xdr:colOff>30423</xdr:colOff>
      <xdr:row>324</xdr:row>
      <xdr:rowOff>65731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21535" y="44713071"/>
          <a:ext cx="1524213" cy="2991267"/>
        </a:xfrm>
        <a:prstGeom prst="rect">
          <a:avLst/>
        </a:prstGeom>
      </xdr:spPr>
    </xdr:pic>
    <xdr:clientData/>
  </xdr:twoCellAnchor>
  <xdr:twoCellAnchor editAs="oneCell">
    <xdr:from>
      <xdr:col>5</xdr:col>
      <xdr:colOff>394607</xdr:colOff>
      <xdr:row>825</xdr:row>
      <xdr:rowOff>81643</xdr:rowOff>
    </xdr:from>
    <xdr:to>
      <xdr:col>7</xdr:col>
      <xdr:colOff>1288771</xdr:colOff>
      <xdr:row>847</xdr:row>
      <xdr:rowOff>101281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58500" y="97821750"/>
          <a:ext cx="2915057" cy="4210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304800</xdr:colOff>
      <xdr:row>419</xdr:row>
      <xdr:rowOff>114300</xdr:rowOff>
    </xdr:to>
    <xdr:sp macro="" textlink="">
      <xdr:nvSpPr>
        <xdr:cNvPr id="12" name="AutoShape 42" descr="Topology of the Flyback converter with energy regenerative snubber. "/>
        <xdr:cNvSpPr>
          <a:spLocks noChangeAspect="1" noChangeArrowheads="1"/>
        </xdr:cNvSpPr>
      </xdr:nvSpPr>
      <xdr:spPr bwMode="auto">
        <a:xfrm>
          <a:off x="2027464" y="484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460</xdr:row>
      <xdr:rowOff>0</xdr:rowOff>
    </xdr:from>
    <xdr:to>
      <xdr:col>1</xdr:col>
      <xdr:colOff>304800</xdr:colOff>
      <xdr:row>461</xdr:row>
      <xdr:rowOff>114300</xdr:rowOff>
    </xdr:to>
    <xdr:sp macro="" textlink="">
      <xdr:nvSpPr>
        <xdr:cNvPr id="19" name="AutoShape 42" descr="Topology of the Flyback converter with energy regenerative snubber. "/>
        <xdr:cNvSpPr>
          <a:spLocks noChangeAspect="1" noChangeArrowheads="1"/>
        </xdr:cNvSpPr>
      </xdr:nvSpPr>
      <xdr:spPr bwMode="auto">
        <a:xfrm>
          <a:off x="2027464" y="6268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108859</xdr:colOff>
      <xdr:row>552</xdr:row>
      <xdr:rowOff>27214</xdr:rowOff>
    </xdr:from>
    <xdr:to>
      <xdr:col>7</xdr:col>
      <xdr:colOff>316255</xdr:colOff>
      <xdr:row>553</xdr:row>
      <xdr:rowOff>112978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93038" y="80241321"/>
          <a:ext cx="3762900" cy="276264"/>
        </a:xfrm>
        <a:prstGeom prst="rect">
          <a:avLst/>
        </a:prstGeom>
      </xdr:spPr>
    </xdr:pic>
    <xdr:clientData/>
  </xdr:twoCellAnchor>
  <xdr:twoCellAnchor editAs="oneCell">
    <xdr:from>
      <xdr:col>4</xdr:col>
      <xdr:colOff>108859</xdr:colOff>
      <xdr:row>553</xdr:row>
      <xdr:rowOff>176892</xdr:rowOff>
    </xdr:from>
    <xdr:to>
      <xdr:col>6</xdr:col>
      <xdr:colOff>261921</xdr:colOff>
      <xdr:row>557</xdr:row>
      <xdr:rowOff>72209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93038" y="80581499"/>
          <a:ext cx="2610214" cy="657317"/>
        </a:xfrm>
        <a:prstGeom prst="rect">
          <a:avLst/>
        </a:prstGeom>
      </xdr:spPr>
    </xdr:pic>
    <xdr:clientData/>
  </xdr:twoCellAnchor>
  <xdr:twoCellAnchor editAs="oneCell">
    <xdr:from>
      <xdr:col>6</xdr:col>
      <xdr:colOff>122462</xdr:colOff>
      <xdr:row>521</xdr:row>
      <xdr:rowOff>176891</xdr:rowOff>
    </xdr:from>
    <xdr:to>
      <xdr:col>10</xdr:col>
      <xdr:colOff>331123</xdr:colOff>
      <xdr:row>528</xdr:row>
      <xdr:rowOff>53235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87248" y="79628998"/>
          <a:ext cx="5048955" cy="1209844"/>
        </a:xfrm>
        <a:prstGeom prst="rect">
          <a:avLst/>
        </a:prstGeom>
      </xdr:spPr>
    </xdr:pic>
    <xdr:clientData/>
  </xdr:twoCellAnchor>
  <xdr:twoCellAnchor editAs="oneCell">
    <xdr:from>
      <xdr:col>6</xdr:col>
      <xdr:colOff>122463</xdr:colOff>
      <xdr:row>528</xdr:row>
      <xdr:rowOff>81643</xdr:rowOff>
    </xdr:from>
    <xdr:to>
      <xdr:col>8</xdr:col>
      <xdr:colOff>482121</xdr:colOff>
      <xdr:row>536</xdr:row>
      <xdr:rowOff>15171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287249" y="80867250"/>
          <a:ext cx="2772162" cy="1457528"/>
        </a:xfrm>
        <a:prstGeom prst="rect">
          <a:avLst/>
        </a:prstGeom>
      </xdr:spPr>
    </xdr:pic>
    <xdr:clientData/>
  </xdr:twoCellAnchor>
  <xdr:twoCellAnchor editAs="oneCell">
    <xdr:from>
      <xdr:col>6</xdr:col>
      <xdr:colOff>108856</xdr:colOff>
      <xdr:row>538</xdr:row>
      <xdr:rowOff>27214</xdr:rowOff>
    </xdr:from>
    <xdr:to>
      <xdr:col>8</xdr:col>
      <xdr:colOff>1430673</xdr:colOff>
      <xdr:row>557</xdr:row>
      <xdr:rowOff>84877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73642" y="82717821"/>
          <a:ext cx="3734321" cy="3677163"/>
        </a:xfrm>
        <a:prstGeom prst="rect">
          <a:avLst/>
        </a:prstGeom>
      </xdr:spPr>
    </xdr:pic>
    <xdr:clientData/>
  </xdr:twoCellAnchor>
  <xdr:twoCellAnchor editAs="oneCell">
    <xdr:from>
      <xdr:col>9</xdr:col>
      <xdr:colOff>653143</xdr:colOff>
      <xdr:row>538</xdr:row>
      <xdr:rowOff>27215</xdr:rowOff>
    </xdr:from>
    <xdr:to>
      <xdr:col>15</xdr:col>
      <xdr:colOff>497490</xdr:colOff>
      <xdr:row>557</xdr:row>
      <xdr:rowOff>65826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015607" y="82717822"/>
          <a:ext cx="3972479" cy="3658111"/>
        </a:xfrm>
        <a:prstGeom prst="rect">
          <a:avLst/>
        </a:prstGeom>
      </xdr:spPr>
    </xdr:pic>
    <xdr:clientData/>
  </xdr:twoCellAnchor>
  <xdr:twoCellAnchor editAs="oneCell">
    <xdr:from>
      <xdr:col>7</xdr:col>
      <xdr:colOff>312964</xdr:colOff>
      <xdr:row>502</xdr:row>
      <xdr:rowOff>13608</xdr:rowOff>
    </xdr:from>
    <xdr:to>
      <xdr:col>8</xdr:col>
      <xdr:colOff>1008868</xdr:colOff>
      <xdr:row>505</xdr:row>
      <xdr:rowOff>147056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566321" y="76417715"/>
          <a:ext cx="2010056" cy="704948"/>
        </a:xfrm>
        <a:prstGeom prst="rect">
          <a:avLst/>
        </a:prstGeom>
      </xdr:spPr>
    </xdr:pic>
    <xdr:clientData/>
  </xdr:twoCellAnchor>
  <xdr:twoCellAnchor editAs="oneCell">
    <xdr:from>
      <xdr:col>2</xdr:col>
      <xdr:colOff>2514600</xdr:colOff>
      <xdr:row>968</xdr:row>
      <xdr:rowOff>180975</xdr:rowOff>
    </xdr:from>
    <xdr:to>
      <xdr:col>3</xdr:col>
      <xdr:colOff>1661336</xdr:colOff>
      <xdr:row>972</xdr:row>
      <xdr:rowOff>57150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0" y="181403625"/>
          <a:ext cx="3686479" cy="638175"/>
        </a:xfrm>
        <a:prstGeom prst="rect">
          <a:avLst/>
        </a:prstGeom>
      </xdr:spPr>
    </xdr:pic>
    <xdr:clientData/>
  </xdr:twoCellAnchor>
  <xdr:twoCellAnchor editAs="oneCell">
    <xdr:from>
      <xdr:col>2</xdr:col>
      <xdr:colOff>3829050</xdr:colOff>
      <xdr:row>983</xdr:row>
      <xdr:rowOff>171450</xdr:rowOff>
    </xdr:from>
    <xdr:to>
      <xdr:col>3</xdr:col>
      <xdr:colOff>1488652</xdr:colOff>
      <xdr:row>989</xdr:row>
      <xdr:rowOff>136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410450" y="184251600"/>
          <a:ext cx="2219635" cy="971686"/>
        </a:xfrm>
        <a:prstGeom prst="rect">
          <a:avLst/>
        </a:prstGeom>
      </xdr:spPr>
    </xdr:pic>
    <xdr:clientData/>
  </xdr:twoCellAnchor>
  <xdr:twoCellAnchor editAs="oneCell">
    <xdr:from>
      <xdr:col>2</xdr:col>
      <xdr:colOff>3800475</xdr:colOff>
      <xdr:row>989</xdr:row>
      <xdr:rowOff>47625</xdr:rowOff>
    </xdr:from>
    <xdr:to>
      <xdr:col>3</xdr:col>
      <xdr:colOff>659865</xdr:colOff>
      <xdr:row>993</xdr:row>
      <xdr:rowOff>95363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381875" y="185270775"/>
          <a:ext cx="1419423" cy="8097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569</xdr:row>
      <xdr:rowOff>0</xdr:rowOff>
    </xdr:from>
    <xdr:to>
      <xdr:col>1</xdr:col>
      <xdr:colOff>304800</xdr:colOff>
      <xdr:row>570</xdr:row>
      <xdr:rowOff>114300</xdr:rowOff>
    </xdr:to>
    <xdr:sp macro="" textlink="">
      <xdr:nvSpPr>
        <xdr:cNvPr id="1025" name="AutoShape 1" descr="Preview of 1777208058323_image.png"/>
        <xdr:cNvSpPr>
          <a:spLocks noChangeAspect="1" noChangeArrowheads="1"/>
        </xdr:cNvSpPr>
      </xdr:nvSpPr>
      <xdr:spPr bwMode="auto">
        <a:xfrm>
          <a:off x="2028825" y="1084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570</xdr:row>
      <xdr:rowOff>0</xdr:rowOff>
    </xdr:from>
    <xdr:to>
      <xdr:col>2</xdr:col>
      <xdr:colOff>304800</xdr:colOff>
      <xdr:row>571</xdr:row>
      <xdr:rowOff>114300</xdr:rowOff>
    </xdr:to>
    <xdr:sp macro="" textlink="">
      <xdr:nvSpPr>
        <xdr:cNvPr id="1026" name="AutoShape 2" descr="Preview of 1777208058323_image.png"/>
        <xdr:cNvSpPr>
          <a:spLocks noChangeAspect="1" noChangeArrowheads="1"/>
        </xdr:cNvSpPr>
      </xdr:nvSpPr>
      <xdr:spPr bwMode="auto">
        <a:xfrm>
          <a:off x="3581400" y="10860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570</xdr:row>
      <xdr:rowOff>0</xdr:rowOff>
    </xdr:from>
    <xdr:to>
      <xdr:col>3</xdr:col>
      <xdr:colOff>304800</xdr:colOff>
      <xdr:row>571</xdr:row>
      <xdr:rowOff>114300</xdr:rowOff>
    </xdr:to>
    <xdr:sp macro="" textlink="">
      <xdr:nvSpPr>
        <xdr:cNvPr id="1027" name="AutoShape 3" descr="Preview of 1777208058323_image.png"/>
        <xdr:cNvSpPr>
          <a:spLocks noChangeAspect="1" noChangeArrowheads="1"/>
        </xdr:cNvSpPr>
      </xdr:nvSpPr>
      <xdr:spPr bwMode="auto">
        <a:xfrm>
          <a:off x="8124825" y="10860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408214</xdr:colOff>
      <xdr:row>568</xdr:row>
      <xdr:rowOff>183013</xdr:rowOff>
    </xdr:from>
    <xdr:to>
      <xdr:col>8</xdr:col>
      <xdr:colOff>748319</xdr:colOff>
      <xdr:row>583</xdr:row>
      <xdr:rowOff>109403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668250" y="108414227"/>
          <a:ext cx="3714116" cy="2783890"/>
        </a:xfrm>
        <a:prstGeom prst="rect">
          <a:avLst/>
        </a:prstGeom>
      </xdr:spPr>
    </xdr:pic>
    <xdr:clientData/>
  </xdr:twoCellAnchor>
  <xdr:twoCellAnchor editAs="oneCell">
    <xdr:from>
      <xdr:col>8</xdr:col>
      <xdr:colOff>833438</xdr:colOff>
      <xdr:row>568</xdr:row>
      <xdr:rowOff>119063</xdr:rowOff>
    </xdr:from>
    <xdr:to>
      <xdr:col>16</xdr:col>
      <xdr:colOff>477094</xdr:colOff>
      <xdr:row>583</xdr:row>
      <xdr:rowOff>138514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454438" y="108323063"/>
          <a:ext cx="6049219" cy="2876951"/>
        </a:xfrm>
        <a:prstGeom prst="rect">
          <a:avLst/>
        </a:prstGeom>
      </xdr:spPr>
    </xdr:pic>
    <xdr:clientData/>
  </xdr:twoCellAnchor>
  <xdr:twoCellAnchor editAs="oneCell">
    <xdr:from>
      <xdr:col>8</xdr:col>
      <xdr:colOff>809625</xdr:colOff>
      <xdr:row>583</xdr:row>
      <xdr:rowOff>166688</xdr:rowOff>
    </xdr:from>
    <xdr:to>
      <xdr:col>16</xdr:col>
      <xdr:colOff>519966</xdr:colOff>
      <xdr:row>594</xdr:row>
      <xdr:rowOff>14559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430625" y="111228188"/>
          <a:ext cx="6115904" cy="19433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504825</xdr:colOff>
      <xdr:row>0</xdr:row>
      <xdr:rowOff>0</xdr:rowOff>
    </xdr:from>
    <xdr:to>
      <xdr:col>16</xdr:col>
      <xdr:colOff>96214</xdr:colOff>
      <xdr:row>19</xdr:row>
      <xdr:rowOff>67189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1025" y="0"/>
          <a:ext cx="6906589" cy="36866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1</xdr:row>
      <xdr:rowOff>9525</xdr:rowOff>
    </xdr:from>
    <xdr:to>
      <xdr:col>10</xdr:col>
      <xdr:colOff>267710</xdr:colOff>
      <xdr:row>15</xdr:row>
      <xdr:rowOff>67055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200025"/>
          <a:ext cx="7240010" cy="27245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180975</xdr:rowOff>
    </xdr:from>
    <xdr:to>
      <xdr:col>8</xdr:col>
      <xdr:colOff>105611</xdr:colOff>
      <xdr:row>14</xdr:row>
      <xdr:rowOff>143215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71475"/>
          <a:ext cx="5992061" cy="24387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1</xdr:row>
      <xdr:rowOff>0</xdr:rowOff>
    </xdr:from>
    <xdr:to>
      <xdr:col>6</xdr:col>
      <xdr:colOff>324803</xdr:colOff>
      <xdr:row>15</xdr:row>
      <xdr:rowOff>155164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90500"/>
          <a:ext cx="5058728" cy="28221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74543</xdr:colOff>
      <xdr:row>0</xdr:row>
      <xdr:rowOff>74543</xdr:rowOff>
    </xdr:from>
    <xdr:to>
      <xdr:col>25</xdr:col>
      <xdr:colOff>64859</xdr:colOff>
      <xdr:row>2</xdr:row>
      <xdr:rowOff>160333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108" y="74543"/>
          <a:ext cx="1829055" cy="466790"/>
        </a:xfrm>
        <a:prstGeom prst="rect">
          <a:avLst/>
        </a:prstGeom>
      </xdr:spPr>
    </xdr:pic>
    <xdr:clientData/>
  </xdr:twoCellAnchor>
  <xdr:twoCellAnchor editAs="oneCell">
    <xdr:from>
      <xdr:col>22</xdr:col>
      <xdr:colOff>91109</xdr:colOff>
      <xdr:row>3</xdr:row>
      <xdr:rowOff>16565</xdr:rowOff>
    </xdr:from>
    <xdr:to>
      <xdr:col>23</xdr:col>
      <xdr:colOff>316513</xdr:colOff>
      <xdr:row>5</xdr:row>
      <xdr:rowOff>121408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5674" y="588065"/>
          <a:ext cx="838317" cy="485843"/>
        </a:xfrm>
        <a:prstGeom prst="rect">
          <a:avLst/>
        </a:prstGeom>
      </xdr:spPr>
    </xdr:pic>
    <xdr:clientData/>
  </xdr:twoCellAnchor>
  <xdr:twoCellAnchor>
    <xdr:from>
      <xdr:col>24</xdr:col>
      <xdr:colOff>165651</xdr:colOff>
      <xdr:row>5</xdr:row>
      <xdr:rowOff>140804</xdr:rowOff>
    </xdr:from>
    <xdr:to>
      <xdr:col>28</xdr:col>
      <xdr:colOff>331304</xdr:colOff>
      <xdr:row>16</xdr:row>
      <xdr:rowOff>190499</xdr:rowOff>
    </xdr:to>
    <xdr:sp macro="" textlink="">
      <xdr:nvSpPr>
        <xdr:cNvPr id="4" name="TextBox 3"/>
        <xdr:cNvSpPr txBox="1"/>
      </xdr:nvSpPr>
      <xdr:spPr>
        <a:xfrm>
          <a:off x="4456042" y="1093304"/>
          <a:ext cx="2617305" cy="21451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Deriving equation for V_max so n_r = V_max/V_g </a:t>
          </a:r>
        </a:p>
        <a:p>
          <a:r>
            <a:rPr lang="en-GB" sz="1100"/>
            <a:t>ns = V_g/V_max for no vmin</a:t>
          </a:r>
        </a:p>
        <a:p>
          <a:r>
            <a:rPr lang="en-GB" sz="1100"/>
            <a:t>V_max  = (V_o*V_max/V_g)+(Zos*Imax)</a:t>
          </a:r>
        </a:p>
        <a:p>
          <a:r>
            <a:rPr lang="en-GB" sz="1100"/>
            <a:t>1 = (V_o/V_g)+(Z_ox*I_max/V_max)</a:t>
          </a:r>
        </a:p>
        <a:p>
          <a:endParaRPr lang="en-GB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1 - (V_o/V_g)=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(Z_ox*I_max/V_max)</a:t>
          </a:r>
        </a:p>
        <a:p>
          <a:endParaRPr lang="en-GB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V_max</a:t>
          </a:r>
          <a:endParaRPr lang="en-GB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=(Z_ox*I_max)/(1 - (V_o/V_g))</a:t>
          </a:r>
          <a:endParaRPr lang="en-GB">
            <a:effectLst/>
          </a:endParaRPr>
        </a:p>
        <a:p>
          <a:endParaRPr lang="en-GB" sz="1100"/>
        </a:p>
        <a:p>
          <a:endParaRPr lang="en-GB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17</xdr:row>
      <xdr:rowOff>66675</xdr:rowOff>
    </xdr:from>
    <xdr:to>
      <xdr:col>5</xdr:col>
      <xdr:colOff>257273</xdr:colOff>
      <xdr:row>19</xdr:row>
      <xdr:rowOff>133412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5425" y="3305175"/>
          <a:ext cx="704948" cy="447737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20</xdr:row>
      <xdr:rowOff>95250</xdr:rowOff>
    </xdr:from>
    <xdr:to>
      <xdr:col>10</xdr:col>
      <xdr:colOff>48102</xdr:colOff>
      <xdr:row>31</xdr:row>
      <xdr:rowOff>57437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0" y="3905250"/>
          <a:ext cx="3419952" cy="2057687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31</xdr:row>
      <xdr:rowOff>114300</xdr:rowOff>
    </xdr:from>
    <xdr:to>
      <xdr:col>10</xdr:col>
      <xdr:colOff>57630</xdr:colOff>
      <xdr:row>41</xdr:row>
      <xdr:rowOff>171724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9725" y="6019800"/>
          <a:ext cx="3439005" cy="19624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0</xdr:rowOff>
    </xdr:from>
    <xdr:to>
      <xdr:col>18</xdr:col>
      <xdr:colOff>591652</xdr:colOff>
      <xdr:row>24</xdr:row>
      <xdr:rowOff>86375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0"/>
          <a:ext cx="7897327" cy="4658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mouser.co.uk/ProductDetail/KEMET/R75IW5270AA40J?qs=aP1CjGhiNiEaI%2F7WsvzojQ%3D%3D" TargetMode="External"/><Relationship Id="rId7" Type="http://schemas.openxmlformats.org/officeDocument/2006/relationships/hyperlink" Target="https://www.mouser.co.uk/ProductDetail/TDK/FG26X7R2A105KNT06?qs=sGAEpiMZZMvsSlwiRhF8qjQUafaa8S5xA6BgDdbMmMhufnE%252BCCuluQ%3D%3D" TargetMode="External"/><Relationship Id="rId2" Type="http://schemas.openxmlformats.org/officeDocument/2006/relationships/hyperlink" Target="https://www.mouser.co.uk/ProductDetail/Microchip-Technology/MCP6021-E-P?qs=W2ndVjZwIIKVhoK39SuWRw%3D%3D" TargetMode="External"/><Relationship Id="rId1" Type="http://schemas.openxmlformats.org/officeDocument/2006/relationships/hyperlink" Target="https://www.mouser.co.uk/datasheet/2/281/MHR0422SA_series_data_sheet-1594297.pdf" TargetMode="External"/><Relationship Id="rId6" Type="http://schemas.openxmlformats.org/officeDocument/2006/relationships/hyperlink" Target="https://www.google.com/search?rlz=1C1OPNX_en-GBGB1133GB1133&amp;cs=1&amp;sca_esv=4f5104ed2b7290e9&amp;sxsrf=AE3TifMBc50EgN_UZeP2TYUaGrAgspuFug%3A1759801360140&amp;q=J%2Fkg%C2%B0C&amp;sa=X&amp;ved=2ahUKEwiAhqn3-pCQAxXbdUEAHcW_ATkQxccNegQIAhAB&amp;mstk=AUtExfBlWf-iKv0tU0x2ALq09kWMnBQLhxnNYa2XTpG6pPdO5k7aHSqqJ135od3xa3OduL5zCUbpNSJRrXFFi2dw0HVU1mc6M78ooul2ZfxT_QB8nPXg0tyJUQMbzMQIRGbDYMG4s69ONoPYyNMGJ4ikkBBv3C0ilHQb5nWaLEDP5a92kXZ-0-li7ATNT1MVYS4_Hl4CpA3jXt8GPmH5rd3Mpb8t8CJPQawnurIf3-5RlejN0Nh5c9e0jym_MrH_UTrMSq60HuFVQ1y4epwqdklQhthXgIM3ozc3jSicaYsJOPIstg&amp;csui=3" TargetMode="External"/><Relationship Id="rId5" Type="http://schemas.openxmlformats.org/officeDocument/2006/relationships/hyperlink" Target="https://www.mouser.co.uk/ProductDetail/KEMET/R75RR322050L4J?qs=zW32dvEIR3sfSLCevL5nlQ%3D%3D" TargetMode="External"/><Relationship Id="rId4" Type="http://schemas.openxmlformats.org/officeDocument/2006/relationships/hyperlink" Target="https://www.mouser.co.uk/ProductDetail/EPCOS-TDK/B32674D4605K000?qs=mz7Iz7JhaAUE8TovPOC19w%3D%3D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991"/>
  <sheetViews>
    <sheetView tabSelected="1" topLeftCell="A139" zoomScale="70" zoomScaleNormal="70" workbookViewId="0">
      <selection activeCell="C153" sqref="C153"/>
    </sheetView>
  </sheetViews>
  <sheetFormatPr defaultRowHeight="15" x14ac:dyDescent="0.25"/>
  <cols>
    <col min="1" max="1" width="30.42578125" customWidth="1"/>
    <col min="2" max="2" width="23.28515625" customWidth="1"/>
    <col min="3" max="3" width="68.140625" customWidth="1"/>
    <col min="4" max="4" width="38.85546875" customWidth="1"/>
    <col min="5" max="5" width="23.28515625" customWidth="1"/>
    <col min="6" max="6" width="14" customWidth="1"/>
    <col min="7" max="7" width="16.28515625" customWidth="1"/>
    <col min="8" max="8" width="20.140625" customWidth="1"/>
    <col min="9" max="9" width="25.85546875" customWidth="1"/>
    <col min="10" max="10" width="10.7109375" customWidth="1"/>
    <col min="11" max="11" width="11" customWidth="1"/>
    <col min="12" max="12" width="11.5703125" customWidth="1"/>
    <col min="17" max="17" width="55.85546875" customWidth="1"/>
    <col min="18" max="18" width="27.28515625" customWidth="1"/>
  </cols>
  <sheetData>
    <row r="1" spans="1:7" x14ac:dyDescent="0.25">
      <c r="A1" t="s">
        <v>124</v>
      </c>
      <c r="B1" t="s">
        <v>123</v>
      </c>
      <c r="C1" t="s">
        <v>122</v>
      </c>
      <c r="D1" t="s">
        <v>65</v>
      </c>
      <c r="E1" t="s">
        <v>19</v>
      </c>
      <c r="F1" t="s">
        <v>971</v>
      </c>
    </row>
    <row r="2" spans="1:7" x14ac:dyDescent="0.25">
      <c r="C2" s="5" t="s">
        <v>72</v>
      </c>
      <c r="D2" s="5">
        <v>200</v>
      </c>
      <c r="E2" t="s">
        <v>22</v>
      </c>
    </row>
    <row r="3" spans="1:7" x14ac:dyDescent="0.25">
      <c r="B3" s="5" t="s">
        <v>47</v>
      </c>
      <c r="C3" s="5" t="s">
        <v>46</v>
      </c>
      <c r="D3" s="5">
        <v>16000</v>
      </c>
      <c r="E3" t="s">
        <v>68</v>
      </c>
    </row>
    <row r="4" spans="1:7" x14ac:dyDescent="0.25">
      <c r="C4" t="s">
        <v>4</v>
      </c>
      <c r="D4">
        <v>1.2</v>
      </c>
    </row>
    <row r="5" spans="1:7" x14ac:dyDescent="0.25">
      <c r="B5" t="s">
        <v>37</v>
      </c>
      <c r="C5" t="s">
        <v>43</v>
      </c>
      <c r="D5">
        <f>11.8*3</f>
        <v>35.400000000000006</v>
      </c>
      <c r="E5" t="s">
        <v>21</v>
      </c>
    </row>
    <row r="6" spans="1:7" x14ac:dyDescent="0.25">
      <c r="B6" t="s">
        <v>473</v>
      </c>
      <c r="C6" t="s">
        <v>474</v>
      </c>
      <c r="D6">
        <f>12.7*3</f>
        <v>38.099999999999994</v>
      </c>
      <c r="E6" t="s">
        <v>21</v>
      </c>
    </row>
    <row r="7" spans="1:7" x14ac:dyDescent="0.25">
      <c r="B7" t="s">
        <v>38</v>
      </c>
      <c r="C7" t="s">
        <v>42</v>
      </c>
      <c r="D7">
        <v>44.1</v>
      </c>
      <c r="E7" t="s">
        <v>21</v>
      </c>
    </row>
    <row r="8" spans="1:7" x14ac:dyDescent="0.25">
      <c r="B8" t="s">
        <v>71</v>
      </c>
      <c r="C8" t="s">
        <v>70</v>
      </c>
      <c r="D8">
        <v>160000</v>
      </c>
      <c r="E8" t="s">
        <v>21</v>
      </c>
    </row>
    <row r="9" spans="1:7" x14ac:dyDescent="0.25">
      <c r="B9" t="s">
        <v>59</v>
      </c>
      <c r="C9" t="s">
        <v>69</v>
      </c>
      <c r="D9">
        <v>60000</v>
      </c>
      <c r="E9" t="s">
        <v>21</v>
      </c>
    </row>
    <row r="10" spans="1:7" x14ac:dyDescent="0.25">
      <c r="B10" s="5"/>
      <c r="C10" s="5" t="s">
        <v>1</v>
      </c>
      <c r="D10" s="5">
        <f>D2/D9</f>
        <v>3.3333333333333335E-3</v>
      </c>
      <c r="E10" s="5" t="s">
        <v>20</v>
      </c>
      <c r="G10">
        <f>0.002*0.002*8000000</f>
        <v>32</v>
      </c>
    </row>
    <row r="11" spans="1:7" x14ac:dyDescent="0.25">
      <c r="B11" s="5"/>
      <c r="C11" s="5" t="s">
        <v>127</v>
      </c>
      <c r="D11" s="5">
        <f>D2/D8</f>
        <v>1.25E-3</v>
      </c>
      <c r="E11" s="5" t="s">
        <v>20</v>
      </c>
    </row>
    <row r="12" spans="1:7" x14ac:dyDescent="0.25">
      <c r="C12" t="s">
        <v>17</v>
      </c>
      <c r="D12" s="22">
        <v>14000</v>
      </c>
      <c r="E12" t="s">
        <v>21</v>
      </c>
    </row>
    <row r="13" spans="1:7" x14ac:dyDescent="0.25">
      <c r="B13" s="5" t="s">
        <v>100</v>
      </c>
      <c r="C13" s="5" t="s">
        <v>0</v>
      </c>
      <c r="D13" s="5">
        <f>ROUND(D8/D12, 0)</f>
        <v>11</v>
      </c>
      <c r="E13" s="5"/>
    </row>
    <row r="14" spans="1:7" x14ac:dyDescent="0.25">
      <c r="B14" s="7" t="s">
        <v>99</v>
      </c>
      <c r="C14" s="7" t="s">
        <v>98</v>
      </c>
      <c r="D14" s="7">
        <v>12</v>
      </c>
      <c r="E14" s="7"/>
    </row>
    <row r="15" spans="1:7" x14ac:dyDescent="0.25">
      <c r="B15" s="5"/>
      <c r="C15" s="5" t="s">
        <v>66</v>
      </c>
      <c r="D15" s="5" t="b">
        <f>D14&gt;=D13</f>
        <v>1</v>
      </c>
      <c r="E15" s="5"/>
    </row>
    <row r="16" spans="1:7" x14ac:dyDescent="0.25">
      <c r="C16" t="s">
        <v>5</v>
      </c>
      <c r="D16" s="1">
        <v>1.0000000000000001E-9</v>
      </c>
      <c r="E16" t="s">
        <v>23</v>
      </c>
    </row>
    <row r="17" spans="1:11" x14ac:dyDescent="0.25">
      <c r="A17" s="7"/>
      <c r="B17" s="7"/>
      <c r="C17" s="7"/>
      <c r="D17" s="7"/>
      <c r="E17" s="7"/>
    </row>
    <row r="18" spans="1:11" x14ac:dyDescent="0.25">
      <c r="A18" s="7"/>
      <c r="B18" s="7"/>
      <c r="C18" s="7"/>
      <c r="D18" s="7"/>
      <c r="E18" s="7"/>
    </row>
    <row r="19" spans="1:11" x14ac:dyDescent="0.25">
      <c r="A19" s="7"/>
      <c r="B19" s="7"/>
      <c r="C19" s="7"/>
      <c r="D19" s="12"/>
      <c r="E19" s="7"/>
      <c r="G19" s="83" t="s">
        <v>568</v>
      </c>
      <c r="H19" s="83"/>
      <c r="I19" s="83"/>
      <c r="J19" s="83"/>
    </row>
    <row r="20" spans="1:11" x14ac:dyDescent="0.25">
      <c r="A20" s="81" t="s">
        <v>97</v>
      </c>
      <c r="B20" t="s">
        <v>95</v>
      </c>
      <c r="C20" t="s">
        <v>2</v>
      </c>
      <c r="D20">
        <v>0.3</v>
      </c>
      <c r="E20" t="s">
        <v>20</v>
      </c>
      <c r="G20" s="83"/>
      <c r="H20" s="83"/>
      <c r="I20" s="83"/>
      <c r="J20" s="83"/>
    </row>
    <row r="21" spans="1:11" x14ac:dyDescent="0.25">
      <c r="A21" s="81"/>
      <c r="B21" s="5"/>
      <c r="C21" s="5" t="s">
        <v>3</v>
      </c>
      <c r="D21" s="5">
        <f>D20/D4</f>
        <v>0.25</v>
      </c>
      <c r="E21" s="5" t="s">
        <v>20</v>
      </c>
      <c r="G21" s="83"/>
      <c r="H21" s="83"/>
      <c r="I21" s="83"/>
      <c r="J21" s="83"/>
    </row>
    <row r="22" spans="1:11" x14ac:dyDescent="0.25">
      <c r="A22" s="81"/>
      <c r="B22" t="s">
        <v>64</v>
      </c>
      <c r="C22" t="s">
        <v>96</v>
      </c>
      <c r="D22">
        <v>0.1</v>
      </c>
      <c r="G22" s="83"/>
      <c r="H22" s="83"/>
      <c r="I22" s="83"/>
      <c r="J22" s="83"/>
    </row>
    <row r="23" spans="1:11" x14ac:dyDescent="0.25">
      <c r="A23" s="81"/>
      <c r="B23" s="5"/>
      <c r="C23" s="11" t="s">
        <v>67</v>
      </c>
      <c r="D23" s="5">
        <f>D22/D4</f>
        <v>8.3333333333333343E-2</v>
      </c>
      <c r="E23" s="5"/>
    </row>
    <row r="24" spans="1:11" x14ac:dyDescent="0.25">
      <c r="A24" s="81"/>
      <c r="C24" t="s">
        <v>7</v>
      </c>
      <c r="D24">
        <v>35</v>
      </c>
    </row>
    <row r="25" spans="1:11" x14ac:dyDescent="0.25">
      <c r="A25" s="81"/>
      <c r="B25" s="5"/>
      <c r="C25" s="5" t="s">
        <v>28</v>
      </c>
      <c r="D25" s="5"/>
      <c r="E25" s="5"/>
    </row>
    <row r="26" spans="1:11" x14ac:dyDescent="0.25">
      <c r="A26" s="81"/>
      <c r="B26" s="5"/>
      <c r="C26" s="5" t="s">
        <v>12</v>
      </c>
      <c r="D26" s="5">
        <f>D24*D10</f>
        <v>0.11666666666666667</v>
      </c>
      <c r="E26" s="5" t="s">
        <v>22</v>
      </c>
    </row>
    <row r="27" spans="1:11" x14ac:dyDescent="0.25">
      <c r="A27" s="81"/>
      <c r="B27" s="5"/>
      <c r="C27" s="5" t="s">
        <v>11</v>
      </c>
      <c r="D27" s="5">
        <f>D26*D14</f>
        <v>1.4</v>
      </c>
      <c r="E27" s="5" t="s">
        <v>22</v>
      </c>
    </row>
    <row r="28" spans="1:11" x14ac:dyDescent="0.25">
      <c r="A28" s="81"/>
      <c r="C28" t="s">
        <v>8</v>
      </c>
      <c r="D28">
        <v>100</v>
      </c>
      <c r="E28" t="s">
        <v>21</v>
      </c>
    </row>
    <row r="29" spans="1:11" x14ac:dyDescent="0.25">
      <c r="A29" s="81"/>
      <c r="C29" t="s">
        <v>10</v>
      </c>
      <c r="D29" s="1">
        <f>D71/D14</f>
        <v>0</v>
      </c>
      <c r="E29" t="s">
        <v>25</v>
      </c>
      <c r="G29" s="83" t="s">
        <v>569</v>
      </c>
      <c r="H29" s="84"/>
      <c r="I29" s="84"/>
      <c r="J29" s="84"/>
      <c r="K29" s="84"/>
    </row>
    <row r="30" spans="1:11" x14ac:dyDescent="0.25">
      <c r="B30" s="7"/>
      <c r="C30" s="9"/>
      <c r="D30" s="7"/>
      <c r="E30" s="7"/>
      <c r="G30" s="84"/>
      <c r="H30" s="84"/>
      <c r="I30" s="84"/>
      <c r="J30" s="84"/>
      <c r="K30" s="84"/>
    </row>
    <row r="31" spans="1:11" ht="15" customHeight="1" x14ac:dyDescent="0.25">
      <c r="A31" s="81" t="s">
        <v>125</v>
      </c>
      <c r="B31" s="5"/>
      <c r="C31" s="5"/>
      <c r="D31" s="5"/>
      <c r="E31" s="6"/>
      <c r="G31" s="84"/>
      <c r="H31" s="84"/>
      <c r="I31" s="84"/>
      <c r="J31" s="84"/>
      <c r="K31" s="84"/>
    </row>
    <row r="32" spans="1:11" x14ac:dyDescent="0.25">
      <c r="A32" s="81"/>
      <c r="B32" s="5"/>
      <c r="C32" s="5" t="s">
        <v>119</v>
      </c>
      <c r="D32" s="5">
        <f>D8/D23</f>
        <v>1919999.9999999998</v>
      </c>
      <c r="E32" s="6" t="s">
        <v>24</v>
      </c>
      <c r="G32" s="84"/>
      <c r="H32" s="84"/>
      <c r="I32" s="84"/>
      <c r="J32" s="84"/>
      <c r="K32" s="84"/>
    </row>
    <row r="33" spans="1:11" x14ac:dyDescent="0.25">
      <c r="A33" s="81"/>
      <c r="B33" s="7"/>
      <c r="C33" s="7" t="s">
        <v>120</v>
      </c>
      <c r="D33" s="7">
        <v>200000</v>
      </c>
      <c r="E33" s="8" t="s">
        <v>24</v>
      </c>
      <c r="G33" s="84"/>
      <c r="H33" s="84"/>
      <c r="I33" s="84"/>
      <c r="J33" s="84"/>
      <c r="K33" s="84"/>
    </row>
    <row r="34" spans="1:11" x14ac:dyDescent="0.25">
      <c r="A34" s="81"/>
      <c r="B34" s="7"/>
      <c r="C34" s="7" t="s">
        <v>121</v>
      </c>
      <c r="D34" s="7">
        <v>10</v>
      </c>
      <c r="E34" s="8"/>
      <c r="G34" s="84"/>
      <c r="H34" s="84"/>
      <c r="I34" s="84"/>
      <c r="J34" s="84"/>
      <c r="K34" s="84"/>
    </row>
    <row r="35" spans="1:11" x14ac:dyDescent="0.25">
      <c r="A35" s="81"/>
      <c r="C35" t="s">
        <v>126</v>
      </c>
      <c r="D35">
        <f>D33*D34</f>
        <v>2000000</v>
      </c>
    </row>
    <row r="36" spans="1:11" x14ac:dyDescent="0.25">
      <c r="A36" s="81"/>
      <c r="C36" t="s">
        <v>129</v>
      </c>
      <c r="D36">
        <v>5</v>
      </c>
      <c r="E36" t="s">
        <v>161</v>
      </c>
    </row>
    <row r="37" spans="1:11" x14ac:dyDescent="0.25">
      <c r="A37" s="81"/>
      <c r="C37" t="s">
        <v>162</v>
      </c>
      <c r="D37">
        <f>(1+(D36/200))*D35</f>
        <v>2049999.9999999998</v>
      </c>
    </row>
    <row r="38" spans="1:11" x14ac:dyDescent="0.25">
      <c r="A38" s="81"/>
      <c r="C38" t="s">
        <v>163</v>
      </c>
      <c r="D38">
        <f>(1-(D36/200))*D35</f>
        <v>1950000</v>
      </c>
    </row>
    <row r="39" spans="1:11" x14ac:dyDescent="0.25">
      <c r="A39" s="81"/>
      <c r="B39" s="5"/>
      <c r="C39" s="5" t="s">
        <v>9</v>
      </c>
      <c r="D39" s="5">
        <f>D8/D38</f>
        <v>8.2051282051282051E-2</v>
      </c>
      <c r="E39" s="5" t="s">
        <v>20</v>
      </c>
    </row>
    <row r="40" spans="1:11" x14ac:dyDescent="0.25">
      <c r="A40" s="81"/>
      <c r="B40" s="5"/>
      <c r="C40" s="5" t="s">
        <v>747</v>
      </c>
      <c r="D40" s="5">
        <f>POWER(D10, 2)*D37</f>
        <v>22.777777777777779</v>
      </c>
      <c r="E40" s="5" t="s">
        <v>22</v>
      </c>
    </row>
    <row r="41" spans="1:11" x14ac:dyDescent="0.25">
      <c r="A41" s="81"/>
      <c r="B41" s="5"/>
      <c r="C41" s="5" t="s">
        <v>164</v>
      </c>
      <c r="D41" s="5">
        <f>D40/D34</f>
        <v>2.2777777777777777</v>
      </c>
      <c r="E41" s="5"/>
    </row>
    <row r="42" spans="1:11" x14ac:dyDescent="0.25">
      <c r="A42" s="81"/>
      <c r="B42" s="5"/>
      <c r="C42" s="75" t="s">
        <v>165</v>
      </c>
      <c r="D42" s="75">
        <f>D33*POWER(D102, 2)/(2*3)</f>
        <v>231.48148148148152</v>
      </c>
      <c r="E42" s="5"/>
    </row>
    <row r="43" spans="1:11" x14ac:dyDescent="0.25">
      <c r="A43" s="81"/>
      <c r="B43" s="5"/>
      <c r="C43" s="5" t="s">
        <v>748</v>
      </c>
      <c r="D43" s="5">
        <f>POWER(D11, 2)*D37</f>
        <v>3.203125</v>
      </c>
      <c r="E43" s="5" t="s">
        <v>22</v>
      </c>
    </row>
    <row r="44" spans="1:11" x14ac:dyDescent="0.25">
      <c r="A44" s="81"/>
      <c r="B44" s="5"/>
      <c r="C44" s="5" t="s">
        <v>27</v>
      </c>
      <c r="D44" s="10">
        <f>D74/D34</f>
        <v>0.23520000000000002</v>
      </c>
      <c r="E44" s="5" t="s">
        <v>25</v>
      </c>
    </row>
    <row r="45" spans="1:11" x14ac:dyDescent="0.25">
      <c r="A45" s="81"/>
      <c r="B45" s="5"/>
      <c r="C45" s="5" t="s">
        <v>745</v>
      </c>
      <c r="D45" s="10">
        <v>3</v>
      </c>
      <c r="E45" s="5" t="s">
        <v>22</v>
      </c>
    </row>
    <row r="46" spans="1:11" x14ac:dyDescent="0.25">
      <c r="A46" s="81"/>
      <c r="B46" s="5"/>
      <c r="C46" s="5" t="s">
        <v>746</v>
      </c>
      <c r="D46" t="b">
        <f>D45/D4&gt;=D41</f>
        <v>1</v>
      </c>
      <c r="E46" s="5"/>
    </row>
    <row r="47" spans="1:11" x14ac:dyDescent="0.25">
      <c r="A47" s="81"/>
      <c r="B47" s="5"/>
      <c r="C47" s="5" t="s">
        <v>749</v>
      </c>
      <c r="D47" s="10">
        <f>D45*D34/D4</f>
        <v>25</v>
      </c>
      <c r="E47" s="5"/>
    </row>
    <row r="48" spans="1:11" x14ac:dyDescent="0.25">
      <c r="A48" s="81"/>
      <c r="B48" s="5"/>
      <c r="C48" s="5"/>
      <c r="D48" s="10"/>
      <c r="E48" s="5"/>
    </row>
    <row r="49" spans="1:18" x14ac:dyDescent="0.25">
      <c r="A49" s="81"/>
      <c r="B49" s="7"/>
      <c r="C49" s="76" t="s">
        <v>751</v>
      </c>
      <c r="D49" s="77">
        <f>22000</f>
        <v>22000</v>
      </c>
      <c r="E49" s="76"/>
    </row>
    <row r="50" spans="1:18" x14ac:dyDescent="0.25">
      <c r="A50" s="81"/>
      <c r="B50" s="7"/>
      <c r="C50" s="76" t="s">
        <v>661</v>
      </c>
      <c r="D50" s="77">
        <v>0.1</v>
      </c>
      <c r="E50" s="76"/>
    </row>
    <row r="51" spans="1:18" x14ac:dyDescent="0.25">
      <c r="A51" s="81"/>
      <c r="B51" s="7"/>
      <c r="C51" s="76" t="s">
        <v>662</v>
      </c>
      <c r="D51" s="77">
        <v>0.06</v>
      </c>
      <c r="E51" s="76"/>
    </row>
    <row r="52" spans="1:18" x14ac:dyDescent="0.25">
      <c r="A52" s="81"/>
      <c r="B52" s="7"/>
      <c r="C52" s="76" t="s">
        <v>752</v>
      </c>
      <c r="D52" s="77">
        <f>PI()*D51*D51/4</f>
        <v>2.8274333882308137E-3</v>
      </c>
      <c r="E52" s="76"/>
    </row>
    <row r="53" spans="1:18" x14ac:dyDescent="0.25">
      <c r="A53" s="81"/>
      <c r="B53" s="39"/>
      <c r="C53" s="75" t="s">
        <v>193</v>
      </c>
      <c r="D53" s="78">
        <f>D49*D50/D52</f>
        <v>778090.83289371058</v>
      </c>
      <c r="E53" s="75"/>
    </row>
    <row r="54" spans="1:18" x14ac:dyDescent="0.25">
      <c r="A54" s="81"/>
      <c r="B54" s="5"/>
      <c r="C54" s="75" t="s">
        <v>754</v>
      </c>
      <c r="D54" s="78">
        <f>D51*D52</f>
        <v>1.696460032938488E-4</v>
      </c>
      <c r="E54" s="75"/>
    </row>
    <row r="55" spans="1:18" x14ac:dyDescent="0.25">
      <c r="A55" s="81"/>
      <c r="B55" s="5"/>
      <c r="C55" s="75" t="s">
        <v>755</v>
      </c>
      <c r="D55" s="78">
        <v>3990</v>
      </c>
      <c r="E55" s="79" t="s">
        <v>756</v>
      </c>
    </row>
    <row r="56" spans="1:18" x14ac:dyDescent="0.25">
      <c r="A56" s="81"/>
      <c r="B56" s="5"/>
      <c r="C56" s="75" t="s">
        <v>757</v>
      </c>
      <c r="D56" s="78">
        <v>1020</v>
      </c>
      <c r="E56" s="75"/>
    </row>
    <row r="57" spans="1:18" x14ac:dyDescent="0.25">
      <c r="A57" s="81"/>
      <c r="B57" s="5"/>
      <c r="C57" s="75" t="s">
        <v>753</v>
      </c>
      <c r="D57" s="78">
        <f>D56*D54*D55</f>
        <v>690.42530420530591</v>
      </c>
      <c r="E57" s="75"/>
    </row>
    <row r="58" spans="1:18" x14ac:dyDescent="0.25">
      <c r="A58" s="81"/>
      <c r="B58" s="5"/>
      <c r="C58" s="75" t="s">
        <v>758</v>
      </c>
      <c r="D58" s="78">
        <f>20</f>
        <v>20</v>
      </c>
      <c r="E58" s="75"/>
    </row>
    <row r="59" spans="1:18" x14ac:dyDescent="0.25">
      <c r="A59" s="81"/>
      <c r="B59" s="5"/>
      <c r="C59" s="75" t="s">
        <v>759</v>
      </c>
      <c r="D59" s="78">
        <f>D58*D57</f>
        <v>13808.506084106119</v>
      </c>
      <c r="E59" s="75"/>
    </row>
    <row r="60" spans="1:18" x14ac:dyDescent="0.25">
      <c r="B60" s="7"/>
      <c r="P60" t="s">
        <v>73</v>
      </c>
      <c r="Q60" t="s">
        <v>74</v>
      </c>
      <c r="R60">
        <v>0.1</v>
      </c>
    </row>
    <row r="61" spans="1:18" ht="15" customHeight="1" x14ac:dyDescent="0.25">
      <c r="A61" s="81" t="s">
        <v>30</v>
      </c>
      <c r="C61" s="7" t="s">
        <v>29</v>
      </c>
      <c r="D61" s="7">
        <v>180</v>
      </c>
      <c r="E61" s="7" t="s">
        <v>322</v>
      </c>
      <c r="P61" t="s">
        <v>75</v>
      </c>
      <c r="Q61" t="s">
        <v>76</v>
      </c>
      <c r="R61">
        <f xml:space="preserve"> D8/R60</f>
        <v>1600000</v>
      </c>
    </row>
    <row r="62" spans="1:18" x14ac:dyDescent="0.25">
      <c r="A62" s="81"/>
      <c r="C62" s="7" t="s">
        <v>26</v>
      </c>
      <c r="D62" s="7">
        <v>30</v>
      </c>
      <c r="E62" s="7" t="s">
        <v>21</v>
      </c>
      <c r="P62" t="s">
        <v>77</v>
      </c>
      <c r="Q62" t="s">
        <v>78</v>
      </c>
      <c r="R62">
        <f>D2/D8</f>
        <v>1.25E-3</v>
      </c>
    </row>
    <row r="63" spans="1:18" x14ac:dyDescent="0.25">
      <c r="A63" s="81"/>
      <c r="B63" s="5"/>
      <c r="C63" s="5" t="s">
        <v>13</v>
      </c>
      <c r="D63" s="5">
        <f>D62/D14</f>
        <v>2.5</v>
      </c>
      <c r="E63" s="5" t="s">
        <v>322</v>
      </c>
      <c r="P63" t="s">
        <v>79</v>
      </c>
      <c r="Q63" t="s">
        <v>80</v>
      </c>
      <c r="R63">
        <f xml:space="preserve"> D2/D9</f>
        <v>3.3333333333333335E-3</v>
      </c>
    </row>
    <row r="64" spans="1:18" x14ac:dyDescent="0.25">
      <c r="A64" s="81"/>
      <c r="B64" s="5"/>
      <c r="C64" s="5" t="s">
        <v>14</v>
      </c>
      <c r="D64" s="10">
        <f>D61/(D16*LN(D12/D63))</f>
        <v>20856212703.135025</v>
      </c>
      <c r="E64" s="6" t="s">
        <v>24</v>
      </c>
      <c r="Q64" t="s">
        <v>81</v>
      </c>
      <c r="R64">
        <f>R62*R61</f>
        <v>2000</v>
      </c>
    </row>
    <row r="65" spans="1:18" x14ac:dyDescent="0.25">
      <c r="A65" s="81"/>
      <c r="C65" s="7" t="s">
        <v>16</v>
      </c>
      <c r="D65" s="12">
        <f>1000000000*15</f>
        <v>15000000000</v>
      </c>
      <c r="E65" s="8" t="s">
        <v>24</v>
      </c>
      <c r="G65" t="s">
        <v>31</v>
      </c>
      <c r="Q65" t="s">
        <v>82</v>
      </c>
      <c r="R65">
        <f>R63*R61</f>
        <v>5333.3333333333339</v>
      </c>
    </row>
    <row r="66" spans="1:18" x14ac:dyDescent="0.25">
      <c r="A66" s="81"/>
      <c r="B66" s="5"/>
      <c r="C66" s="5" t="s">
        <v>101</v>
      </c>
      <c r="D66" s="10">
        <f>D12*D12/D65</f>
        <v>1.3066666666666667E-2</v>
      </c>
      <c r="E66" s="5" t="s">
        <v>22</v>
      </c>
      <c r="Q66" t="s">
        <v>83</v>
      </c>
      <c r="R66">
        <f xml:space="preserve"> POWER(R64, 2)/R61</f>
        <v>2.5</v>
      </c>
    </row>
    <row r="67" spans="1:18" x14ac:dyDescent="0.25">
      <c r="A67" s="81"/>
      <c r="B67" s="5"/>
      <c r="C67" s="5" t="s">
        <v>15</v>
      </c>
      <c r="D67" s="10">
        <f>2*D66*D14</f>
        <v>0.31359999999999999</v>
      </c>
      <c r="E67" s="5" t="s">
        <v>22</v>
      </c>
      <c r="Q67" t="s">
        <v>84</v>
      </c>
      <c r="R67">
        <f xml:space="preserve"> POWER(R65, 2)/R61</f>
        <v>17.777777777777782</v>
      </c>
    </row>
    <row r="68" spans="1:18" x14ac:dyDescent="0.25">
      <c r="A68" s="81"/>
      <c r="B68" s="5"/>
      <c r="C68" s="5" t="s">
        <v>32</v>
      </c>
      <c r="D68" s="10">
        <f>D65*D16*LN(D12/D63)</f>
        <v>129.45782815084863</v>
      </c>
      <c r="E68" s="5" t="s">
        <v>322</v>
      </c>
    </row>
    <row r="69" spans="1:18" x14ac:dyDescent="0.25">
      <c r="A69" s="81"/>
      <c r="B69" s="5"/>
      <c r="C69" s="5" t="s">
        <v>102</v>
      </c>
      <c r="D69" s="10" t="b">
        <f>D68&lt;=D61</f>
        <v>1</v>
      </c>
      <c r="E69" s="5"/>
    </row>
    <row r="70" spans="1:18" x14ac:dyDescent="0.25">
      <c r="A70" s="13"/>
      <c r="B70" s="7"/>
      <c r="C70" s="7"/>
      <c r="D70" s="12"/>
      <c r="E70" s="7"/>
    </row>
    <row r="71" spans="1:18" x14ac:dyDescent="0.25">
      <c r="A71" s="82" t="s">
        <v>103</v>
      </c>
      <c r="C71" s="5"/>
      <c r="D71" s="10"/>
      <c r="E71" s="5"/>
    </row>
    <row r="72" spans="1:18" x14ac:dyDescent="0.25">
      <c r="A72" s="82"/>
      <c r="B72" s="5"/>
      <c r="C72" s="5" t="s">
        <v>1144</v>
      </c>
      <c r="D72" s="5">
        <f>D2/D3</f>
        <v>1.2500000000000001E-2</v>
      </c>
      <c r="E72" s="5" t="s">
        <v>25</v>
      </c>
    </row>
    <row r="73" spans="1:18" x14ac:dyDescent="0.25">
      <c r="A73" s="82"/>
      <c r="B73" s="5" t="s">
        <v>118</v>
      </c>
      <c r="C73" s="5" t="s">
        <v>6</v>
      </c>
      <c r="D73" s="10">
        <f>D12*D12*0.5*D16</f>
        <v>9.8000000000000004E-2</v>
      </c>
      <c r="E73" s="5" t="s">
        <v>25</v>
      </c>
    </row>
    <row r="74" spans="1:18" x14ac:dyDescent="0.25">
      <c r="A74" s="82"/>
      <c r="B74" s="5"/>
      <c r="C74" s="5" t="s">
        <v>128</v>
      </c>
      <c r="D74" s="10">
        <f>D73*2*D14</f>
        <v>2.3520000000000003</v>
      </c>
      <c r="E74" s="5"/>
    </row>
    <row r="75" spans="1:18" x14ac:dyDescent="0.25">
      <c r="A75" s="82"/>
      <c r="B75" s="5"/>
      <c r="C75" s="5" t="s">
        <v>85</v>
      </c>
      <c r="D75" s="10">
        <f>D73-D72</f>
        <v>8.5500000000000007E-2</v>
      </c>
      <c r="E75" s="5"/>
      <c r="R75" s="1"/>
    </row>
    <row r="76" spans="1:18" x14ac:dyDescent="0.25">
      <c r="A76" s="82"/>
      <c r="B76" s="5"/>
      <c r="C76" s="5" t="s">
        <v>86</v>
      </c>
      <c r="D76" s="5">
        <f xml:space="preserve"> POWER(D75*2/D16, 0.5)</f>
        <v>13076.696830622021</v>
      </c>
      <c r="E76" s="5"/>
    </row>
    <row r="77" spans="1:18" x14ac:dyDescent="0.25">
      <c r="A77" s="82"/>
      <c r="B77" s="5" t="s">
        <v>117</v>
      </c>
      <c r="C77" s="5" t="s">
        <v>87</v>
      </c>
      <c r="D77" s="5">
        <f>D12-D76</f>
        <v>923.30316937797943</v>
      </c>
      <c r="E77" s="5"/>
    </row>
    <row r="78" spans="1:18" x14ac:dyDescent="0.25">
      <c r="A78" s="82"/>
      <c r="B78" s="5" t="s">
        <v>113</v>
      </c>
      <c r="C78" s="5" t="s">
        <v>114</v>
      </c>
      <c r="D78" s="5">
        <f>D77/POWER(2, 0.5)</f>
        <v>652.87393215820066</v>
      </c>
      <c r="E78" s="5"/>
    </row>
    <row r="79" spans="1:18" x14ac:dyDescent="0.25">
      <c r="A79" s="82"/>
      <c r="B79" s="5" t="s">
        <v>116</v>
      </c>
      <c r="C79" s="5" t="s">
        <v>115</v>
      </c>
      <c r="D79" s="10">
        <f>2 * PI() * D3* D16*POWER(D78, 2)</f>
        <v>42.850757935489241</v>
      </c>
      <c r="E79" s="5"/>
    </row>
    <row r="80" spans="1:18" x14ac:dyDescent="0.25">
      <c r="A80" s="82"/>
      <c r="C80" t="s">
        <v>88</v>
      </c>
      <c r="D80">
        <v>0.01</v>
      </c>
    </row>
    <row r="81" spans="1:8" x14ac:dyDescent="0.25">
      <c r="A81" s="82"/>
      <c r="C81" t="s">
        <v>89</v>
      </c>
      <c r="D81">
        <v>0.03</v>
      </c>
    </row>
    <row r="82" spans="1:8" x14ac:dyDescent="0.25">
      <c r="A82" s="82"/>
      <c r="C82" t="s">
        <v>90</v>
      </c>
      <c r="D82">
        <v>5.0000000000000001E-4</v>
      </c>
      <c r="G82" s="4" t="s">
        <v>33</v>
      </c>
      <c r="H82" t="s">
        <v>34</v>
      </c>
    </row>
    <row r="83" spans="1:8" x14ac:dyDescent="0.25">
      <c r="A83" s="82"/>
      <c r="C83" t="s">
        <v>91</v>
      </c>
      <c r="D83">
        <v>1E-3</v>
      </c>
      <c r="G83" s="4"/>
    </row>
    <row r="84" spans="1:8" x14ac:dyDescent="0.25">
      <c r="A84" s="82"/>
      <c r="C84" t="s">
        <v>92</v>
      </c>
      <c r="D84">
        <v>5.0000000000000001E-3</v>
      </c>
    </row>
    <row r="85" spans="1:8" x14ac:dyDescent="0.25">
      <c r="A85" s="82"/>
      <c r="C85" t="s">
        <v>93</v>
      </c>
      <c r="D85">
        <v>1.4999999999999999E-2</v>
      </c>
    </row>
    <row r="86" spans="1:8" x14ac:dyDescent="0.25">
      <c r="A86" s="82"/>
      <c r="C86" t="s">
        <v>94</v>
      </c>
      <c r="D86">
        <v>0.01</v>
      </c>
    </row>
    <row r="87" spans="1:8" x14ac:dyDescent="0.25">
      <c r="A87" s="82"/>
      <c r="C87" t="s">
        <v>107</v>
      </c>
      <c r="D87">
        <v>0.02</v>
      </c>
    </row>
    <row r="88" spans="1:8" x14ac:dyDescent="0.25">
      <c r="A88" s="82"/>
      <c r="B88" s="5"/>
      <c r="C88" s="5" t="s">
        <v>104</v>
      </c>
      <c r="D88" s="5">
        <f>D79*D81</f>
        <v>1.2855227380646772</v>
      </c>
      <c r="E88" s="5"/>
    </row>
    <row r="89" spans="1:8" x14ac:dyDescent="0.25">
      <c r="A89" s="82"/>
      <c r="B89" s="5"/>
      <c r="C89" s="5" t="s">
        <v>105</v>
      </c>
      <c r="D89" s="5">
        <f>D79*D83</f>
        <v>4.2850757935489245E-2</v>
      </c>
      <c r="E89" s="5"/>
    </row>
    <row r="90" spans="1:8" x14ac:dyDescent="0.25">
      <c r="A90" s="82"/>
      <c r="B90" s="5"/>
      <c r="C90" s="5" t="s">
        <v>106</v>
      </c>
      <c r="D90" s="5">
        <f>D79*D85</f>
        <v>0.6427613690323386</v>
      </c>
      <c r="E90" s="5"/>
    </row>
    <row r="91" spans="1:8" x14ac:dyDescent="0.25">
      <c r="A91" s="82"/>
      <c r="B91" s="5"/>
      <c r="C91" s="5" t="s">
        <v>108</v>
      </c>
      <c r="D91" s="10">
        <f>D79*D87</f>
        <v>0.85701515870978484</v>
      </c>
      <c r="E91" s="5"/>
    </row>
    <row r="92" spans="1:8" x14ac:dyDescent="0.25">
      <c r="A92" s="82"/>
      <c r="B92" s="5"/>
      <c r="C92" s="5" t="s">
        <v>109</v>
      </c>
      <c r="D92" s="5">
        <f>D88*D14*2</f>
        <v>30.852545713552253</v>
      </c>
      <c r="E92" s="5"/>
    </row>
    <row r="93" spans="1:8" x14ac:dyDescent="0.25">
      <c r="A93" s="82"/>
      <c r="B93" s="5"/>
      <c r="C93" s="5" t="s">
        <v>110</v>
      </c>
      <c r="D93" s="5">
        <f>D89*D14*2</f>
        <v>1.0284181904517418</v>
      </c>
      <c r="E93" s="5"/>
    </row>
    <row r="94" spans="1:8" x14ac:dyDescent="0.25">
      <c r="A94" s="82"/>
      <c r="B94" s="5"/>
      <c r="C94" s="5" t="s">
        <v>111</v>
      </c>
      <c r="D94" s="5">
        <f>D90*D14*2</f>
        <v>15.426272856776126</v>
      </c>
      <c r="E94" s="5"/>
    </row>
    <row r="95" spans="1:8" x14ac:dyDescent="0.25">
      <c r="A95" s="82"/>
      <c r="B95" s="5"/>
      <c r="C95" s="5" t="s">
        <v>112</v>
      </c>
      <c r="D95" s="10">
        <f>D91*D14*2</f>
        <v>20.568363809034835</v>
      </c>
      <c r="E95" s="5"/>
    </row>
    <row r="97" spans="1:17" x14ac:dyDescent="0.25">
      <c r="C97" s="2" t="s">
        <v>18</v>
      </c>
      <c r="D97" s="3">
        <f>D43+D27+D67</f>
        <v>4.9167250000000005</v>
      </c>
    </row>
    <row r="98" spans="1:17" x14ac:dyDescent="0.25">
      <c r="C98" s="5" t="s">
        <v>4</v>
      </c>
      <c r="D98">
        <f>D4</f>
        <v>1.2</v>
      </c>
    </row>
    <row r="99" spans="1:17" ht="15" customHeight="1" x14ac:dyDescent="0.25">
      <c r="A99" s="81" t="s">
        <v>1148</v>
      </c>
      <c r="B99" s="7" t="s">
        <v>991</v>
      </c>
      <c r="C99" s="7" t="s">
        <v>17</v>
      </c>
      <c r="D99" s="7">
        <f>D12</f>
        <v>14000</v>
      </c>
      <c r="E99" t="s">
        <v>21</v>
      </c>
      <c r="F99" s="7">
        <v>400</v>
      </c>
    </row>
    <row r="100" spans="1:17" x14ac:dyDescent="0.25">
      <c r="A100" s="81"/>
      <c r="B100" s="7" t="s">
        <v>992</v>
      </c>
      <c r="C100" s="7" t="s">
        <v>72</v>
      </c>
      <c r="D100" s="7">
        <f>D2</f>
        <v>200</v>
      </c>
      <c r="E100" t="s">
        <v>22</v>
      </c>
      <c r="F100" s="7">
        <f>D100</f>
        <v>200</v>
      </c>
    </row>
    <row r="101" spans="1:17" x14ac:dyDescent="0.25">
      <c r="A101" s="81"/>
      <c r="B101" s="7" t="s">
        <v>47</v>
      </c>
      <c r="C101" s="7" t="s">
        <v>46</v>
      </c>
      <c r="D101" s="7">
        <f>D3</f>
        <v>16000</v>
      </c>
      <c r="E101" t="s">
        <v>68</v>
      </c>
      <c r="F101" s="7">
        <f>D101</f>
        <v>16000</v>
      </c>
    </row>
    <row r="102" spans="1:17" x14ac:dyDescent="0.25">
      <c r="A102" s="81"/>
      <c r="B102" t="s">
        <v>984</v>
      </c>
      <c r="C102" t="s">
        <v>985</v>
      </c>
      <c r="D102">
        <f>D23</f>
        <v>8.3333333333333343E-2</v>
      </c>
      <c r="E102" t="s">
        <v>20</v>
      </c>
      <c r="F102">
        <f>3/D98</f>
        <v>2.5</v>
      </c>
    </row>
    <row r="103" spans="1:17" x14ac:dyDescent="0.25">
      <c r="A103" s="81"/>
      <c r="B103" t="s">
        <v>37</v>
      </c>
      <c r="C103" t="s">
        <v>43</v>
      </c>
      <c r="D103">
        <f>D5</f>
        <v>35.400000000000006</v>
      </c>
      <c r="E103" t="s">
        <v>21</v>
      </c>
      <c r="F103">
        <f>D103</f>
        <v>35.400000000000006</v>
      </c>
    </row>
    <row r="104" spans="1:17" x14ac:dyDescent="0.25">
      <c r="A104" s="81"/>
      <c r="B104" t="s">
        <v>38</v>
      </c>
      <c r="C104" t="s">
        <v>42</v>
      </c>
      <c r="D104">
        <f>D7</f>
        <v>44.1</v>
      </c>
      <c r="F104">
        <f>D104</f>
        <v>44.1</v>
      </c>
    </row>
    <row r="105" spans="1:17" x14ac:dyDescent="0.25">
      <c r="A105" s="81"/>
      <c r="B105" s="7" t="s">
        <v>60</v>
      </c>
      <c r="C105" s="7" t="s">
        <v>61</v>
      </c>
      <c r="D105" s="9">
        <f>D99/2</f>
        <v>7000</v>
      </c>
      <c r="E105" s="7" t="s">
        <v>21</v>
      </c>
      <c r="F105" s="9">
        <v>400</v>
      </c>
    </row>
    <row r="106" spans="1:17" x14ac:dyDescent="0.25">
      <c r="A106" s="81"/>
      <c r="B106" t="s">
        <v>56</v>
      </c>
      <c r="C106" s="7" t="s">
        <v>57</v>
      </c>
      <c r="D106" s="50">
        <v>0.38</v>
      </c>
      <c r="E106" t="s">
        <v>982</v>
      </c>
      <c r="F106" s="50">
        <v>0.38</v>
      </c>
    </row>
    <row r="107" spans="1:17" x14ac:dyDescent="0.25">
      <c r="A107" s="81"/>
      <c r="B107" t="s">
        <v>55</v>
      </c>
      <c r="D107" s="50">
        <v>6.9999999999999999E-4</v>
      </c>
      <c r="E107" t="s">
        <v>206</v>
      </c>
      <c r="F107" s="50">
        <v>6.9999999999999999E-4</v>
      </c>
    </row>
    <row r="108" spans="1:17" x14ac:dyDescent="0.25">
      <c r="A108" s="81"/>
      <c r="B108" t="s">
        <v>49</v>
      </c>
      <c r="C108" t="s">
        <v>50</v>
      </c>
      <c r="D108" s="52">
        <f>Q120*10^9</f>
        <v>552.77777777777771</v>
      </c>
      <c r="E108" t="s">
        <v>983</v>
      </c>
      <c r="F108" s="52">
        <f>D108</f>
        <v>552.77777777777771</v>
      </c>
    </row>
    <row r="109" spans="1:17" x14ac:dyDescent="0.25">
      <c r="A109" s="81"/>
      <c r="C109" t="s">
        <v>36</v>
      </c>
      <c r="D109" s="50">
        <v>0.9</v>
      </c>
      <c r="F109" s="50">
        <v>0.9</v>
      </c>
    </row>
    <row r="110" spans="1:17" x14ac:dyDescent="0.25">
      <c r="A110" s="81"/>
      <c r="C110" s="55"/>
      <c r="D110" s="50"/>
      <c r="F110" s="50"/>
    </row>
    <row r="111" spans="1:17" x14ac:dyDescent="0.25">
      <c r="A111" s="81"/>
      <c r="B111" t="s">
        <v>557</v>
      </c>
      <c r="C111" s="55" t="s">
        <v>558</v>
      </c>
      <c r="D111" s="49">
        <f>D100/D101</f>
        <v>1.2500000000000001E-2</v>
      </c>
      <c r="E111" t="s">
        <v>25</v>
      </c>
      <c r="F111" s="49">
        <f>F100/F101</f>
        <v>1.2500000000000001E-2</v>
      </c>
      <c r="M111" s="86" t="s">
        <v>1011</v>
      </c>
      <c r="N111" s="86"/>
      <c r="O111" s="86"/>
      <c r="P111" s="86"/>
      <c r="Q111" s="86"/>
    </row>
    <row r="112" spans="1:17" x14ac:dyDescent="0.25">
      <c r="A112" s="81"/>
      <c r="B112" t="s">
        <v>1146</v>
      </c>
      <c r="C112" s="55" t="s">
        <v>1147</v>
      </c>
      <c r="D112" s="49">
        <f>D111/2</f>
        <v>6.2500000000000003E-3</v>
      </c>
      <c r="F112" s="49">
        <f>F111/2</f>
        <v>6.2500000000000003E-3</v>
      </c>
      <c r="M112" s="73"/>
      <c r="N112" s="73"/>
      <c r="O112" s="73"/>
      <c r="P112" s="73"/>
      <c r="Q112" s="73"/>
    </row>
    <row r="113" spans="1:32" x14ac:dyDescent="0.25">
      <c r="A113" s="81"/>
      <c r="B113" t="s">
        <v>1145</v>
      </c>
      <c r="C113" s="55"/>
      <c r="D113" s="49">
        <f>1/(4*D101)</f>
        <v>1.5625E-5</v>
      </c>
      <c r="F113" s="49">
        <f>1/(4*F101)</f>
        <v>1.5625E-5</v>
      </c>
      <c r="M113" s="73"/>
      <c r="N113" s="73"/>
      <c r="O113" s="73"/>
      <c r="P113" s="73"/>
      <c r="Q113" s="73"/>
    </row>
    <row r="114" spans="1:32" x14ac:dyDescent="0.25">
      <c r="A114" s="81"/>
      <c r="B114" t="s">
        <v>1025</v>
      </c>
      <c r="C114" s="55" t="s">
        <v>1016</v>
      </c>
      <c r="D114" s="49">
        <f>POWER(D103*D113, 2)/(2*D112)</f>
        <v>2.4475781250000011E-5</v>
      </c>
      <c r="F114" s="49">
        <f>POWER(F103*F113, 2)/(2*F112)</f>
        <v>2.4475781250000011E-5</v>
      </c>
      <c r="M114" s="66"/>
      <c r="N114" s="66"/>
      <c r="O114" s="66"/>
      <c r="P114" s="66"/>
      <c r="Q114" s="66"/>
    </row>
    <row r="115" spans="1:32" x14ac:dyDescent="0.25">
      <c r="A115" s="81"/>
      <c r="B115" t="s">
        <v>1026</v>
      </c>
      <c r="C115" t="s">
        <v>1149</v>
      </c>
      <c r="D115" s="80">
        <f>D114*2</f>
        <v>4.8951562500000022E-5</v>
      </c>
      <c r="E115" t="s">
        <v>153</v>
      </c>
      <c r="F115" s="80">
        <f>F114*2</f>
        <v>4.8951562500000022E-5</v>
      </c>
      <c r="M115" t="s">
        <v>1007</v>
      </c>
      <c r="O115">
        <v>6</v>
      </c>
      <c r="P115">
        <v>6</v>
      </c>
      <c r="Q115">
        <v>6</v>
      </c>
      <c r="R115">
        <v>6</v>
      </c>
    </row>
    <row r="116" spans="1:32" x14ac:dyDescent="0.25">
      <c r="A116" s="81"/>
      <c r="B116" t="s">
        <v>40</v>
      </c>
      <c r="C116" s="55" t="s">
        <v>1150</v>
      </c>
      <c r="D116" s="27">
        <f>POWER(2*D111/D115, 0.5)</f>
        <v>22.598870056497169</v>
      </c>
      <c r="E116" t="s">
        <v>20</v>
      </c>
      <c r="F116" s="27">
        <f>POWER(2*F111/F115, 0.5)</f>
        <v>22.598870056497169</v>
      </c>
      <c r="M116" t="s">
        <v>1008</v>
      </c>
      <c r="N116" t="s">
        <v>132</v>
      </c>
      <c r="O116">
        <v>0</v>
      </c>
      <c r="P116">
        <v>1</v>
      </c>
      <c r="Q116">
        <v>2</v>
      </c>
      <c r="R116">
        <v>3</v>
      </c>
    </row>
    <row r="117" spans="1:32" x14ac:dyDescent="0.25">
      <c r="A117" s="81"/>
      <c r="C117" s="55" t="s">
        <v>1028</v>
      </c>
      <c r="D117" s="49">
        <f>0.5*D115*POWER(D116, 2)</f>
        <v>1.2499999999999999E-2</v>
      </c>
      <c r="E117" t="s">
        <v>25</v>
      </c>
      <c r="F117" s="49">
        <f>0.5*F115*POWER(F116, 2)</f>
        <v>1.2499999999999999E-2</v>
      </c>
    </row>
    <row r="118" spans="1:32" x14ac:dyDescent="0.25">
      <c r="A118" s="81"/>
      <c r="C118" s="55" t="s">
        <v>1029</v>
      </c>
      <c r="D118" s="49" t="b">
        <f>D117&gt;=D111</f>
        <v>1</v>
      </c>
      <c r="F118" s="49" t="b">
        <f>F117&gt;=F111</f>
        <v>1</v>
      </c>
    </row>
    <row r="119" spans="1:32" x14ac:dyDescent="0.25">
      <c r="A119" s="81"/>
      <c r="B119" t="s">
        <v>62</v>
      </c>
      <c r="D119">
        <f>D116/D126</f>
        <v>8.3333333333333343E-2</v>
      </c>
      <c r="E119" t="s">
        <v>20</v>
      </c>
      <c r="F119">
        <f>F116/F126</f>
        <v>2.5</v>
      </c>
      <c r="M119" t="s">
        <v>1009</v>
      </c>
      <c r="N119" t="s">
        <v>153</v>
      </c>
      <c r="O119" s="1">
        <v>1.8770000000000001E-4</v>
      </c>
      <c r="P119" s="1">
        <v>2.4600000000000002E-5</v>
      </c>
      <c r="Q119" s="1">
        <v>1.9899999999999999E-5</v>
      </c>
      <c r="R119" s="1">
        <v>1.7799999999999999E-5</v>
      </c>
    </row>
    <row r="120" spans="1:32" x14ac:dyDescent="0.25">
      <c r="A120" s="81"/>
      <c r="B120" t="s">
        <v>51</v>
      </c>
      <c r="C120" t="s">
        <v>52</v>
      </c>
      <c r="D120" s="27">
        <f>POWER(D115*(1000000000)/D108, 0.5)</f>
        <v>9.4103979964856617</v>
      </c>
      <c r="F120" s="27">
        <f>POWER(F115*(1000000000)/F108, 0.5)</f>
        <v>9.4103979964856617</v>
      </c>
      <c r="M120" t="s">
        <v>1010</v>
      </c>
      <c r="O120">
        <f>O119/POWER(O115, 2)</f>
        <v>5.2138888888888888E-6</v>
      </c>
      <c r="P120">
        <f t="shared" ref="P120:R120" si="0">P119/POWER(P115, 2)</f>
        <v>6.8333333333333339E-7</v>
      </c>
      <c r="Q120">
        <f t="shared" si="0"/>
        <v>5.5277777777777772E-7</v>
      </c>
      <c r="R120">
        <f t="shared" si="0"/>
        <v>4.9444444444444438E-7</v>
      </c>
      <c r="S120" t="e">
        <f t="shared" ref="S120" si="1">S119/POWER(S115, 2)</f>
        <v>#DIV/0!</v>
      </c>
      <c r="T120" t="e">
        <f t="shared" ref="T120" si="2">T119/POWER(T115, 2)</f>
        <v>#DIV/0!</v>
      </c>
      <c r="U120" t="e">
        <f t="shared" ref="U120" si="3">U119/POWER(U115, 2)</f>
        <v>#DIV/0!</v>
      </c>
      <c r="V120" t="e">
        <f t="shared" ref="V120" si="4">V119/POWER(V115, 2)</f>
        <v>#DIV/0!</v>
      </c>
      <c r="W120" t="e">
        <f t="shared" ref="W120" si="5">W119/POWER(W115, 2)</f>
        <v>#DIV/0!</v>
      </c>
      <c r="X120" t="e">
        <f t="shared" ref="X120" si="6">X119/POWER(X115, 2)</f>
        <v>#DIV/0!</v>
      </c>
      <c r="Y120" t="e">
        <f t="shared" ref="Y120" si="7">Y119/POWER(Y115, 2)</f>
        <v>#DIV/0!</v>
      </c>
      <c r="Z120" t="e">
        <f t="shared" ref="Z120" si="8">Z119/POWER(Z115, 2)</f>
        <v>#DIV/0!</v>
      </c>
      <c r="AA120" t="e">
        <f t="shared" ref="AA120" si="9">AA119/POWER(AA115, 2)</f>
        <v>#DIV/0!</v>
      </c>
      <c r="AB120" t="e">
        <f t="shared" ref="AB120" si="10">AB119/POWER(AB115, 2)</f>
        <v>#DIV/0!</v>
      </c>
      <c r="AC120" t="e">
        <f t="shared" ref="AC120" si="11">AC119/POWER(AC115, 2)</f>
        <v>#DIV/0!</v>
      </c>
      <c r="AD120" t="e">
        <f t="shared" ref="AD120" si="12">AD119/POWER(AD115, 2)</f>
        <v>#DIV/0!</v>
      </c>
      <c r="AE120" t="e">
        <f t="shared" ref="AE120" si="13">AE119/POWER(AE115, 2)</f>
        <v>#DIV/0!</v>
      </c>
      <c r="AF120" t="e">
        <f t="shared" ref="AF120" si="14">AF119/POWER(AF115, 2)</f>
        <v>#DIV/0!</v>
      </c>
    </row>
    <row r="121" spans="1:32" x14ac:dyDescent="0.25">
      <c r="A121" s="81"/>
      <c r="B121" t="s">
        <v>53</v>
      </c>
      <c r="C121" t="s">
        <v>54</v>
      </c>
      <c r="D121" s="27">
        <f>D115*D116/(D120*D107)</f>
        <v>0.16793733309126052</v>
      </c>
      <c r="E121" t="s">
        <v>982</v>
      </c>
      <c r="F121" s="27">
        <f>F115*F116/(F120*F107)</f>
        <v>0.16793733309126052</v>
      </c>
    </row>
    <row r="122" spans="1:32" x14ac:dyDescent="0.25">
      <c r="A122" s="81"/>
      <c r="C122" t="s">
        <v>58</v>
      </c>
      <c r="D122" s="27" t="b">
        <f>D121&gt;D106</f>
        <v>0</v>
      </c>
      <c r="F122" s="27" t="b">
        <f>F121&gt;F106</f>
        <v>0</v>
      </c>
    </row>
    <row r="123" spans="1:32" x14ac:dyDescent="0.25">
      <c r="A123" s="81"/>
      <c r="B123" t="s">
        <v>1017</v>
      </c>
      <c r="C123" t="s">
        <v>1018</v>
      </c>
      <c r="D123" s="27">
        <f>D116/D102</f>
        <v>271.186440677966</v>
      </c>
      <c r="F123" s="27">
        <f>F116/F102</f>
        <v>9.0395480225988685</v>
      </c>
    </row>
    <row r="124" spans="1:32" x14ac:dyDescent="0.25">
      <c r="A124" s="81"/>
      <c r="B124" t="s">
        <v>1020</v>
      </c>
      <c r="C124" t="s">
        <v>1021</v>
      </c>
      <c r="D124" s="27">
        <f>D99/(2*D104)</f>
        <v>158.73015873015873</v>
      </c>
      <c r="F124" s="27">
        <f>F99/(2*F104)</f>
        <v>4.5351473922902494</v>
      </c>
    </row>
    <row r="125" spans="1:32" x14ac:dyDescent="0.25">
      <c r="A125" s="81"/>
      <c r="B125" t="s">
        <v>1019</v>
      </c>
      <c r="C125" t="s">
        <v>1022</v>
      </c>
      <c r="D125" s="27">
        <f>D99/(2*D103)</f>
        <v>197.74011299435026</v>
      </c>
      <c r="F125" s="27">
        <f>F99/(2*F103)</f>
        <v>5.6497175141242932</v>
      </c>
    </row>
    <row r="126" spans="1:32" x14ac:dyDescent="0.25">
      <c r="A126" s="81"/>
      <c r="B126" t="s">
        <v>1023</v>
      </c>
      <c r="C126" t="s">
        <v>1024</v>
      </c>
      <c r="D126" s="27">
        <f>D123</f>
        <v>271.186440677966</v>
      </c>
      <c r="F126" s="27">
        <f>F123</f>
        <v>9.0395480225988685</v>
      </c>
    </row>
    <row r="127" spans="1:32" x14ac:dyDescent="0.25">
      <c r="A127" s="81"/>
      <c r="B127" t="s">
        <v>1033</v>
      </c>
      <c r="C127" t="s">
        <v>561</v>
      </c>
      <c r="D127" s="27">
        <f>1/D126</f>
        <v>3.6875000000000011E-3</v>
      </c>
      <c r="F127" s="27">
        <f>1/F126</f>
        <v>0.11062500000000001</v>
      </c>
    </row>
    <row r="128" spans="1:32" x14ac:dyDescent="0.25">
      <c r="A128" s="81"/>
      <c r="C128" t="s">
        <v>1027</v>
      </c>
      <c r="D128" s="27" t="b">
        <f>D126&gt;=D123</f>
        <v>1</v>
      </c>
      <c r="F128" s="27" t="b">
        <f>F126&gt;=F123</f>
        <v>1</v>
      </c>
    </row>
    <row r="129" spans="1:6" x14ac:dyDescent="0.25">
      <c r="A129" s="81"/>
      <c r="C129" t="s">
        <v>1030</v>
      </c>
      <c r="D129" s="27">
        <f>(D105/D103)/D123</f>
        <v>0.72916666666666685</v>
      </c>
      <c r="F129" s="27">
        <f>(F105/F103)/F123</f>
        <v>1.25</v>
      </c>
    </row>
    <row r="130" spans="1:6" x14ac:dyDescent="0.25">
      <c r="A130" s="81"/>
      <c r="C130" t="s">
        <v>1031</v>
      </c>
      <c r="D130" s="27">
        <f>(D105/D104)/D123</f>
        <v>0.58531746031746057</v>
      </c>
      <c r="F130" s="27">
        <f>(F105/F104)/F123</f>
        <v>1.0034013605442178</v>
      </c>
    </row>
    <row r="131" spans="1:6" x14ac:dyDescent="0.25">
      <c r="A131" s="81"/>
      <c r="C131" t="s">
        <v>1032</v>
      </c>
      <c r="D131" t="b">
        <f>OR(D129&lt;1, D130&lt;1)</f>
        <v>1</v>
      </c>
      <c r="F131" t="b">
        <f>OR(F129&lt;1, F130&lt;1)</f>
        <v>0</v>
      </c>
    </row>
    <row r="132" spans="1:6" x14ac:dyDescent="0.25">
      <c r="A132" s="81"/>
      <c r="D132" s="27" t="str">
        <f>IF(D131, "Demagnetisation may not complete with 0.5 duty cycle", "Demagnetisation should complete for 0.5 duty cycle")</f>
        <v>Demagnetisation may not complete with 0.5 duty cycle</v>
      </c>
      <c r="F132" s="27" t="str">
        <f>IF(F131, "Demagnetisation may not complete with 0.5 duty cycle", "Demagnetisation should complete for 0.5 duty cycle")</f>
        <v>Demagnetisation should complete for 0.5 duty cycle</v>
      </c>
    </row>
    <row r="133" spans="1:6" x14ac:dyDescent="0.25">
      <c r="A133" s="81"/>
      <c r="D133" s="27"/>
      <c r="F133" s="27"/>
    </row>
    <row r="134" spans="1:6" x14ac:dyDescent="0.25">
      <c r="A134" s="81"/>
      <c r="C134" t="s">
        <v>63</v>
      </c>
      <c r="D134" s="27" t="b">
        <f>D102&lt;=D23</f>
        <v>1</v>
      </c>
      <c r="F134" s="27" t="b">
        <f>F102&lt;=F23</f>
        <v>0</v>
      </c>
    </row>
    <row r="135" spans="1:6" x14ac:dyDescent="0.25">
      <c r="A135" s="81"/>
      <c r="B135" s="56" t="s">
        <v>986</v>
      </c>
      <c r="C135" s="56" t="s">
        <v>990</v>
      </c>
      <c r="D135" s="57">
        <f>2*D100/(POWER(D102, 2)*D109*D101)</f>
        <v>3.9999999999999996</v>
      </c>
      <c r="E135" s="56" t="s">
        <v>153</v>
      </c>
      <c r="F135" s="57">
        <f>2*F100/(POWER(F102, 2)*F109*F101)</f>
        <v>4.4444444444444444E-3</v>
      </c>
    </row>
    <row r="136" spans="1:6" x14ac:dyDescent="0.25">
      <c r="A136" s="81"/>
      <c r="B136" s="68" t="s">
        <v>987</v>
      </c>
      <c r="C136" s="68" t="s">
        <v>988</v>
      </c>
      <c r="D136" s="69">
        <f>D115*POWER(D126,2)</f>
        <v>3.5999999999999988</v>
      </c>
      <c r="E136" s="68"/>
      <c r="F136" s="69">
        <f>F115*POWER(F126,2)</f>
        <v>4.0000000000000001E-3</v>
      </c>
    </row>
    <row r="137" spans="1:6" x14ac:dyDescent="0.25">
      <c r="A137" s="81"/>
      <c r="B137" s="68" t="s">
        <v>790</v>
      </c>
      <c r="C137" s="68" t="s">
        <v>989</v>
      </c>
      <c r="D137" s="70">
        <f>D136</f>
        <v>3.5999999999999988</v>
      </c>
      <c r="E137" s="68" t="s">
        <v>153</v>
      </c>
      <c r="F137" s="70">
        <f>F136</f>
        <v>4.0000000000000001E-3</v>
      </c>
    </row>
    <row r="138" spans="1:6" x14ac:dyDescent="0.25">
      <c r="A138" s="81"/>
      <c r="B138" t="s">
        <v>167</v>
      </c>
      <c r="C138" t="s">
        <v>168</v>
      </c>
      <c r="D138" s="27">
        <f xml:space="preserve"> D126*D120</f>
        <v>2551.9723380300088</v>
      </c>
      <c r="F138" s="27">
        <f xml:space="preserve"> F126*F120</f>
        <v>85.065744601000318</v>
      </c>
    </row>
    <row r="139" spans="1:6" x14ac:dyDescent="0.25">
      <c r="A139" s="48"/>
      <c r="D139" s="27"/>
    </row>
    <row r="140" spans="1:6" x14ac:dyDescent="0.25">
      <c r="A140" s="81" t="s">
        <v>1012</v>
      </c>
      <c r="B140" s="7" t="s">
        <v>1006</v>
      </c>
      <c r="C140" t="s">
        <v>4</v>
      </c>
      <c r="D140">
        <v>1.2</v>
      </c>
    </row>
    <row r="141" spans="1:6" x14ac:dyDescent="0.25">
      <c r="A141" s="81"/>
      <c r="B141" s="7" t="s">
        <v>991</v>
      </c>
      <c r="C141" s="7" t="s">
        <v>17</v>
      </c>
      <c r="D141" s="7">
        <f>D39</f>
        <v>8.2051282051282051E-2</v>
      </c>
      <c r="E141" t="s">
        <v>21</v>
      </c>
    </row>
    <row r="142" spans="1:6" x14ac:dyDescent="0.25">
      <c r="A142" s="81"/>
      <c r="B142" s="7" t="s">
        <v>992</v>
      </c>
      <c r="C142" s="7" t="s">
        <v>72</v>
      </c>
      <c r="D142" s="7">
        <v>200</v>
      </c>
      <c r="E142" t="s">
        <v>22</v>
      </c>
    </row>
    <row r="143" spans="1:6" x14ac:dyDescent="0.25">
      <c r="A143" s="81"/>
      <c r="B143" s="7" t="s">
        <v>47</v>
      </c>
      <c r="C143" s="7" t="s">
        <v>46</v>
      </c>
      <c r="D143" s="7">
        <f>D3</f>
        <v>16000</v>
      </c>
      <c r="E143" t="s">
        <v>68</v>
      </c>
    </row>
    <row r="144" spans="1:6" x14ac:dyDescent="0.25">
      <c r="A144" s="81"/>
      <c r="B144" t="s">
        <v>984</v>
      </c>
      <c r="C144" t="s">
        <v>985</v>
      </c>
      <c r="D144">
        <f>8/D140</f>
        <v>6.666666666666667</v>
      </c>
      <c r="E144" t="s">
        <v>20</v>
      </c>
    </row>
    <row r="145" spans="1:5" x14ac:dyDescent="0.25">
      <c r="A145" s="81"/>
      <c r="B145" t="s">
        <v>38</v>
      </c>
      <c r="C145" t="s">
        <v>42</v>
      </c>
      <c r="D145">
        <f>D7</f>
        <v>44.1</v>
      </c>
      <c r="E145" t="s">
        <v>21</v>
      </c>
    </row>
    <row r="146" spans="1:5" x14ac:dyDescent="0.25">
      <c r="A146" s="81"/>
      <c r="B146" s="7" t="s">
        <v>1013</v>
      </c>
      <c r="C146" s="7" t="s">
        <v>1014</v>
      </c>
      <c r="D146" s="9">
        <f>600/(D140*2)</f>
        <v>250</v>
      </c>
      <c r="E146" s="7" t="s">
        <v>21</v>
      </c>
    </row>
    <row r="147" spans="1:5" x14ac:dyDescent="0.25">
      <c r="A147" s="81"/>
      <c r="B147" t="s">
        <v>56</v>
      </c>
      <c r="C147" s="7" t="s">
        <v>57</v>
      </c>
      <c r="D147" s="50">
        <v>0.38</v>
      </c>
      <c r="E147" t="s">
        <v>982</v>
      </c>
    </row>
    <row r="148" spans="1:5" x14ac:dyDescent="0.25">
      <c r="A148" s="81"/>
      <c r="B148" t="s">
        <v>55</v>
      </c>
      <c r="D148" s="50">
        <v>6.9999999999999999E-4</v>
      </c>
      <c r="E148" t="s">
        <v>206</v>
      </c>
    </row>
    <row r="149" spans="1:5" x14ac:dyDescent="0.25">
      <c r="A149" s="81"/>
      <c r="B149" t="s">
        <v>49</v>
      </c>
      <c r="C149" t="s">
        <v>50</v>
      </c>
      <c r="D149" s="50">
        <f>(1000000000)*Q120</f>
        <v>552.77777777777771</v>
      </c>
      <c r="E149" t="s">
        <v>983</v>
      </c>
    </row>
    <row r="150" spans="1:5" x14ac:dyDescent="0.25">
      <c r="A150" s="81"/>
      <c r="C150" t="s">
        <v>36</v>
      </c>
      <c r="D150" s="50">
        <v>0.9</v>
      </c>
    </row>
    <row r="151" spans="1:5" x14ac:dyDescent="0.25">
      <c r="A151" s="81"/>
      <c r="B151" t="s">
        <v>136</v>
      </c>
      <c r="C151" s="55" t="s">
        <v>1015</v>
      </c>
      <c r="D151" s="50">
        <v>0.5</v>
      </c>
    </row>
    <row r="152" spans="1:5" x14ac:dyDescent="0.25">
      <c r="A152" s="81"/>
      <c r="B152" t="s">
        <v>557</v>
      </c>
      <c r="C152" s="55" t="s">
        <v>558</v>
      </c>
      <c r="D152" s="49">
        <f>D142/D143</f>
        <v>1.2500000000000001E-2</v>
      </c>
      <c r="E152" t="s">
        <v>25</v>
      </c>
    </row>
    <row r="153" spans="1:5" x14ac:dyDescent="0.25">
      <c r="A153" s="81"/>
      <c r="B153" t="s">
        <v>44</v>
      </c>
      <c r="C153" t="s">
        <v>45</v>
      </c>
      <c r="D153" s="49">
        <f>POWER(D145, 2)*POWER(D151/D143, 2)/(2*D152)</f>
        <v>7.5969140624999998E-5</v>
      </c>
      <c r="E153" t="s">
        <v>153</v>
      </c>
    </row>
    <row r="154" spans="1:5" x14ac:dyDescent="0.25">
      <c r="A154" s="81"/>
      <c r="B154" t="s">
        <v>40</v>
      </c>
      <c r="C154" s="55" t="s">
        <v>35</v>
      </c>
      <c r="D154" s="27">
        <f>POWER(2*D152/D153, 0.5)</f>
        <v>18.140589569160998</v>
      </c>
      <c r="E154" t="s">
        <v>20</v>
      </c>
    </row>
    <row r="155" spans="1:5" x14ac:dyDescent="0.25">
      <c r="A155" s="81"/>
      <c r="B155" t="s">
        <v>62</v>
      </c>
      <c r="D155">
        <f>D154/D159</f>
        <v>6.666666666666667</v>
      </c>
    </row>
    <row r="156" spans="1:5" x14ac:dyDescent="0.25">
      <c r="A156" s="81"/>
      <c r="B156" t="s">
        <v>51</v>
      </c>
      <c r="C156" t="s">
        <v>52</v>
      </c>
      <c r="D156" s="27">
        <f>POWER(D153*(1000000000)/D149, 0.5)</f>
        <v>11.723122927825354</v>
      </c>
    </row>
    <row r="157" spans="1:5" x14ac:dyDescent="0.25">
      <c r="A157" s="81"/>
      <c r="B157" t="s">
        <v>53</v>
      </c>
      <c r="C157" t="s">
        <v>54</v>
      </c>
      <c r="D157" s="27">
        <f>(D34 * D151) / (D156 * D148 * D143)</f>
        <v>3.8081027911850467E-2</v>
      </c>
      <c r="E157" t="s">
        <v>982</v>
      </c>
    </row>
    <row r="158" spans="1:5" x14ac:dyDescent="0.25">
      <c r="A158" s="81"/>
      <c r="C158" t="s">
        <v>58</v>
      </c>
      <c r="D158" s="27" t="b">
        <f>D157&gt;D147</f>
        <v>0</v>
      </c>
    </row>
    <row r="159" spans="1:5" x14ac:dyDescent="0.25">
      <c r="A159" s="81"/>
      <c r="B159" t="s">
        <v>559</v>
      </c>
      <c r="C159" t="s">
        <v>562</v>
      </c>
      <c r="D159" s="27">
        <f>D154/D144</f>
        <v>2.7210884353741496</v>
      </c>
    </row>
    <row r="160" spans="1:5" x14ac:dyDescent="0.25">
      <c r="A160" s="81"/>
      <c r="B160" t="s">
        <v>560</v>
      </c>
      <c r="C160" t="s">
        <v>561</v>
      </c>
      <c r="D160" s="27">
        <f>1/D159</f>
        <v>0.36749999999999999</v>
      </c>
    </row>
    <row r="161" spans="1:5" x14ac:dyDescent="0.25">
      <c r="A161" s="81"/>
    </row>
    <row r="162" spans="1:5" x14ac:dyDescent="0.25">
      <c r="A162" s="81"/>
      <c r="C162" t="s">
        <v>63</v>
      </c>
      <c r="D162" s="27" t="b">
        <f>D144&lt;=D144</f>
        <v>1</v>
      </c>
    </row>
    <row r="163" spans="1:5" x14ac:dyDescent="0.25">
      <c r="A163" s="81"/>
      <c r="B163" s="56" t="s">
        <v>986</v>
      </c>
      <c r="C163" s="56" t="s">
        <v>990</v>
      </c>
      <c r="D163" s="57">
        <f>2*D142/(POWER(D144, 2)*D150*D143)</f>
        <v>6.249999999999999E-4</v>
      </c>
      <c r="E163" s="56" t="s">
        <v>153</v>
      </c>
    </row>
    <row r="164" spans="1:5" x14ac:dyDescent="0.25">
      <c r="A164" s="81"/>
      <c r="B164" t="s">
        <v>987</v>
      </c>
      <c r="C164" t="s">
        <v>988</v>
      </c>
      <c r="D164" s="27">
        <f>D153*POWER(D159,2)</f>
        <v>5.6249999999999996E-4</v>
      </c>
    </row>
    <row r="165" spans="1:5" x14ac:dyDescent="0.25">
      <c r="A165" s="81"/>
      <c r="B165" t="s">
        <v>790</v>
      </c>
      <c r="C165" t="s">
        <v>989</v>
      </c>
      <c r="D165" s="50">
        <f>D164</f>
        <v>5.6249999999999996E-4</v>
      </c>
      <c r="E165" t="s">
        <v>153</v>
      </c>
    </row>
    <row r="166" spans="1:5" x14ac:dyDescent="0.25">
      <c r="A166" s="81"/>
      <c r="B166" t="s">
        <v>167</v>
      </c>
      <c r="C166" t="s">
        <v>168</v>
      </c>
      <c r="D166" s="27">
        <f xml:space="preserve"> D159*D156</f>
        <v>31.899654225375112</v>
      </c>
    </row>
    <row r="167" spans="1:5" x14ac:dyDescent="0.25">
      <c r="A167" s="31"/>
      <c r="D167" s="27"/>
    </row>
    <row r="168" spans="1:5" x14ac:dyDescent="0.25">
      <c r="A168" s="31"/>
      <c r="D168" s="27"/>
    </row>
    <row r="169" spans="1:5" x14ac:dyDescent="0.25">
      <c r="A169" s="81" t="s">
        <v>1003</v>
      </c>
      <c r="B169" t="s">
        <v>62</v>
      </c>
      <c r="D169" s="35">
        <f>D119</f>
        <v>8.3333333333333343E-2</v>
      </c>
    </row>
    <row r="170" spans="1:5" x14ac:dyDescent="0.25">
      <c r="A170" s="81"/>
      <c r="B170" t="s">
        <v>167</v>
      </c>
      <c r="C170" t="s">
        <v>168</v>
      </c>
      <c r="D170" s="27">
        <f>D138</f>
        <v>2551.9723380300088</v>
      </c>
    </row>
    <row r="171" spans="1:5" x14ac:dyDescent="0.25">
      <c r="A171" s="81"/>
      <c r="B171" t="s">
        <v>999</v>
      </c>
      <c r="C171" t="s">
        <v>169</v>
      </c>
      <c r="D171" s="50">
        <v>6</v>
      </c>
    </row>
    <row r="172" spans="1:5" x14ac:dyDescent="0.25">
      <c r="A172" s="81"/>
      <c r="B172" t="s">
        <v>1000</v>
      </c>
      <c r="C172" t="s">
        <v>217</v>
      </c>
      <c r="D172" s="27">
        <f>D170/D171</f>
        <v>425.32872300500145</v>
      </c>
    </row>
    <row r="173" spans="1:5" x14ac:dyDescent="0.25">
      <c r="A173" s="81"/>
      <c r="C173" t="s">
        <v>180</v>
      </c>
      <c r="D173" s="50">
        <v>33</v>
      </c>
      <c r="E173" t="s">
        <v>132</v>
      </c>
    </row>
    <row r="174" spans="1:5" x14ac:dyDescent="0.25">
      <c r="A174" s="81"/>
      <c r="C174" t="s">
        <v>178</v>
      </c>
      <c r="D174" s="50">
        <v>74</v>
      </c>
      <c r="E174" t="s">
        <v>132</v>
      </c>
    </row>
    <row r="175" spans="1:5" x14ac:dyDescent="0.25">
      <c r="A175" s="81"/>
      <c r="C175" t="s">
        <v>177</v>
      </c>
      <c r="D175" s="50">
        <v>4</v>
      </c>
    </row>
    <row r="176" spans="1:5" x14ac:dyDescent="0.25">
      <c r="A176" s="81"/>
      <c r="C176" t="s">
        <v>171</v>
      </c>
      <c r="D176" s="27">
        <f>D174-(D175*2)</f>
        <v>66</v>
      </c>
      <c r="E176" t="s">
        <v>132</v>
      </c>
    </row>
    <row r="177" spans="1:5" x14ac:dyDescent="0.25">
      <c r="A177" s="81"/>
      <c r="C177" t="s">
        <v>172</v>
      </c>
      <c r="D177" s="27">
        <f>D176/D171</f>
        <v>11</v>
      </c>
      <c r="E177" t="s">
        <v>132</v>
      </c>
    </row>
    <row r="178" spans="1:5" x14ac:dyDescent="0.25">
      <c r="A178" s="81"/>
      <c r="C178" t="s">
        <v>173</v>
      </c>
      <c r="D178" s="50">
        <v>0.25</v>
      </c>
      <c r="E178" t="s">
        <v>132</v>
      </c>
    </row>
    <row r="179" spans="1:5" x14ac:dyDescent="0.25">
      <c r="A179" s="81"/>
      <c r="C179" t="s">
        <v>182</v>
      </c>
      <c r="D179" s="27">
        <f>D178/2000</f>
        <v>1.25E-4</v>
      </c>
      <c r="E179" t="s">
        <v>205</v>
      </c>
    </row>
    <row r="180" spans="1:5" x14ac:dyDescent="0.25">
      <c r="A180" s="81"/>
      <c r="C180" t="s">
        <v>174</v>
      </c>
      <c r="D180" s="50">
        <f>0.1</f>
        <v>0.1</v>
      </c>
      <c r="E180" t="s">
        <v>132</v>
      </c>
    </row>
    <row r="181" spans="1:5" x14ac:dyDescent="0.25">
      <c r="A181" s="81"/>
      <c r="C181" t="s">
        <v>175</v>
      </c>
      <c r="D181" s="27">
        <f>D178*(1+D180)</f>
        <v>0.27500000000000002</v>
      </c>
    </row>
    <row r="182" spans="1:5" x14ac:dyDescent="0.25">
      <c r="A182" s="81"/>
      <c r="C182" t="s">
        <v>170</v>
      </c>
      <c r="D182" s="27">
        <f>D170/D171</f>
        <v>425.32872300500145</v>
      </c>
    </row>
    <row r="183" spans="1:5" x14ac:dyDescent="0.25">
      <c r="A183" s="81"/>
      <c r="C183" t="s">
        <v>176</v>
      </c>
      <c r="D183" s="27">
        <f>D177/D181</f>
        <v>40</v>
      </c>
    </row>
    <row r="184" spans="1:5" x14ac:dyDescent="0.25">
      <c r="A184" s="81"/>
      <c r="C184" t="s">
        <v>188</v>
      </c>
      <c r="D184" s="27">
        <f>D182/D183</f>
        <v>10.633218075125036</v>
      </c>
    </row>
    <row r="185" spans="1:5" x14ac:dyDescent="0.25">
      <c r="A185" s="81"/>
      <c r="C185" t="s">
        <v>187</v>
      </c>
      <c r="D185" s="27">
        <f>D184*D178</f>
        <v>2.6583045187812591</v>
      </c>
      <c r="E185" t="s">
        <v>132</v>
      </c>
    </row>
    <row r="186" spans="1:5" x14ac:dyDescent="0.25">
      <c r="A186" s="81"/>
      <c r="C186" t="s">
        <v>179</v>
      </c>
      <c r="D186" s="27">
        <f>(D173/2)+(D185/2)</f>
        <v>17.829152259390629</v>
      </c>
      <c r="E186" t="s">
        <v>132</v>
      </c>
    </row>
    <row r="187" spans="1:5" x14ac:dyDescent="0.25">
      <c r="A187" s="81"/>
      <c r="C187" t="s">
        <v>181</v>
      </c>
      <c r="D187" s="27">
        <f>(D186/1000)*D170*2*PI()</f>
        <v>285.88181109913069</v>
      </c>
      <c r="E187" t="s">
        <v>205</v>
      </c>
    </row>
    <row r="188" spans="1:5" x14ac:dyDescent="0.25">
      <c r="A188" s="81"/>
      <c r="C188" t="s">
        <v>182</v>
      </c>
      <c r="D188" s="27">
        <f>D178/2000</f>
        <v>1.25E-4</v>
      </c>
      <c r="E188" t="s">
        <v>205</v>
      </c>
    </row>
    <row r="189" spans="1:5" x14ac:dyDescent="0.25">
      <c r="A189" s="81"/>
      <c r="C189" t="s">
        <v>183</v>
      </c>
      <c r="D189" s="27">
        <f>PI()*POWER(D188, 2)*D187</f>
        <v>1.4033190586624591E-5</v>
      </c>
    </row>
    <row r="190" spans="1:5" x14ac:dyDescent="0.25">
      <c r="A190" s="81"/>
      <c r="C190" t="s">
        <v>184</v>
      </c>
      <c r="D190" s="50">
        <v>8960</v>
      </c>
      <c r="E190" t="s">
        <v>185</v>
      </c>
    </row>
    <row r="191" spans="1:5" x14ac:dyDescent="0.25">
      <c r="A191" s="81"/>
      <c r="C191" t="s">
        <v>186</v>
      </c>
      <c r="D191" s="27">
        <f>D190*D189</f>
        <v>0.12573738765615633</v>
      </c>
      <c r="E191" t="s">
        <v>639</v>
      </c>
    </row>
    <row r="192" spans="1:5" x14ac:dyDescent="0.25">
      <c r="A192" s="81"/>
      <c r="C192" t="s">
        <v>215</v>
      </c>
      <c r="D192" s="27">
        <f>(D179^2)*PI()</f>
        <v>4.9087385212340514E-8</v>
      </c>
    </row>
    <row r="193" spans="1:6" x14ac:dyDescent="0.25">
      <c r="A193" s="81"/>
      <c r="C193" t="s">
        <v>194</v>
      </c>
      <c r="D193" s="52">
        <v>1.6800000000000002E-8</v>
      </c>
      <c r="E193" t="s">
        <v>993</v>
      </c>
    </row>
    <row r="194" spans="1:6" ht="15.75" x14ac:dyDescent="0.25">
      <c r="A194" s="81"/>
      <c r="C194" t="s">
        <v>193</v>
      </c>
      <c r="D194" s="49">
        <f>D193*D187/D192</f>
        <v>97.84213206080436</v>
      </c>
      <c r="E194" s="58" t="s">
        <v>24</v>
      </c>
    </row>
    <row r="195" spans="1:6" x14ac:dyDescent="0.25">
      <c r="A195" s="81"/>
      <c r="B195" t="s">
        <v>1001</v>
      </c>
      <c r="C195" t="s">
        <v>195</v>
      </c>
      <c r="D195" s="49">
        <f>POWER(D169/POWER(3, 0.5), 2)*D194</f>
        <v>0.22648641680741757</v>
      </c>
      <c r="E195" t="s">
        <v>216</v>
      </c>
    </row>
    <row r="196" spans="1:6" x14ac:dyDescent="0.25">
      <c r="A196" s="31"/>
      <c r="F196" t="s">
        <v>189</v>
      </c>
    </row>
    <row r="197" spans="1:6" x14ac:dyDescent="0.25">
      <c r="A197" s="31"/>
      <c r="F197" t="s">
        <v>190</v>
      </c>
    </row>
    <row r="198" spans="1:6" x14ac:dyDescent="0.25">
      <c r="A198" s="81" t="s">
        <v>1002</v>
      </c>
      <c r="C198" t="s">
        <v>192</v>
      </c>
      <c r="D198" s="50">
        <v>2</v>
      </c>
      <c r="E198" t="s">
        <v>198</v>
      </c>
    </row>
    <row r="199" spans="1:6" x14ac:dyDescent="0.25">
      <c r="A199" s="81"/>
      <c r="C199" t="s">
        <v>191</v>
      </c>
      <c r="D199" s="50">
        <v>21</v>
      </c>
      <c r="E199" t="s">
        <v>132</v>
      </c>
    </row>
    <row r="200" spans="1:6" x14ac:dyDescent="0.25">
      <c r="A200" s="81"/>
      <c r="C200" t="s">
        <v>196</v>
      </c>
      <c r="D200" s="50">
        <v>0.05</v>
      </c>
      <c r="E200" t="s">
        <v>205</v>
      </c>
    </row>
    <row r="201" spans="1:6" x14ac:dyDescent="0.25">
      <c r="A201" s="81"/>
      <c r="B201" t="s">
        <v>997</v>
      </c>
      <c r="C201" t="s">
        <v>996</v>
      </c>
      <c r="D201" s="35">
        <f>D120</f>
        <v>9.4103979964856617</v>
      </c>
    </row>
    <row r="202" spans="1:6" x14ac:dyDescent="0.25">
      <c r="A202" s="81"/>
      <c r="B202" s="7" t="s">
        <v>47</v>
      </c>
      <c r="C202" s="7" t="s">
        <v>46</v>
      </c>
      <c r="D202" s="7">
        <f>D3</f>
        <v>16000</v>
      </c>
      <c r="E202" t="s">
        <v>68</v>
      </c>
    </row>
    <row r="203" spans="1:6" x14ac:dyDescent="0.25">
      <c r="A203" s="81"/>
      <c r="B203" t="s">
        <v>40</v>
      </c>
      <c r="C203" s="55" t="s">
        <v>35</v>
      </c>
      <c r="D203" s="27">
        <f>D116</f>
        <v>22.598870056497169</v>
      </c>
      <c r="E203" t="s">
        <v>20</v>
      </c>
    </row>
    <row r="204" spans="1:6" x14ac:dyDescent="0.25">
      <c r="A204" s="81"/>
      <c r="C204" t="s">
        <v>202</v>
      </c>
      <c r="D204" s="27">
        <f>D198/2000</f>
        <v>1E-3</v>
      </c>
      <c r="E204" t="s">
        <v>205</v>
      </c>
    </row>
    <row r="205" spans="1:6" x14ac:dyDescent="0.25">
      <c r="A205" s="81"/>
      <c r="C205" t="s">
        <v>197</v>
      </c>
      <c r="D205" s="27">
        <f>(D199/1000)*D201*2*PI()</f>
        <v>1.2416727629508495</v>
      </c>
      <c r="E205" t="s">
        <v>205</v>
      </c>
    </row>
    <row r="206" spans="1:6" x14ac:dyDescent="0.25">
      <c r="A206" s="81"/>
      <c r="C206" t="s">
        <v>182</v>
      </c>
      <c r="D206" s="27">
        <f>D198/2000</f>
        <v>1E-3</v>
      </c>
      <c r="E206" t="s">
        <v>205</v>
      </c>
    </row>
    <row r="207" spans="1:6" x14ac:dyDescent="0.25">
      <c r="A207" s="81"/>
      <c r="C207" t="s">
        <v>183</v>
      </c>
      <c r="D207" s="27">
        <f>PI()*POWER(D206, 2)*D205</f>
        <v>3.9008300302489293E-6</v>
      </c>
      <c r="E207" t="s">
        <v>627</v>
      </c>
    </row>
    <row r="208" spans="1:6" x14ac:dyDescent="0.25">
      <c r="A208" s="81"/>
      <c r="C208" t="s">
        <v>199</v>
      </c>
      <c r="D208" s="27">
        <f>POWER(2*D213/(4*PI()*(0.0000001)*2*PI()*D202), 0.5)</f>
        <v>5.157209585242166E-4</v>
      </c>
      <c r="E208" t="s">
        <v>205</v>
      </c>
    </row>
    <row r="209" spans="1:5" x14ac:dyDescent="0.25">
      <c r="A209" s="81"/>
      <c r="C209" t="s">
        <v>200</v>
      </c>
      <c r="D209" s="27">
        <f>1000*D208</f>
        <v>0.51572095852421662</v>
      </c>
      <c r="E209" t="s">
        <v>132</v>
      </c>
    </row>
    <row r="210" spans="1:5" x14ac:dyDescent="0.25">
      <c r="A210" s="81"/>
      <c r="C210" t="s">
        <v>201</v>
      </c>
      <c r="D210" s="27">
        <f>POWER(D204, 2)*PI()</f>
        <v>3.1415926535897929E-6</v>
      </c>
      <c r="E210" t="s">
        <v>206</v>
      </c>
    </row>
    <row r="211" spans="1:5" x14ac:dyDescent="0.25">
      <c r="A211" s="81"/>
      <c r="C211" t="s">
        <v>203</v>
      </c>
      <c r="D211" s="27">
        <f>POWER((D204-D208), 2)*PI()</f>
        <v>7.3678575561831338E-7</v>
      </c>
      <c r="E211" t="s">
        <v>206</v>
      </c>
    </row>
    <row r="212" spans="1:5" x14ac:dyDescent="0.25">
      <c r="A212" s="81"/>
      <c r="C212" t="s">
        <v>204</v>
      </c>
      <c r="D212" s="27">
        <f>D210-D211</f>
        <v>2.4048068979714796E-6</v>
      </c>
      <c r="E212" t="s">
        <v>206</v>
      </c>
    </row>
    <row r="213" spans="1:5" x14ac:dyDescent="0.25">
      <c r="A213" s="81"/>
      <c r="C213" t="s">
        <v>194</v>
      </c>
      <c r="D213" s="49">
        <v>1.6800000000000002E-8</v>
      </c>
      <c r="E213" t="s">
        <v>993</v>
      </c>
    </row>
    <row r="214" spans="1:5" x14ac:dyDescent="0.25">
      <c r="A214" s="81"/>
      <c r="C214" t="s">
        <v>207</v>
      </c>
      <c r="D214" s="49">
        <f>D205+D200</f>
        <v>1.2916727629508495</v>
      </c>
      <c r="E214" t="s">
        <v>205</v>
      </c>
    </row>
    <row r="215" spans="1:5" x14ac:dyDescent="0.25">
      <c r="A215" s="81"/>
      <c r="C215" t="s">
        <v>208</v>
      </c>
      <c r="D215" s="49">
        <f>2*D204*PI()*D205</f>
        <v>7.8016600604978595E-3</v>
      </c>
      <c r="E215" t="s">
        <v>206</v>
      </c>
    </row>
    <row r="216" spans="1:5" x14ac:dyDescent="0.25">
      <c r="A216" s="81"/>
      <c r="C216" t="s">
        <v>209</v>
      </c>
      <c r="D216" s="49">
        <f>D213*D205/D212</f>
        <v>8.6743357377968029E-3</v>
      </c>
      <c r="E216" t="s">
        <v>24</v>
      </c>
    </row>
    <row r="217" spans="1:5" x14ac:dyDescent="0.25">
      <c r="A217" s="81"/>
      <c r="C217" t="s">
        <v>210</v>
      </c>
      <c r="D217" s="49">
        <f>D213*D200/D212</f>
        <v>3.4930039526606611E-4</v>
      </c>
      <c r="E217" t="s">
        <v>24</v>
      </c>
    </row>
    <row r="218" spans="1:5" x14ac:dyDescent="0.25">
      <c r="A218" s="81"/>
      <c r="C218" t="s">
        <v>211</v>
      </c>
      <c r="D218" s="49">
        <f>D216+D217</f>
        <v>9.0236361330628696E-3</v>
      </c>
      <c r="E218" t="s">
        <v>24</v>
      </c>
    </row>
    <row r="219" spans="1:5" x14ac:dyDescent="0.25">
      <c r="A219" s="81"/>
      <c r="C219" t="s">
        <v>998</v>
      </c>
      <c r="D219" s="49">
        <f>POWER(D203/POWER(3, 0.5), 2)*D216</f>
        <v>1.4766869014305042</v>
      </c>
      <c r="E219" t="s">
        <v>22</v>
      </c>
    </row>
    <row r="220" spans="1:5" x14ac:dyDescent="0.25">
      <c r="A220" s="81"/>
      <c r="C220" t="s">
        <v>212</v>
      </c>
      <c r="D220" s="49">
        <f>POWER(D203/POWER(3, 0.5), 2)*D217</f>
        <v>5.9463610119027691E-2</v>
      </c>
      <c r="E220" t="s">
        <v>22</v>
      </c>
    </row>
    <row r="221" spans="1:5" x14ac:dyDescent="0.25">
      <c r="A221" s="81"/>
      <c r="C221" t="s">
        <v>213</v>
      </c>
      <c r="D221" s="49">
        <f>D219+D220</f>
        <v>1.536150511549532</v>
      </c>
      <c r="E221" t="s">
        <v>22</v>
      </c>
    </row>
    <row r="222" spans="1:5" x14ac:dyDescent="0.25">
      <c r="A222" s="81"/>
      <c r="C222" t="s">
        <v>214</v>
      </c>
      <c r="D222" s="53">
        <f>D219/D215</f>
        <v>189.27854969065007</v>
      </c>
      <c r="E222" t="s">
        <v>995</v>
      </c>
    </row>
    <row r="223" spans="1:5" x14ac:dyDescent="0.25">
      <c r="A223" s="31"/>
    </row>
    <row r="224" spans="1:5" x14ac:dyDescent="0.25">
      <c r="A224" s="31"/>
    </row>
    <row r="225" spans="1:14" x14ac:dyDescent="0.25">
      <c r="A225" s="31"/>
    </row>
    <row r="226" spans="1:14" x14ac:dyDescent="0.25">
      <c r="A226" s="48"/>
      <c r="B226" t="s">
        <v>790</v>
      </c>
      <c r="C226" t="s">
        <v>994</v>
      </c>
      <c r="D226" s="50">
        <f>D137</f>
        <v>3.5999999999999988</v>
      </c>
    </row>
    <row r="227" spans="1:14" x14ac:dyDescent="0.25">
      <c r="A227" s="48"/>
      <c r="C227" t="s">
        <v>278</v>
      </c>
      <c r="D227" s="54">
        <v>0.2</v>
      </c>
    </row>
    <row r="228" spans="1:14" x14ac:dyDescent="0.25">
      <c r="A228" s="48"/>
      <c r="C228" t="s">
        <v>789</v>
      </c>
      <c r="D228" s="27">
        <f>D227*D137</f>
        <v>0.71999999999999975</v>
      </c>
    </row>
    <row r="229" spans="1:14" x14ac:dyDescent="0.25">
      <c r="A229" s="48"/>
      <c r="C229" t="s">
        <v>221</v>
      </c>
      <c r="D229">
        <f>D228/POWER(D126, 2)</f>
        <v>9.7903125000000044E-6</v>
      </c>
    </row>
    <row r="230" spans="1:14" x14ac:dyDescent="0.25">
      <c r="A230" s="23"/>
    </row>
    <row r="231" spans="1:14" x14ac:dyDescent="0.25">
      <c r="A231" s="85" t="s">
        <v>516</v>
      </c>
      <c r="B231" s="59" t="s">
        <v>511</v>
      </c>
      <c r="C231" s="59"/>
      <c r="D231" s="59">
        <f>D4</f>
        <v>1.2</v>
      </c>
      <c r="E231" s="59"/>
      <c r="F231" s="59"/>
      <c r="G231" s="59"/>
      <c r="H231" s="59"/>
      <c r="I231" s="59"/>
      <c r="J231" s="59"/>
      <c r="K231" s="59"/>
      <c r="L231" s="59"/>
      <c r="M231" s="59"/>
      <c r="N231" s="59"/>
    </row>
    <row r="232" spans="1:14" x14ac:dyDescent="0.25">
      <c r="A232" s="85"/>
      <c r="B232" s="59" t="s">
        <v>48</v>
      </c>
      <c r="C232" s="59" t="s">
        <v>229</v>
      </c>
      <c r="D232" s="59">
        <f>1/D126</f>
        <v>3.6875000000000011E-3</v>
      </c>
      <c r="E232" s="59"/>
      <c r="F232" s="59"/>
      <c r="G232" s="59"/>
      <c r="H232" s="59"/>
      <c r="I232" s="59"/>
      <c r="J232" s="59"/>
      <c r="K232" s="59"/>
      <c r="L232" s="59"/>
      <c r="M232" s="59"/>
      <c r="N232" s="59"/>
    </row>
    <row r="233" spans="1:14" x14ac:dyDescent="0.25">
      <c r="A233" s="85"/>
      <c r="B233" s="59" t="s">
        <v>47</v>
      </c>
      <c r="C233" s="59"/>
      <c r="D233" s="59">
        <f>D3</f>
        <v>16000</v>
      </c>
      <c r="E233" s="59"/>
      <c r="F233" s="59"/>
      <c r="G233" s="59"/>
      <c r="H233" s="59"/>
      <c r="I233" s="59"/>
      <c r="J233" s="59"/>
      <c r="K233" s="59"/>
      <c r="L233" s="59"/>
      <c r="M233" s="59"/>
      <c r="N233" s="59"/>
    </row>
    <row r="234" spans="1:14" x14ac:dyDescent="0.25">
      <c r="A234" s="85"/>
      <c r="B234" s="59" t="s">
        <v>71</v>
      </c>
      <c r="C234" s="59"/>
      <c r="D234" s="59">
        <f>D105</f>
        <v>7000</v>
      </c>
      <c r="E234" s="59"/>
      <c r="F234" s="59"/>
      <c r="G234" s="59"/>
      <c r="H234" s="59"/>
      <c r="I234" s="59"/>
      <c r="J234" s="59"/>
      <c r="K234" s="59"/>
      <c r="L234" s="59"/>
      <c r="M234" s="59"/>
      <c r="N234" s="59"/>
    </row>
    <row r="235" spans="1:14" x14ac:dyDescent="0.25">
      <c r="A235" s="85"/>
      <c r="B235" s="59" t="s">
        <v>510</v>
      </c>
      <c r="C235" s="59" t="s">
        <v>1004</v>
      </c>
      <c r="D235" s="59">
        <v>2.5</v>
      </c>
      <c r="E235" s="59"/>
      <c r="F235" s="59"/>
      <c r="G235" s="59"/>
      <c r="H235" s="59"/>
      <c r="I235" s="59"/>
      <c r="J235" s="59"/>
      <c r="K235" s="59"/>
      <c r="L235" s="59"/>
      <c r="M235" s="59"/>
      <c r="N235" s="59"/>
    </row>
    <row r="236" spans="1:14" x14ac:dyDescent="0.25">
      <c r="A236" s="85"/>
      <c r="B236" s="59" t="s">
        <v>230</v>
      </c>
      <c r="C236" s="59"/>
      <c r="D236" s="59">
        <f>D116</f>
        <v>22.598870056497169</v>
      </c>
      <c r="E236" s="59"/>
      <c r="F236" s="59"/>
      <c r="G236" s="59"/>
      <c r="H236" s="59"/>
      <c r="I236" s="59"/>
      <c r="J236" s="59"/>
      <c r="K236" s="59"/>
      <c r="L236" s="59"/>
      <c r="M236" s="59"/>
      <c r="N236" s="59"/>
    </row>
    <row r="237" spans="1:14" x14ac:dyDescent="0.25">
      <c r="A237" s="85"/>
      <c r="B237" s="59" t="s">
        <v>231</v>
      </c>
      <c r="C237" s="59"/>
      <c r="D237" s="59">
        <f>D229</f>
        <v>9.7903125000000044E-6</v>
      </c>
      <c r="E237" s="59"/>
      <c r="F237" s="59"/>
      <c r="G237" s="59"/>
      <c r="H237" s="59"/>
      <c r="I237" s="59"/>
      <c r="J237" s="59"/>
      <c r="K237" s="59"/>
      <c r="L237" s="59"/>
      <c r="M237" s="59"/>
      <c r="N237" s="59"/>
    </row>
    <row r="238" spans="1:14" x14ac:dyDescent="0.25">
      <c r="A238" s="85"/>
      <c r="B238" s="59" t="s">
        <v>515</v>
      </c>
      <c r="C238" s="59"/>
      <c r="D238" s="59">
        <f>D234*D232</f>
        <v>25.812500000000007</v>
      </c>
      <c r="E238" s="59"/>
      <c r="F238" s="59"/>
      <c r="G238" s="59"/>
      <c r="H238" s="59"/>
      <c r="I238" s="59"/>
      <c r="J238" s="59"/>
      <c r="K238" s="59"/>
      <c r="L238" s="59"/>
      <c r="M238" s="59"/>
      <c r="N238" s="59"/>
    </row>
    <row r="239" spans="1:14" x14ac:dyDescent="0.25">
      <c r="A239" s="85"/>
      <c r="B239" s="59" t="s">
        <v>228</v>
      </c>
      <c r="C239" s="59"/>
      <c r="D239" s="59">
        <v>10</v>
      </c>
      <c r="E239" s="59"/>
      <c r="F239" s="59"/>
      <c r="G239" s="59"/>
      <c r="H239" s="59"/>
      <c r="I239" s="59"/>
      <c r="J239" s="59"/>
      <c r="K239" s="59"/>
      <c r="L239" s="59"/>
      <c r="M239" s="59"/>
      <c r="N239" s="59"/>
    </row>
    <row r="240" spans="1:14" x14ac:dyDescent="0.25">
      <c r="A240" s="85"/>
      <c r="B240" s="59" t="s">
        <v>218</v>
      </c>
      <c r="C240" s="59" t="s">
        <v>227</v>
      </c>
      <c r="D240" s="59">
        <f>D235*D238</f>
        <v>64.531250000000014</v>
      </c>
      <c r="E240" s="59"/>
      <c r="F240" s="59"/>
      <c r="G240" s="59"/>
      <c r="H240" s="59"/>
      <c r="I240" s="59"/>
      <c r="J240" s="59"/>
      <c r="K240" s="59"/>
      <c r="L240" s="59"/>
      <c r="M240" s="59"/>
      <c r="N240" s="59"/>
    </row>
    <row r="241" spans="1:14" x14ac:dyDescent="0.25">
      <c r="A241" s="85"/>
      <c r="B241" s="59" t="s">
        <v>39</v>
      </c>
      <c r="C241" s="59"/>
      <c r="D241" s="59">
        <f>D110</f>
        <v>0</v>
      </c>
      <c r="E241" s="59"/>
      <c r="F241" s="59"/>
      <c r="G241" s="59"/>
      <c r="H241" s="59"/>
      <c r="I241" s="59"/>
      <c r="J241" s="59"/>
      <c r="K241" s="59"/>
      <c r="L241" s="59"/>
      <c r="M241" s="59"/>
      <c r="N241" s="59"/>
    </row>
    <row r="242" spans="1:14" x14ac:dyDescent="0.25">
      <c r="A242" s="85"/>
      <c r="B242" s="59" t="s">
        <v>283</v>
      </c>
      <c r="C242" s="59"/>
      <c r="D242" s="59">
        <f>0.5*D237*POWER(D236, 2)</f>
        <v>2.5000000000000001E-3</v>
      </c>
      <c r="E242" s="59"/>
      <c r="F242" s="59"/>
      <c r="G242" s="59"/>
      <c r="H242" s="59"/>
      <c r="I242" s="59"/>
      <c r="J242" s="59"/>
      <c r="K242" s="59"/>
      <c r="L242" s="59"/>
      <c r="M242" s="59"/>
      <c r="N242" s="59"/>
    </row>
    <row r="243" spans="1:14" x14ac:dyDescent="0.25">
      <c r="A243" s="85"/>
      <c r="B243" s="59" t="s">
        <v>219</v>
      </c>
      <c r="C243" s="59"/>
      <c r="D243" s="59">
        <f>D236*D237/D240</f>
        <v>3.4285714285714285E-6</v>
      </c>
      <c r="E243" s="59"/>
      <c r="F243" s="59"/>
      <c r="G243" s="59"/>
      <c r="H243" s="59"/>
      <c r="I243" s="59"/>
      <c r="J243" s="59"/>
      <c r="K243" s="59"/>
      <c r="L243" s="59"/>
      <c r="M243" s="59"/>
      <c r="N243" s="59"/>
    </row>
    <row r="244" spans="1:14" x14ac:dyDescent="0.25">
      <c r="A244" s="85"/>
      <c r="B244" s="59" t="s">
        <v>220</v>
      </c>
      <c r="C244" s="59"/>
      <c r="D244" s="59" t="b">
        <f>AND(D243&gt;0, D243&lt;((1-D241)/D233))</f>
        <v>1</v>
      </c>
      <c r="E244" s="59"/>
      <c r="F244" s="59"/>
      <c r="G244" s="59"/>
      <c r="H244" s="59"/>
      <c r="I244" s="59"/>
      <c r="J244" s="59"/>
      <c r="K244" s="59"/>
      <c r="L244" s="59"/>
      <c r="M244" s="59"/>
      <c r="N244" s="59"/>
    </row>
    <row r="245" spans="1:14" x14ac:dyDescent="0.25">
      <c r="A245" s="85"/>
      <c r="B245" s="59" t="s">
        <v>232</v>
      </c>
      <c r="C245" s="59"/>
      <c r="D245" s="59">
        <f>D242*D233</f>
        <v>40</v>
      </c>
      <c r="E245" s="59"/>
      <c r="F245" s="59"/>
      <c r="G245" s="59"/>
      <c r="H245" s="59"/>
      <c r="I245" s="59"/>
      <c r="J245" s="59"/>
      <c r="K245" s="59"/>
      <c r="L245" s="59"/>
      <c r="M245" s="59"/>
      <c r="N245" s="59"/>
    </row>
    <row r="246" spans="1:14" x14ac:dyDescent="0.25">
      <c r="A246" s="85"/>
      <c r="B246" s="59" t="s">
        <v>225</v>
      </c>
      <c r="C246" s="59"/>
      <c r="D246" s="59">
        <f>POWER(D240, 2)/D245</f>
        <v>104.10705566406254</v>
      </c>
      <c r="E246" s="59"/>
      <c r="F246" s="59"/>
      <c r="G246" s="59"/>
      <c r="H246" s="59"/>
      <c r="I246" s="59"/>
      <c r="J246" s="59"/>
      <c r="K246" s="59"/>
      <c r="L246" s="59"/>
      <c r="M246" s="59"/>
      <c r="N246" s="59"/>
    </row>
    <row r="247" spans="1:14" x14ac:dyDescent="0.25">
      <c r="A247" s="85"/>
      <c r="B247" s="59" t="s">
        <v>223</v>
      </c>
      <c r="C247" s="59"/>
      <c r="D247" s="59">
        <v>330</v>
      </c>
      <c r="E247" s="59"/>
      <c r="F247" s="59"/>
      <c r="G247" s="59"/>
      <c r="H247" s="59"/>
      <c r="I247" s="59"/>
      <c r="J247" s="59"/>
      <c r="K247" s="59"/>
      <c r="L247" s="59"/>
      <c r="M247" s="59"/>
      <c r="N247" s="59"/>
    </row>
    <row r="248" spans="1:14" x14ac:dyDescent="0.25">
      <c r="A248" s="85"/>
      <c r="B248" s="59" t="s">
        <v>512</v>
      </c>
      <c r="C248" s="59"/>
      <c r="D248" s="59">
        <f>POWER(D247*D245, 0.5)</f>
        <v>114.89125293076057</v>
      </c>
      <c r="E248" s="59"/>
      <c r="F248" s="59"/>
      <c r="G248" s="59"/>
      <c r="H248" s="59"/>
      <c r="I248" s="59"/>
      <c r="J248" s="59"/>
      <c r="K248" s="59"/>
      <c r="L248" s="59"/>
      <c r="M248" s="59"/>
      <c r="N248" s="59"/>
    </row>
    <row r="249" spans="1:14" x14ac:dyDescent="0.25">
      <c r="A249" s="85"/>
      <c r="B249" s="59" t="s">
        <v>514</v>
      </c>
      <c r="C249" s="59"/>
      <c r="D249" s="59">
        <f>D248/D238</f>
        <v>4.4509928496178421</v>
      </c>
      <c r="E249" s="59"/>
      <c r="F249" s="59"/>
      <c r="G249" s="59"/>
      <c r="H249" s="59"/>
      <c r="I249" s="59"/>
      <c r="J249" s="59"/>
      <c r="K249" s="59"/>
      <c r="L249" s="59"/>
      <c r="M249" s="59"/>
      <c r="N249" s="59"/>
    </row>
    <row r="250" spans="1:14" x14ac:dyDescent="0.25">
      <c r="A250" s="85"/>
      <c r="B250" s="59" t="s">
        <v>233</v>
      </c>
      <c r="C250" s="59" t="s">
        <v>234</v>
      </c>
      <c r="D250" s="59">
        <f>D245*D231</f>
        <v>48</v>
      </c>
      <c r="E250" s="59"/>
      <c r="F250" s="59"/>
      <c r="G250" s="59"/>
      <c r="H250" s="59"/>
      <c r="I250" s="59"/>
      <c r="J250" s="59"/>
      <c r="K250" s="59"/>
      <c r="L250" s="59"/>
      <c r="M250" s="59"/>
      <c r="N250" s="59"/>
    </row>
    <row r="251" spans="1:14" x14ac:dyDescent="0.25">
      <c r="A251" s="85"/>
      <c r="B251" s="59" t="s">
        <v>222</v>
      </c>
      <c r="C251" s="59" t="s">
        <v>235</v>
      </c>
      <c r="D251" s="59">
        <v>0.5</v>
      </c>
      <c r="E251" s="59"/>
      <c r="F251" s="59"/>
      <c r="G251" s="59"/>
      <c r="H251" s="59"/>
      <c r="I251" s="59"/>
      <c r="J251" s="59"/>
      <c r="K251" s="59"/>
      <c r="L251" s="59"/>
      <c r="M251" s="59"/>
      <c r="N251" s="59"/>
    </row>
    <row r="252" spans="1:14" x14ac:dyDescent="0.25">
      <c r="A252" s="85"/>
      <c r="B252" s="59" t="s">
        <v>224</v>
      </c>
      <c r="C252" s="59"/>
      <c r="D252" s="59">
        <f>D248/(D251*D247*D233)</f>
        <v>4.3519413988924462E-5</v>
      </c>
      <c r="E252" s="59"/>
      <c r="F252" s="59"/>
      <c r="G252" s="59"/>
      <c r="H252" s="59"/>
      <c r="I252" s="59"/>
      <c r="J252" s="59"/>
      <c r="K252" s="59"/>
      <c r="L252" s="59"/>
      <c r="M252" s="59"/>
      <c r="N252" s="59"/>
    </row>
    <row r="253" spans="1:14" x14ac:dyDescent="0.25">
      <c r="A253" s="85"/>
      <c r="B253" s="59" t="s">
        <v>276</v>
      </c>
      <c r="C253" s="59" t="s">
        <v>277</v>
      </c>
      <c r="D253" s="60">
        <v>10</v>
      </c>
      <c r="E253" s="59"/>
      <c r="F253" s="59"/>
      <c r="G253" s="59"/>
      <c r="H253" s="59"/>
      <c r="I253" s="59"/>
      <c r="J253" s="59"/>
      <c r="K253" s="59"/>
      <c r="L253" s="59"/>
      <c r="M253" s="59"/>
      <c r="N253" s="59"/>
    </row>
    <row r="254" spans="1:14" x14ac:dyDescent="0.25">
      <c r="A254" s="85"/>
      <c r="B254" s="59" t="s">
        <v>513</v>
      </c>
      <c r="C254" s="59"/>
      <c r="D254" s="60">
        <v>6.0000000000000002E-6</v>
      </c>
      <c r="E254" s="59"/>
      <c r="F254" s="59"/>
      <c r="G254" s="59"/>
      <c r="H254" s="59"/>
      <c r="I254" s="59"/>
      <c r="J254" s="59"/>
      <c r="K254" s="59"/>
      <c r="L254" s="59"/>
      <c r="M254" s="59"/>
      <c r="N254" s="59"/>
    </row>
    <row r="255" spans="1:14" x14ac:dyDescent="0.25">
      <c r="A255" s="85"/>
      <c r="B255" s="59" t="s">
        <v>489</v>
      </c>
      <c r="C255" s="59"/>
      <c r="D255" s="60">
        <v>4.1000000000000003E-3</v>
      </c>
      <c r="E255" s="59"/>
      <c r="F255" s="59"/>
      <c r="G255" s="59"/>
      <c r="H255" s="59"/>
      <c r="I255" s="59"/>
      <c r="J255" s="59"/>
      <c r="K255" s="59"/>
      <c r="L255" s="59"/>
      <c r="M255" s="59"/>
      <c r="N255" s="59"/>
    </row>
    <row r="256" spans="1:14" x14ac:dyDescent="0.25">
      <c r="A256" s="85"/>
      <c r="B256" s="59" t="s">
        <v>226</v>
      </c>
      <c r="C256" s="59"/>
      <c r="D256" s="60">
        <f>D254*D253</f>
        <v>6.0000000000000002E-5</v>
      </c>
      <c r="E256" s="59"/>
      <c r="F256" s="59"/>
      <c r="G256" s="59"/>
      <c r="H256" s="59"/>
      <c r="I256" s="59"/>
      <c r="J256" s="59"/>
      <c r="K256" s="59"/>
      <c r="L256" s="59"/>
      <c r="M256" s="59"/>
      <c r="N256" s="59"/>
    </row>
    <row r="257" spans="1:14" x14ac:dyDescent="0.25">
      <c r="A257" s="85"/>
      <c r="B257" s="59" t="s">
        <v>490</v>
      </c>
      <c r="C257" s="59"/>
      <c r="D257" s="60">
        <f>D255/D253</f>
        <v>4.1000000000000005E-4</v>
      </c>
      <c r="E257" s="59"/>
      <c r="F257" s="59"/>
      <c r="G257" s="59"/>
      <c r="H257" s="59"/>
      <c r="I257" s="59"/>
      <c r="J257" s="59"/>
      <c r="K257" s="59"/>
      <c r="L257" s="59"/>
      <c r="M257" s="59"/>
      <c r="N257" s="59"/>
    </row>
    <row r="258" spans="1:14" x14ac:dyDescent="0.25">
      <c r="A258" s="85"/>
      <c r="B258" s="59" t="s">
        <v>494</v>
      </c>
      <c r="C258" s="59" t="s">
        <v>236</v>
      </c>
      <c r="D258" s="59">
        <f>D248/(D256*(D247*D233))</f>
        <v>0.36266178324103715</v>
      </c>
      <c r="E258" s="59"/>
      <c r="F258" s="59"/>
      <c r="G258" s="59"/>
      <c r="H258" s="59" t="s">
        <v>508</v>
      </c>
      <c r="I258" s="59" t="s">
        <v>497</v>
      </c>
      <c r="J258" s="59" t="s">
        <v>505</v>
      </c>
      <c r="K258" s="59" t="s">
        <v>503</v>
      </c>
      <c r="L258" s="59" t="s">
        <v>504</v>
      </c>
      <c r="M258" s="59" t="s">
        <v>506</v>
      </c>
      <c r="N258" s="59" t="s">
        <v>507</v>
      </c>
    </row>
    <row r="259" spans="1:14" x14ac:dyDescent="0.25">
      <c r="A259" s="85"/>
      <c r="B259" s="59" t="s">
        <v>495</v>
      </c>
      <c r="C259" s="59"/>
      <c r="D259" s="60">
        <f>D236*D257</f>
        <v>9.2655367231638409E-3</v>
      </c>
      <c r="E259" s="59" t="s">
        <v>486</v>
      </c>
      <c r="F259" s="59"/>
      <c r="G259" s="61" t="s">
        <v>496</v>
      </c>
      <c r="H259" s="59">
        <v>27</v>
      </c>
      <c r="I259" s="59">
        <v>2</v>
      </c>
      <c r="J259" s="59">
        <v>1.8</v>
      </c>
      <c r="K259" s="59">
        <f>J259/I259</f>
        <v>0.9</v>
      </c>
      <c r="L259" s="62">
        <v>8.81</v>
      </c>
      <c r="M259" s="62">
        <f>L259*I259</f>
        <v>17.62</v>
      </c>
      <c r="N259" s="59">
        <f>H259*I259</f>
        <v>54</v>
      </c>
    </row>
    <row r="260" spans="1:14" x14ac:dyDescent="0.25">
      <c r="A260" s="85"/>
      <c r="B260" s="59" t="s">
        <v>493</v>
      </c>
      <c r="C260" s="59"/>
      <c r="D260" s="60">
        <f>D259+D258</f>
        <v>0.37192731996420098</v>
      </c>
      <c r="E260" s="59"/>
      <c r="F260" s="59"/>
      <c r="G260" s="59" t="s">
        <v>498</v>
      </c>
      <c r="H260" s="59">
        <v>47</v>
      </c>
      <c r="I260" s="59">
        <v>1</v>
      </c>
      <c r="J260" s="59">
        <v>2.7</v>
      </c>
      <c r="K260" s="59">
        <f t="shared" ref="K260:K265" si="15">J260/I260</f>
        <v>2.7</v>
      </c>
      <c r="L260" s="62">
        <v>13.55</v>
      </c>
      <c r="M260" s="62">
        <f t="shared" ref="M260:M262" si="16">L260*I260</f>
        <v>13.55</v>
      </c>
      <c r="N260" s="59">
        <f t="shared" ref="N260:N265" si="17">H260*I260</f>
        <v>47</v>
      </c>
    </row>
    <row r="261" spans="1:14" ht="15.75" thickBot="1" x14ac:dyDescent="0.3">
      <c r="A261" s="85"/>
      <c r="B261" s="59" t="s">
        <v>491</v>
      </c>
      <c r="C261" s="59"/>
      <c r="D261" s="60">
        <f>POWER(D259, 2)/D257</f>
        <v>0.20939066041048224</v>
      </c>
      <c r="E261" s="59"/>
      <c r="F261" s="59"/>
      <c r="G261" s="59" t="s">
        <v>499</v>
      </c>
      <c r="H261" s="59">
        <v>8</v>
      </c>
      <c r="I261" s="59">
        <v>10</v>
      </c>
      <c r="J261" s="59">
        <v>6</v>
      </c>
      <c r="K261" s="59">
        <f t="shared" si="15"/>
        <v>0.6</v>
      </c>
      <c r="L261" s="63">
        <v>2.95</v>
      </c>
      <c r="M261" s="63">
        <f>L261*I261</f>
        <v>29.5</v>
      </c>
      <c r="N261" s="59">
        <f t="shared" si="17"/>
        <v>80</v>
      </c>
    </row>
    <row r="262" spans="1:14" x14ac:dyDescent="0.25">
      <c r="A262" s="85"/>
      <c r="B262" s="59" t="s">
        <v>492</v>
      </c>
      <c r="C262" s="59"/>
      <c r="D262" s="60">
        <f>D261/D253</f>
        <v>2.0939066041048223E-2</v>
      </c>
      <c r="E262" s="59"/>
      <c r="F262" s="59"/>
      <c r="G262" s="59" t="s">
        <v>500</v>
      </c>
      <c r="H262" s="59">
        <v>12</v>
      </c>
      <c r="I262" s="59">
        <v>4</v>
      </c>
      <c r="J262" s="59">
        <v>1.8</v>
      </c>
      <c r="K262" s="59">
        <f t="shared" si="15"/>
        <v>0.45</v>
      </c>
      <c r="L262" s="62">
        <v>8.82</v>
      </c>
      <c r="M262" s="62">
        <f t="shared" si="16"/>
        <v>35.28</v>
      </c>
      <c r="N262" s="59">
        <f t="shared" si="17"/>
        <v>48</v>
      </c>
    </row>
    <row r="263" spans="1:14" x14ac:dyDescent="0.25">
      <c r="A263" s="85"/>
      <c r="B263" s="59" t="s">
        <v>279</v>
      </c>
      <c r="C263" s="59"/>
      <c r="D263" s="60">
        <f>2*PI()*D233*D256*D258</f>
        <v>2.1875243404182072</v>
      </c>
      <c r="E263" s="59" t="s">
        <v>487</v>
      </c>
      <c r="F263" s="59"/>
      <c r="G263" s="61" t="s">
        <v>501</v>
      </c>
      <c r="H263" s="59">
        <v>6</v>
      </c>
      <c r="I263" s="59">
        <v>10</v>
      </c>
      <c r="J263" s="59">
        <v>4.0999999999999996</v>
      </c>
      <c r="K263" s="59">
        <f t="shared" si="15"/>
        <v>0.41</v>
      </c>
      <c r="L263" s="62"/>
      <c r="M263" s="62">
        <v>25.4</v>
      </c>
      <c r="N263" s="59">
        <f t="shared" si="17"/>
        <v>60</v>
      </c>
    </row>
    <row r="264" spans="1:14" x14ac:dyDescent="0.25">
      <c r="A264" s="85"/>
      <c r="B264" s="59" t="s">
        <v>280</v>
      </c>
      <c r="C264" s="59"/>
      <c r="D264" s="59">
        <f>2*D263</f>
        <v>4.3750486808364144</v>
      </c>
      <c r="E264" s="59" t="s">
        <v>488</v>
      </c>
      <c r="F264" s="59"/>
      <c r="G264" s="59" t="s">
        <v>502</v>
      </c>
      <c r="H264" s="59">
        <v>5.6</v>
      </c>
      <c r="I264" s="59">
        <v>9</v>
      </c>
      <c r="J264" s="59">
        <v>4.2</v>
      </c>
      <c r="K264" s="59">
        <f t="shared" si="15"/>
        <v>0.46666666666666667</v>
      </c>
      <c r="L264" s="62"/>
      <c r="M264" s="62">
        <v>26.7</v>
      </c>
      <c r="N264" s="59">
        <f t="shared" si="17"/>
        <v>50.4</v>
      </c>
    </row>
    <row r="265" spans="1:14" x14ac:dyDescent="0.25">
      <c r="A265" s="85"/>
      <c r="B265" s="59" t="s">
        <v>281</v>
      </c>
      <c r="C265" s="59"/>
      <c r="D265" s="60">
        <f>D264/D253</f>
        <v>0.43750486808364142</v>
      </c>
      <c r="E265" s="59"/>
      <c r="F265" s="59"/>
      <c r="G265" s="59" t="s">
        <v>509</v>
      </c>
      <c r="H265" s="59">
        <v>5</v>
      </c>
      <c r="I265" s="59">
        <v>10</v>
      </c>
      <c r="J265" s="59">
        <v>5.5</v>
      </c>
      <c r="K265" s="59">
        <f t="shared" si="15"/>
        <v>0.55000000000000004</v>
      </c>
      <c r="L265" s="59"/>
      <c r="M265" s="64">
        <v>21</v>
      </c>
      <c r="N265" s="59">
        <f t="shared" si="17"/>
        <v>50</v>
      </c>
    </row>
    <row r="266" spans="1:14" x14ac:dyDescent="0.25">
      <c r="A266" s="85"/>
      <c r="B266" s="59" t="s">
        <v>282</v>
      </c>
      <c r="C266" s="59"/>
      <c r="D266" s="60">
        <f>D236*D4</f>
        <v>27.118644067796602</v>
      </c>
      <c r="E266" s="59"/>
      <c r="F266" s="59"/>
      <c r="G266" s="59"/>
      <c r="H266" s="59"/>
      <c r="I266" s="59"/>
      <c r="J266" s="59"/>
      <c r="K266" s="59"/>
      <c r="L266" s="59"/>
      <c r="M266" s="59"/>
      <c r="N266" s="59"/>
    </row>
    <row r="267" spans="1:14" x14ac:dyDescent="0.25">
      <c r="A267" s="85"/>
      <c r="B267" s="59" t="s">
        <v>283</v>
      </c>
      <c r="C267" s="59"/>
      <c r="D267" s="60">
        <f>D242</f>
        <v>2.5000000000000001E-3</v>
      </c>
      <c r="E267" s="59"/>
      <c r="F267" s="59"/>
      <c r="G267" s="59"/>
      <c r="H267" s="59"/>
      <c r="I267" s="59"/>
      <c r="J267" s="59"/>
      <c r="K267" s="59"/>
      <c r="L267" s="59"/>
      <c r="M267" s="59"/>
      <c r="N267" s="59"/>
    </row>
    <row r="268" spans="1:14" x14ac:dyDescent="0.25">
      <c r="A268" s="85"/>
      <c r="B268" s="59" t="s">
        <v>284</v>
      </c>
      <c r="C268" s="59"/>
      <c r="D268" s="60"/>
      <c r="E268" s="59"/>
      <c r="F268" s="59"/>
      <c r="G268" s="59"/>
      <c r="H268" s="59"/>
      <c r="I268" s="59"/>
      <c r="J268" s="59"/>
      <c r="K268" s="59"/>
      <c r="L268" s="59"/>
      <c r="M268" s="59"/>
      <c r="N268" s="59"/>
    </row>
    <row r="269" spans="1:14" x14ac:dyDescent="0.25">
      <c r="A269" s="85"/>
      <c r="B269" s="59" t="s">
        <v>285</v>
      </c>
      <c r="C269" s="59"/>
      <c r="D269" s="60">
        <f>D242*D233</f>
        <v>40</v>
      </c>
      <c r="E269" s="59"/>
      <c r="F269" s="59"/>
      <c r="G269" s="59"/>
      <c r="H269" s="59"/>
      <c r="I269" s="59"/>
      <c r="J269" s="59"/>
      <c r="K269" s="59"/>
      <c r="L269" s="59"/>
      <c r="M269" s="59"/>
      <c r="N269" s="59"/>
    </row>
    <row r="270" spans="1:14" x14ac:dyDescent="0.25">
      <c r="A270" s="85"/>
      <c r="B270" s="59" t="s">
        <v>237</v>
      </c>
      <c r="C270" s="59"/>
      <c r="D270" s="59">
        <v>2.85</v>
      </c>
      <c r="E270" s="59"/>
      <c r="F270" s="59"/>
      <c r="G270" s="59"/>
      <c r="H270" s="59"/>
      <c r="I270" s="59"/>
      <c r="J270" s="59"/>
      <c r="K270" s="59"/>
      <c r="L270" s="59"/>
      <c r="M270" s="59"/>
      <c r="N270" s="59"/>
    </row>
    <row r="271" spans="1:14" x14ac:dyDescent="0.25">
      <c r="A271" s="85"/>
      <c r="B271" s="59"/>
      <c r="C271" s="59" t="s">
        <v>238</v>
      </c>
      <c r="D271" s="59">
        <v>200</v>
      </c>
      <c r="E271" s="59"/>
      <c r="F271" s="59"/>
      <c r="G271" s="59"/>
      <c r="H271" s="59"/>
      <c r="I271" s="59"/>
      <c r="J271" s="59"/>
      <c r="K271" s="59"/>
      <c r="L271" s="59"/>
      <c r="M271" s="59"/>
      <c r="N271" s="59"/>
    </row>
    <row r="272" spans="1:14" x14ac:dyDescent="0.25">
      <c r="A272" s="85"/>
      <c r="B272" s="59"/>
      <c r="C272" s="59" t="s">
        <v>239</v>
      </c>
      <c r="D272" s="59">
        <f>(D271+D7)/D270</f>
        <v>85.649122807017534</v>
      </c>
      <c r="E272" s="59"/>
      <c r="F272" s="59"/>
      <c r="G272" s="59"/>
      <c r="H272" s="59"/>
      <c r="I272" s="59"/>
      <c r="J272" s="59"/>
      <c r="K272" s="59"/>
      <c r="L272" s="59"/>
      <c r="M272" s="59"/>
      <c r="N272" s="59"/>
    </row>
    <row r="273" spans="1:14" x14ac:dyDescent="0.25">
      <c r="A273" s="85"/>
      <c r="B273" s="59"/>
      <c r="C273" s="59" t="s">
        <v>240</v>
      </c>
      <c r="D273" s="60">
        <v>9.9999999999999995E-7</v>
      </c>
      <c r="E273" s="59"/>
      <c r="F273" s="59"/>
      <c r="G273" s="59"/>
      <c r="H273" s="59"/>
      <c r="I273" s="59"/>
      <c r="J273" s="59"/>
      <c r="K273" s="59"/>
      <c r="L273" s="59"/>
      <c r="M273" s="59"/>
      <c r="N273" s="59"/>
    </row>
    <row r="274" spans="1:14" x14ac:dyDescent="0.25">
      <c r="A274" s="85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</row>
    <row r="275" spans="1:14" x14ac:dyDescent="0.25">
      <c r="A275" s="85"/>
      <c r="B275" s="59" t="s">
        <v>242</v>
      </c>
      <c r="C275" s="59"/>
      <c r="D275" s="59">
        <v>500000</v>
      </c>
      <c r="E275" s="59"/>
      <c r="F275" s="59"/>
      <c r="G275" s="59"/>
      <c r="H275" s="59"/>
      <c r="I275" s="59"/>
      <c r="J275" s="59"/>
      <c r="K275" s="59"/>
      <c r="L275" s="59"/>
      <c r="M275" s="59"/>
      <c r="N275" s="59"/>
    </row>
    <row r="276" spans="1:14" x14ac:dyDescent="0.25">
      <c r="A276" s="85"/>
      <c r="B276" s="59" t="s">
        <v>266</v>
      </c>
      <c r="C276" s="59"/>
      <c r="D276" s="59">
        <f>D275/D272</f>
        <v>5837.7714051618195</v>
      </c>
      <c r="E276" s="59"/>
      <c r="F276" s="59"/>
      <c r="G276" s="59"/>
      <c r="H276" s="59"/>
      <c r="I276" s="59"/>
      <c r="J276" s="59"/>
      <c r="K276" s="59"/>
      <c r="L276" s="59"/>
      <c r="M276" s="59"/>
      <c r="N276" s="59"/>
    </row>
    <row r="277" spans="1:14" x14ac:dyDescent="0.25">
      <c r="A277" s="85"/>
      <c r="B277" s="59" t="s">
        <v>243</v>
      </c>
      <c r="C277" s="59"/>
      <c r="D277" s="59">
        <v>6800</v>
      </c>
      <c r="E277" s="59"/>
      <c r="F277" s="59"/>
      <c r="G277" s="59"/>
      <c r="H277" s="59"/>
      <c r="I277" s="59"/>
      <c r="J277" s="59"/>
      <c r="K277" s="59"/>
      <c r="L277" s="59"/>
      <c r="M277" s="59"/>
      <c r="N277" s="59"/>
    </row>
    <row r="278" spans="1:14" x14ac:dyDescent="0.25">
      <c r="A278" s="85"/>
      <c r="B278" s="59" t="s">
        <v>244</v>
      </c>
      <c r="C278" s="59"/>
      <c r="D278" s="59">
        <f>D275+D277</f>
        <v>506800</v>
      </c>
      <c r="E278" s="59"/>
      <c r="F278" s="59"/>
      <c r="G278" s="59"/>
      <c r="H278" s="59"/>
      <c r="I278" s="59"/>
      <c r="J278" s="59"/>
      <c r="K278" s="59"/>
      <c r="L278" s="59"/>
      <c r="M278" s="59"/>
      <c r="N278" s="59"/>
    </row>
    <row r="279" spans="1:14" x14ac:dyDescent="0.25">
      <c r="A279" s="85"/>
      <c r="B279" s="59" t="s">
        <v>245</v>
      </c>
      <c r="C279" s="59"/>
      <c r="D279" s="59">
        <f>D271/D278</f>
        <v>3.9463299131807419E-4</v>
      </c>
      <c r="E279" s="59" t="s">
        <v>20</v>
      </c>
      <c r="F279" s="59"/>
      <c r="G279" s="59"/>
      <c r="H279" s="59"/>
      <c r="I279" s="59"/>
      <c r="J279" s="59"/>
      <c r="K279" s="59"/>
      <c r="L279" s="59"/>
      <c r="M279" s="59"/>
      <c r="N279" s="59"/>
    </row>
    <row r="280" spans="1:14" x14ac:dyDescent="0.25">
      <c r="A280" s="85"/>
      <c r="B280" s="59" t="s">
        <v>246</v>
      </c>
      <c r="C280" s="59"/>
      <c r="D280" s="59">
        <f>POWER(D279, 2)*D275</f>
        <v>7.7867598918325606E-2</v>
      </c>
      <c r="E280" s="59" t="s">
        <v>22</v>
      </c>
      <c r="F280" s="59"/>
      <c r="G280" s="59"/>
      <c r="H280" s="59"/>
      <c r="I280" s="59"/>
      <c r="J280" s="59"/>
      <c r="K280" s="59"/>
      <c r="L280" s="59"/>
      <c r="M280" s="59"/>
      <c r="N280" s="59"/>
    </row>
    <row r="281" spans="1:14" x14ac:dyDescent="0.25">
      <c r="A281" s="85"/>
      <c r="B281" s="59" t="s">
        <v>247</v>
      </c>
      <c r="C281" s="59"/>
      <c r="D281" s="59">
        <f>POWER(D279, 2)*D277</f>
        <v>1.0589993452892283E-3</v>
      </c>
      <c r="E281" s="59" t="s">
        <v>22</v>
      </c>
      <c r="F281" s="59"/>
      <c r="G281" s="59"/>
      <c r="H281" s="59"/>
      <c r="I281" s="59"/>
      <c r="J281" s="59"/>
      <c r="K281" s="59"/>
      <c r="L281" s="59"/>
      <c r="M281" s="59"/>
      <c r="N281" s="59"/>
    </row>
    <row r="282" spans="1:14" x14ac:dyDescent="0.25">
      <c r="A282" s="85"/>
      <c r="B282" s="59" t="s">
        <v>248</v>
      </c>
      <c r="C282" s="59" t="s">
        <v>241</v>
      </c>
      <c r="D282" s="59">
        <f>D280+D281</f>
        <v>7.8926598263614839E-2</v>
      </c>
      <c r="E282" s="59" t="s">
        <v>22</v>
      </c>
      <c r="F282" s="59"/>
      <c r="G282" s="59"/>
      <c r="H282" s="59"/>
      <c r="I282" s="59"/>
      <c r="J282" s="59"/>
      <c r="K282" s="59"/>
      <c r="L282" s="59"/>
      <c r="M282" s="59"/>
      <c r="N282" s="59"/>
    </row>
    <row r="283" spans="1:14" x14ac:dyDescent="0.25">
      <c r="A283" s="85"/>
      <c r="B283" s="59" t="s">
        <v>249</v>
      </c>
      <c r="C283" s="59"/>
      <c r="D283" s="59">
        <f>D271/100</f>
        <v>2</v>
      </c>
      <c r="E283" s="59"/>
      <c r="F283" s="59"/>
      <c r="G283" s="59"/>
      <c r="H283" s="59"/>
      <c r="I283" s="59"/>
      <c r="J283" s="59"/>
      <c r="K283" s="59"/>
      <c r="L283" s="59"/>
      <c r="M283" s="59"/>
      <c r="N283" s="59"/>
    </row>
    <row r="284" spans="1:14" x14ac:dyDescent="0.25">
      <c r="A284" s="85"/>
      <c r="B284" s="59"/>
      <c r="C284" s="59" t="s">
        <v>250</v>
      </c>
      <c r="D284" s="59">
        <f>POWER(2, 12)</f>
        <v>4096</v>
      </c>
      <c r="E284" s="59"/>
      <c r="F284" s="59"/>
      <c r="G284" s="59"/>
      <c r="H284" s="59"/>
      <c r="I284" s="59"/>
      <c r="J284" s="59"/>
      <c r="K284" s="59"/>
      <c r="L284" s="59"/>
      <c r="M284" s="59"/>
      <c r="N284" s="59"/>
    </row>
    <row r="285" spans="1:14" x14ac:dyDescent="0.25">
      <c r="A285" s="85"/>
      <c r="B285" s="59"/>
      <c r="C285" s="59" t="s">
        <v>251</v>
      </c>
      <c r="D285" s="59">
        <f>3.3/D284</f>
        <v>8.0566406249999996E-4</v>
      </c>
      <c r="E285" s="59"/>
      <c r="F285" s="59"/>
      <c r="G285" s="59"/>
      <c r="H285" s="59"/>
      <c r="I285" s="59"/>
      <c r="J285" s="59"/>
      <c r="K285" s="59"/>
      <c r="L285" s="59"/>
      <c r="M285" s="59"/>
      <c r="N285" s="59"/>
    </row>
    <row r="286" spans="1:14" x14ac:dyDescent="0.25">
      <c r="A286" s="85"/>
      <c r="B286" s="59"/>
      <c r="C286" s="59" t="s">
        <v>252</v>
      </c>
      <c r="D286" s="59">
        <f>D285*D272</f>
        <v>6.9004420230263153E-2</v>
      </c>
      <c r="E286" s="59" t="s">
        <v>21</v>
      </c>
      <c r="F286" s="59"/>
      <c r="G286" s="59"/>
      <c r="H286" s="59"/>
      <c r="I286" s="59"/>
      <c r="J286" s="59"/>
      <c r="K286" s="59"/>
      <c r="L286" s="59"/>
      <c r="M286" s="59"/>
      <c r="N286" s="59"/>
    </row>
    <row r="287" spans="1:14" x14ac:dyDescent="0.25">
      <c r="A287" s="28"/>
    </row>
    <row r="288" spans="1:14" x14ac:dyDescent="0.25">
      <c r="A288" s="82" t="s">
        <v>750</v>
      </c>
    </row>
    <row r="289" spans="1:12" x14ac:dyDescent="0.25">
      <c r="A289" s="82"/>
      <c r="B289" t="s">
        <v>555</v>
      </c>
      <c r="C289" t="s">
        <v>556</v>
      </c>
    </row>
    <row r="290" spans="1:12" x14ac:dyDescent="0.25">
      <c r="A290" s="82"/>
    </row>
    <row r="291" spans="1:12" x14ac:dyDescent="0.25">
      <c r="A291" s="82"/>
      <c r="B291" t="s">
        <v>511</v>
      </c>
      <c r="D291">
        <v>2.5</v>
      </c>
    </row>
    <row r="292" spans="1:12" x14ac:dyDescent="0.25">
      <c r="A292" s="82"/>
      <c r="B292" t="s">
        <v>526</v>
      </c>
      <c r="C292" s="31"/>
      <c r="D292">
        <f>D229</f>
        <v>9.7903125000000044E-6</v>
      </c>
      <c r="E292">
        <f>D292</f>
        <v>9.7903125000000044E-6</v>
      </c>
      <c r="F292">
        <f t="shared" ref="F292:G292" si="18">E292</f>
        <v>9.7903125000000044E-6</v>
      </c>
      <c r="G292">
        <f t="shared" si="18"/>
        <v>9.7903125000000044E-6</v>
      </c>
      <c r="H292">
        <f t="shared" ref="H292:K292" si="19">G292</f>
        <v>9.7903125000000044E-6</v>
      </c>
      <c r="I292">
        <f t="shared" si="19"/>
        <v>9.7903125000000044E-6</v>
      </c>
      <c r="J292">
        <f t="shared" si="19"/>
        <v>9.7903125000000044E-6</v>
      </c>
      <c r="K292">
        <f t="shared" si="19"/>
        <v>9.7903125000000044E-6</v>
      </c>
    </row>
    <row r="293" spans="1:12" x14ac:dyDescent="0.25">
      <c r="A293" s="82"/>
      <c r="B293" t="s">
        <v>540</v>
      </c>
      <c r="C293" s="31"/>
      <c r="D293">
        <f>D115-D229</f>
        <v>3.9161250000000017E-5</v>
      </c>
      <c r="E293">
        <f>D293</f>
        <v>3.9161250000000017E-5</v>
      </c>
      <c r="F293">
        <f t="shared" ref="F293:G293" si="20">E293</f>
        <v>3.9161250000000017E-5</v>
      </c>
      <c r="G293">
        <f t="shared" si="20"/>
        <v>3.9161250000000017E-5</v>
      </c>
      <c r="H293">
        <f t="shared" ref="H293:K293" si="21">G293</f>
        <v>3.9161250000000017E-5</v>
      </c>
      <c r="I293">
        <f t="shared" si="21"/>
        <v>3.9161250000000017E-5</v>
      </c>
      <c r="J293">
        <f t="shared" si="21"/>
        <v>3.9161250000000017E-5</v>
      </c>
      <c r="K293">
        <f t="shared" si="21"/>
        <v>3.9161250000000017E-5</v>
      </c>
    </row>
    <row r="294" spans="1:12" x14ac:dyDescent="0.25">
      <c r="A294" s="82"/>
      <c r="B294" t="s">
        <v>527</v>
      </c>
      <c r="C294" s="31"/>
      <c r="D294">
        <f>D236</f>
        <v>22.598870056497169</v>
      </c>
      <c r="E294">
        <f>D294</f>
        <v>22.598870056497169</v>
      </c>
      <c r="F294">
        <f t="shared" ref="F294:G294" si="22">E294</f>
        <v>22.598870056497169</v>
      </c>
      <c r="G294">
        <f t="shared" si="22"/>
        <v>22.598870056497169</v>
      </c>
      <c r="H294">
        <f t="shared" ref="H294:K294" si="23">G294</f>
        <v>22.598870056497169</v>
      </c>
      <c r="I294">
        <f t="shared" si="23"/>
        <v>22.598870056497169</v>
      </c>
      <c r="J294">
        <f t="shared" si="23"/>
        <v>22.598870056497169</v>
      </c>
      <c r="K294">
        <f t="shared" si="23"/>
        <v>22.598870056497169</v>
      </c>
    </row>
    <row r="295" spans="1:12" x14ac:dyDescent="0.25">
      <c r="A295" s="82"/>
      <c r="B295" t="s">
        <v>308</v>
      </c>
      <c r="C295" t="s">
        <v>541</v>
      </c>
      <c r="D295">
        <f>100</f>
        <v>100</v>
      </c>
      <c r="E295">
        <f>D295</f>
        <v>100</v>
      </c>
      <c r="F295">
        <f t="shared" ref="F295:G300" si="24">E295</f>
        <v>100</v>
      </c>
      <c r="G295">
        <f t="shared" si="24"/>
        <v>100</v>
      </c>
      <c r="H295">
        <f t="shared" ref="H295:K295" si="25">G295</f>
        <v>100</v>
      </c>
      <c r="I295">
        <f t="shared" si="25"/>
        <v>100</v>
      </c>
      <c r="J295">
        <f t="shared" si="25"/>
        <v>100</v>
      </c>
      <c r="K295">
        <f t="shared" si="25"/>
        <v>100</v>
      </c>
    </row>
    <row r="296" spans="1:12" x14ac:dyDescent="0.25">
      <c r="A296" s="82"/>
      <c r="B296" t="s">
        <v>528</v>
      </c>
      <c r="C296" t="s">
        <v>529</v>
      </c>
      <c r="D296">
        <f>D7</f>
        <v>44.1</v>
      </c>
      <c r="E296">
        <f>D296</f>
        <v>44.1</v>
      </c>
      <c r="F296">
        <f t="shared" si="24"/>
        <v>44.1</v>
      </c>
      <c r="G296">
        <f t="shared" si="24"/>
        <v>44.1</v>
      </c>
      <c r="H296">
        <f>D5</f>
        <v>35.400000000000006</v>
      </c>
      <c r="I296">
        <f t="shared" ref="I296:K296" si="26">H296</f>
        <v>35.400000000000006</v>
      </c>
      <c r="J296">
        <f t="shared" si="26"/>
        <v>35.400000000000006</v>
      </c>
      <c r="K296">
        <f t="shared" si="26"/>
        <v>35.400000000000006</v>
      </c>
    </row>
    <row r="297" spans="1:12" x14ac:dyDescent="0.25">
      <c r="A297" s="82"/>
      <c r="B297" t="s">
        <v>530</v>
      </c>
      <c r="C297" t="s">
        <v>531</v>
      </c>
      <c r="D297">
        <f>D234</f>
        <v>7000</v>
      </c>
      <c r="E297">
        <v>1000</v>
      </c>
      <c r="F297">
        <v>1</v>
      </c>
      <c r="G297">
        <v>0</v>
      </c>
      <c r="H297">
        <f>D297</f>
        <v>7000</v>
      </c>
      <c r="I297">
        <f>E297</f>
        <v>1000</v>
      </c>
      <c r="J297">
        <f>F297</f>
        <v>1</v>
      </c>
      <c r="K297">
        <f>G297</f>
        <v>0</v>
      </c>
    </row>
    <row r="298" spans="1:12" x14ac:dyDescent="0.25">
      <c r="A298" s="82"/>
      <c r="B298" t="s">
        <v>532</v>
      </c>
      <c r="C298" s="31"/>
      <c r="D298">
        <f>D232</f>
        <v>3.6875000000000011E-3</v>
      </c>
      <c r="E298">
        <f>D298</f>
        <v>3.6875000000000011E-3</v>
      </c>
      <c r="F298">
        <f t="shared" si="24"/>
        <v>3.6875000000000011E-3</v>
      </c>
      <c r="G298">
        <f t="shared" si="24"/>
        <v>3.6875000000000011E-3</v>
      </c>
      <c r="H298">
        <f t="shared" ref="H298:K298" si="27">G298</f>
        <v>3.6875000000000011E-3</v>
      </c>
      <c r="I298">
        <f t="shared" si="27"/>
        <v>3.6875000000000011E-3</v>
      </c>
      <c r="J298">
        <f t="shared" si="27"/>
        <v>3.6875000000000011E-3</v>
      </c>
      <c r="K298">
        <f t="shared" si="27"/>
        <v>3.6875000000000011E-3</v>
      </c>
    </row>
    <row r="299" spans="1:12" x14ac:dyDescent="0.25">
      <c r="A299" s="82"/>
      <c r="B299" t="s">
        <v>47</v>
      </c>
      <c r="D299">
        <f>D3</f>
        <v>16000</v>
      </c>
      <c r="E299">
        <f>D299</f>
        <v>16000</v>
      </c>
      <c r="F299">
        <f t="shared" si="24"/>
        <v>16000</v>
      </c>
      <c r="G299">
        <f t="shared" si="24"/>
        <v>16000</v>
      </c>
      <c r="H299">
        <f t="shared" ref="H299:K299" si="28">G299</f>
        <v>16000</v>
      </c>
      <c r="I299">
        <f t="shared" si="28"/>
        <v>16000</v>
      </c>
      <c r="J299">
        <f t="shared" si="28"/>
        <v>16000</v>
      </c>
      <c r="K299">
        <f t="shared" si="28"/>
        <v>16000</v>
      </c>
    </row>
    <row r="300" spans="1:12" x14ac:dyDescent="0.25">
      <c r="A300" s="82"/>
      <c r="B300" t="s">
        <v>39</v>
      </c>
      <c r="D300">
        <f>D110</f>
        <v>0</v>
      </c>
      <c r="E300">
        <f>D300</f>
        <v>0</v>
      </c>
      <c r="F300">
        <f t="shared" si="24"/>
        <v>0</v>
      </c>
      <c r="G300">
        <f t="shared" si="24"/>
        <v>0</v>
      </c>
      <c r="H300">
        <f t="shared" ref="H300:K300" si="29">G300</f>
        <v>0</v>
      </c>
      <c r="I300">
        <f t="shared" si="29"/>
        <v>0</v>
      </c>
      <c r="J300">
        <f t="shared" si="29"/>
        <v>0</v>
      </c>
      <c r="K300">
        <f t="shared" si="29"/>
        <v>0</v>
      </c>
    </row>
    <row r="301" spans="1:12" x14ac:dyDescent="0.25">
      <c r="A301" s="82"/>
      <c r="C301" s="31"/>
    </row>
    <row r="302" spans="1:12" x14ac:dyDescent="0.25">
      <c r="A302" s="82"/>
      <c r="B302" t="s">
        <v>537</v>
      </c>
      <c r="C302" s="31" t="s">
        <v>538</v>
      </c>
      <c r="D302">
        <v>40</v>
      </c>
      <c r="E302">
        <v>40</v>
      </c>
      <c r="F302">
        <v>40</v>
      </c>
      <c r="G302">
        <v>40</v>
      </c>
      <c r="H302">
        <f>G302</f>
        <v>40</v>
      </c>
      <c r="I302">
        <f>H302</f>
        <v>40</v>
      </c>
      <c r="J302">
        <f>I302</f>
        <v>40</v>
      </c>
      <c r="K302">
        <f>J302</f>
        <v>40</v>
      </c>
    </row>
    <row r="303" spans="1:12" x14ac:dyDescent="0.25">
      <c r="A303" s="82"/>
      <c r="B303" t="s">
        <v>546</v>
      </c>
      <c r="C303" t="s">
        <v>545</v>
      </c>
      <c r="D303">
        <f>D292*POWER(D294, 2)/(2*POWER(D295-D296-(D297*D298), 2))</f>
        <v>2.7616446905913714E-6</v>
      </c>
    </row>
    <row r="304" spans="1:12" x14ac:dyDescent="0.25">
      <c r="A304" s="82"/>
      <c r="B304" t="s">
        <v>525</v>
      </c>
      <c r="C304" t="s">
        <v>554</v>
      </c>
      <c r="D304" s="1">
        <f>(0.22*0.000001)*6</f>
        <v>1.3199999999999999E-6</v>
      </c>
      <c r="E304" s="1">
        <f>D304</f>
        <v>1.3199999999999999E-6</v>
      </c>
      <c r="F304" s="1">
        <f>E304</f>
        <v>1.3199999999999999E-6</v>
      </c>
      <c r="G304" s="1">
        <f>E304</f>
        <v>1.3199999999999999E-6</v>
      </c>
      <c r="H304" s="1">
        <f t="shared" ref="H304:K304" si="30">F304</f>
        <v>1.3199999999999999E-6</v>
      </c>
      <c r="I304" s="1">
        <f t="shared" si="30"/>
        <v>1.3199999999999999E-6</v>
      </c>
      <c r="J304" s="1">
        <f t="shared" si="30"/>
        <v>1.3199999999999999E-6</v>
      </c>
      <c r="K304" s="1">
        <f t="shared" si="30"/>
        <v>1.3199999999999999E-6</v>
      </c>
      <c r="L304" s="1"/>
    </row>
    <row r="305" spans="1:13" x14ac:dyDescent="0.25">
      <c r="A305" s="82"/>
      <c r="B305" t="s">
        <v>533</v>
      </c>
      <c r="C305" s="31" t="s">
        <v>534</v>
      </c>
      <c r="D305">
        <f>POWER(D300/(PI()*D299), 2)/D304</f>
        <v>0</v>
      </c>
      <c r="E305">
        <f>POWER(E300/(PI()*E299), 2)/E304</f>
        <v>0</v>
      </c>
      <c r="F305">
        <f>POWER(F300/(PI()*F299), 2)/F304</f>
        <v>0</v>
      </c>
      <c r="G305">
        <f>POWER(G300/(PI()*G299), 2)/G304</f>
        <v>0</v>
      </c>
      <c r="H305">
        <f t="shared" ref="H305:K305" si="31">POWER(H300/(PI()*H299), 2)/H304</f>
        <v>0</v>
      </c>
      <c r="I305">
        <f t="shared" si="31"/>
        <v>0</v>
      </c>
      <c r="J305">
        <f t="shared" si="31"/>
        <v>0</v>
      </c>
      <c r="K305">
        <f t="shared" si="31"/>
        <v>0</v>
      </c>
    </row>
    <row r="306" spans="1:13" x14ac:dyDescent="0.25">
      <c r="A306" s="82"/>
      <c r="B306" t="s">
        <v>535</v>
      </c>
      <c r="C306" s="31" t="s">
        <v>536</v>
      </c>
      <c r="D306">
        <f>(POWER(D302, 2)-POWER(POWER(D302, 4) - POWER(PI()*POWER(D296, 2)*D304/(D293+D292), 2), 0.5))/((D304/2)*POWER(PI()*D296/(D293+D292), 2))</f>
        <v>1.6087439934673419E-6</v>
      </c>
      <c r="E306">
        <f>(POWER(E302, 2)-POWER(POWER(E302, 4) - POWER(PI()*POWER(E296, 2)*E304/(E293+E292), 2), 0.5))/((E304/2)*POWER(PI()*E296/(E293+E292), 2))</f>
        <v>1.6087439934673419E-6</v>
      </c>
      <c r="F306">
        <f>(POWER(F302, 2)-POWER(POWER(F302, 4) - POWER(PI()*POWER(F296, 2)*F304/(F293+F292), 2), 0.5))/((F304/2)*POWER(PI()*F296/(F293+F292), 2))</f>
        <v>1.6087439934673419E-6</v>
      </c>
      <c r="G306">
        <f>(POWER(G302, 2)-POWER(POWER(G302, 4) - POWER(PI()*POWER(G296, 2)*G304/(G293+G292), 2), 0.5))/((G304/2)*POWER(PI()*G296/(G293+G292), 2))</f>
        <v>1.6087439934673419E-6</v>
      </c>
      <c r="H306">
        <f t="shared" ref="H306:K306" si="32">(POWER(H302, 2)-POWER(POWER(H302, 4) - POWER(PI()*POWER(H296, 2)*H304/(H293+H292), 2), 0.5))/((H304/2)*POWER(PI()*H296/(H293+H292), 2))</f>
        <v>1.0349973695208608E-6</v>
      </c>
      <c r="I306">
        <f t="shared" si="32"/>
        <v>1.0349973695208608E-6</v>
      </c>
      <c r="J306">
        <f t="shared" si="32"/>
        <v>1.0349973695208608E-6</v>
      </c>
      <c r="K306">
        <f t="shared" si="32"/>
        <v>1.0349973695208608E-6</v>
      </c>
    </row>
    <row r="307" spans="1:13" x14ac:dyDescent="0.25">
      <c r="A307" s="82"/>
      <c r="B307" t="s">
        <v>539</v>
      </c>
      <c r="C307" s="31" t="s">
        <v>544</v>
      </c>
      <c r="D307" s="1">
        <v>1.5E-5</v>
      </c>
      <c r="E307" s="1">
        <f>D307</f>
        <v>1.5E-5</v>
      </c>
      <c r="F307" s="1">
        <f t="shared" ref="F307:K307" si="33">E307</f>
        <v>1.5E-5</v>
      </c>
      <c r="G307" s="1">
        <f t="shared" si="33"/>
        <v>1.5E-5</v>
      </c>
      <c r="H307">
        <f t="shared" si="33"/>
        <v>1.5E-5</v>
      </c>
      <c r="I307">
        <f t="shared" si="33"/>
        <v>1.5E-5</v>
      </c>
      <c r="J307">
        <f t="shared" si="33"/>
        <v>1.5E-5</v>
      </c>
      <c r="K307">
        <f t="shared" si="33"/>
        <v>1.5E-5</v>
      </c>
    </row>
    <row r="308" spans="1:13" x14ac:dyDescent="0.25">
      <c r="A308" s="82"/>
      <c r="B308" t="s">
        <v>542</v>
      </c>
      <c r="C308" s="31" t="s">
        <v>543</v>
      </c>
      <c r="D308" t="b">
        <f>AND(D307&gt;D306, D307&lt;D305)</f>
        <v>0</v>
      </c>
      <c r="E308" t="b">
        <f>AND(E307&gt;E306, E307&lt;E305)</f>
        <v>0</v>
      </c>
      <c r="F308" t="b">
        <f>AND(F307&gt;F306, F307&lt;F305)</f>
        <v>0</v>
      </c>
      <c r="G308" t="b">
        <f>AND(G307&gt;G306, G307&lt;G305)</f>
        <v>0</v>
      </c>
      <c r="H308" t="b">
        <f t="shared" ref="H308:K308" si="34">AND(H307&gt;H306, H307&lt;H305)</f>
        <v>0</v>
      </c>
      <c r="I308" t="b">
        <f t="shared" si="34"/>
        <v>0</v>
      </c>
      <c r="J308" t="b">
        <f t="shared" si="34"/>
        <v>0</v>
      </c>
      <c r="K308" t="b">
        <f t="shared" si="34"/>
        <v>0</v>
      </c>
    </row>
    <row r="309" spans="1:13" x14ac:dyDescent="0.25">
      <c r="A309" s="82"/>
      <c r="B309" t="s">
        <v>565</v>
      </c>
      <c r="D309">
        <v>8.4999999999999995E-4</v>
      </c>
    </row>
    <row r="310" spans="1:13" x14ac:dyDescent="0.25">
      <c r="A310" s="82"/>
      <c r="B310" t="s">
        <v>283</v>
      </c>
      <c r="D310">
        <f>POWER(D294, 2)*D292/2</f>
        <v>2.5000000000000001E-3</v>
      </c>
    </row>
    <row r="311" spans="1:13" x14ac:dyDescent="0.25">
      <c r="A311" s="82"/>
      <c r="B311" t="s">
        <v>564</v>
      </c>
      <c r="C311" s="31" t="s">
        <v>566</v>
      </c>
      <c r="D311">
        <f>POWER(D294/SQRT(3), 2)*D309</f>
        <v>0.14470086288529257</v>
      </c>
    </row>
    <row r="312" spans="1:13" x14ac:dyDescent="0.25">
      <c r="A312" s="82"/>
      <c r="B312" t="s">
        <v>571</v>
      </c>
      <c r="D312">
        <f>D292*D307/(D292+D307)</f>
        <v>5.9238739931172727E-6</v>
      </c>
      <c r="G312" t="s">
        <v>508</v>
      </c>
      <c r="H312" t="s">
        <v>497</v>
      </c>
      <c r="I312" t="s">
        <v>505</v>
      </c>
      <c r="J312" t="s">
        <v>503</v>
      </c>
      <c r="K312" t="s">
        <v>504</v>
      </c>
      <c r="L312" t="s">
        <v>506</v>
      </c>
      <c r="M312" t="s">
        <v>507</v>
      </c>
    </row>
    <row r="313" spans="1:13" x14ac:dyDescent="0.25">
      <c r="A313" s="82"/>
      <c r="B313" s="32" t="s">
        <v>570</v>
      </c>
      <c r="D313" s="1">
        <f>1/POWER(D312*D304, 0.5)</f>
        <v>357610.39006916573</v>
      </c>
      <c r="F313" s="4" t="s">
        <v>567</v>
      </c>
      <c r="G313">
        <v>2.2000000000000001E-3</v>
      </c>
      <c r="H313">
        <v>6</v>
      </c>
      <c r="I313">
        <v>5.0999999999999996</v>
      </c>
      <c r="J313">
        <f>I313/H313</f>
        <v>0.85</v>
      </c>
      <c r="K313" s="30">
        <v>2.27</v>
      </c>
      <c r="L313" s="30">
        <f>K313*H313</f>
        <v>13.620000000000001</v>
      </c>
      <c r="M313">
        <f>G313*H313</f>
        <v>1.32E-2</v>
      </c>
    </row>
    <row r="314" spans="1:13" x14ac:dyDescent="0.25">
      <c r="A314" s="82"/>
      <c r="B314" t="s">
        <v>573</v>
      </c>
      <c r="D314">
        <f>POWER(2*D310/D312, 0.5)</f>
        <v>29.052405428187488</v>
      </c>
    </row>
    <row r="315" spans="1:13" x14ac:dyDescent="0.25">
      <c r="A315" s="82"/>
      <c r="B315" t="s">
        <v>574</v>
      </c>
      <c r="D315">
        <f>D314</f>
        <v>29.052405428187488</v>
      </c>
    </row>
    <row r="316" spans="1:13" x14ac:dyDescent="0.25">
      <c r="A316" s="82"/>
      <c r="B316" t="s">
        <v>572</v>
      </c>
      <c r="D316" s="1">
        <f>SQRT(D310*2/D304)</f>
        <v>61.545745489666373</v>
      </c>
    </row>
    <row r="317" spans="1:13" x14ac:dyDescent="0.25">
      <c r="A317" s="82"/>
      <c r="B317" t="s">
        <v>575</v>
      </c>
      <c r="D317" s="1">
        <f>D316+D7</f>
        <v>105.64574548966638</v>
      </c>
    </row>
    <row r="318" spans="1:13" x14ac:dyDescent="0.25">
      <c r="A318" s="82"/>
      <c r="B318" t="s">
        <v>576</v>
      </c>
      <c r="D318" s="1">
        <f>D316</f>
        <v>61.545745489666373</v>
      </c>
    </row>
    <row r="319" spans="1:13" x14ac:dyDescent="0.25">
      <c r="A319" s="82"/>
      <c r="B319" t="s">
        <v>579</v>
      </c>
      <c r="D319">
        <f>D291*D315</f>
        <v>72.631013570468724</v>
      </c>
    </row>
    <row r="320" spans="1:13" x14ac:dyDescent="0.25">
      <c r="A320" s="82"/>
      <c r="B320" t="s">
        <v>577</v>
      </c>
      <c r="D320">
        <f>D291*D315</f>
        <v>72.631013570468724</v>
      </c>
    </row>
    <row r="321" spans="1:5" x14ac:dyDescent="0.25">
      <c r="A321" s="82"/>
      <c r="B321" t="s">
        <v>577</v>
      </c>
      <c r="D321">
        <f>D291*D315</f>
        <v>72.631013570468724</v>
      </c>
    </row>
    <row r="322" spans="1:5" x14ac:dyDescent="0.25">
      <c r="A322" s="82"/>
      <c r="B322" t="s">
        <v>581</v>
      </c>
      <c r="D322" s="1">
        <f>D291*D317</f>
        <v>264.11436372416597</v>
      </c>
    </row>
    <row r="323" spans="1:5" x14ac:dyDescent="0.25">
      <c r="A323" s="82"/>
      <c r="B323" t="s">
        <v>580</v>
      </c>
      <c r="D323" s="1">
        <f>D291*D318</f>
        <v>153.86436372416594</v>
      </c>
    </row>
    <row r="324" spans="1:5" x14ac:dyDescent="0.25">
      <c r="A324" s="82"/>
      <c r="B324" t="s">
        <v>578</v>
      </c>
      <c r="D324" s="1">
        <f>D291*D316</f>
        <v>153.86436372416594</v>
      </c>
    </row>
    <row r="325" spans="1:5" x14ac:dyDescent="0.25">
      <c r="A325" s="82"/>
      <c r="B325" t="s">
        <v>602</v>
      </c>
      <c r="D325" s="1">
        <v>0.86</v>
      </c>
    </row>
    <row r="326" spans="1:5" x14ac:dyDescent="0.25">
      <c r="A326" s="82"/>
      <c r="B326" t="s">
        <v>603</v>
      </c>
      <c r="D326" s="1">
        <f>0.86</f>
        <v>0.86</v>
      </c>
    </row>
    <row r="327" spans="1:5" x14ac:dyDescent="0.25">
      <c r="A327" s="82"/>
      <c r="B327" t="s">
        <v>600</v>
      </c>
      <c r="C327" t="s">
        <v>604</v>
      </c>
      <c r="D327" s="1">
        <f>D310*16000/4</f>
        <v>10</v>
      </c>
    </row>
    <row r="328" spans="1:5" x14ac:dyDescent="0.25">
      <c r="A328" s="82"/>
      <c r="B328" t="s">
        <v>601</v>
      </c>
      <c r="C328" t="s">
        <v>604</v>
      </c>
      <c r="D328" s="1">
        <f>D327</f>
        <v>10</v>
      </c>
    </row>
    <row r="329" spans="1:5" x14ac:dyDescent="0.25">
      <c r="A329" s="82"/>
      <c r="B329" t="s">
        <v>582</v>
      </c>
      <c r="C329" t="s">
        <v>583</v>
      </c>
      <c r="D329">
        <v>0.5</v>
      </c>
      <c r="E329" t="s">
        <v>744</v>
      </c>
    </row>
    <row r="330" spans="1:5" x14ac:dyDescent="0.25">
      <c r="A330" s="82"/>
      <c r="B330" s="38" t="s">
        <v>584</v>
      </c>
      <c r="C330" s="38" t="s">
        <v>585</v>
      </c>
      <c r="D330" s="38">
        <f>D310*2/POWER(D329, 2)</f>
        <v>0.02</v>
      </c>
    </row>
    <row r="331" spans="1:5" x14ac:dyDescent="0.25">
      <c r="A331" s="82"/>
      <c r="C331" s="31"/>
    </row>
    <row r="332" spans="1:5" x14ac:dyDescent="0.25">
      <c r="A332" s="82"/>
      <c r="C332" s="31"/>
    </row>
    <row r="333" spans="1:5" x14ac:dyDescent="0.25">
      <c r="A333" s="82"/>
      <c r="C333" s="31"/>
    </row>
    <row r="334" spans="1:5" x14ac:dyDescent="0.25">
      <c r="A334" s="82"/>
      <c r="C334" s="31"/>
    </row>
    <row r="335" spans="1:5" x14ac:dyDescent="0.25">
      <c r="A335" s="82"/>
      <c r="C335" s="31"/>
    </row>
    <row r="336" spans="1:5" x14ac:dyDescent="0.25">
      <c r="A336" s="82"/>
      <c r="C336" s="31"/>
    </row>
    <row r="337" spans="1:4" x14ac:dyDescent="0.25">
      <c r="A337" s="82"/>
      <c r="C337" s="31"/>
    </row>
    <row r="338" spans="1:4" x14ac:dyDescent="0.25">
      <c r="A338" s="82"/>
      <c r="C338" s="31"/>
    </row>
    <row r="339" spans="1:4" x14ac:dyDescent="0.25">
      <c r="A339" s="82"/>
    </row>
    <row r="340" spans="1:4" x14ac:dyDescent="0.25">
      <c r="A340" s="33"/>
    </row>
    <row r="341" spans="1:4" x14ac:dyDescent="0.25">
      <c r="A341" s="82" t="s">
        <v>587</v>
      </c>
      <c r="C341" t="s">
        <v>253</v>
      </c>
      <c r="D341">
        <f>D283/D278</f>
        <v>3.9463299131807418E-6</v>
      </c>
    </row>
    <row r="342" spans="1:4" x14ac:dyDescent="0.25">
      <c r="A342" s="82"/>
      <c r="C342" t="s">
        <v>254</v>
      </c>
      <c r="D342">
        <f>(D283-(D275*D273))*(D277/(D277+D275))</f>
        <v>2.0126282557221785E-2</v>
      </c>
    </row>
    <row r="343" spans="1:4" x14ac:dyDescent="0.25">
      <c r="A343" s="82"/>
      <c r="C343" t="s">
        <v>255</v>
      </c>
      <c r="D343">
        <f>D283/D272</f>
        <v>2.3351085620647277E-2</v>
      </c>
    </row>
    <row r="344" spans="1:4" x14ac:dyDescent="0.25">
      <c r="A344" s="82"/>
      <c r="C344" t="s">
        <v>256</v>
      </c>
      <c r="D344">
        <f>ABS(D343-D342)/D343</f>
        <v>0.13810077680388819</v>
      </c>
    </row>
    <row r="345" spans="1:4" x14ac:dyDescent="0.25">
      <c r="A345" s="82"/>
      <c r="C345" t="s">
        <v>257</v>
      </c>
      <c r="D345">
        <f>(D5-(D275*D273))*(D277/(D277+D275))</f>
        <v>0.46827150749802693</v>
      </c>
    </row>
    <row r="346" spans="1:4" x14ac:dyDescent="0.25">
      <c r="A346" s="82"/>
      <c r="C346" t="s">
        <v>258</v>
      </c>
      <c r="D346">
        <f>D5/D272</f>
        <v>0.41331421548545688</v>
      </c>
    </row>
    <row r="347" spans="1:4" x14ac:dyDescent="0.25">
      <c r="A347" s="82"/>
      <c r="C347" t="s">
        <v>259</v>
      </c>
      <c r="D347">
        <f>ABS(D346-D345)/D346</f>
        <v>0.13296734047247841</v>
      </c>
    </row>
    <row r="348" spans="1:4" x14ac:dyDescent="0.25">
      <c r="A348" s="82"/>
      <c r="C348" t="s">
        <v>260</v>
      </c>
      <c r="D348">
        <f>(D346-D345)/D286</f>
        <v>-0.79643147249380875</v>
      </c>
    </row>
    <row r="349" spans="1:4" x14ac:dyDescent="0.25">
      <c r="A349" s="82"/>
      <c r="B349" t="s">
        <v>261</v>
      </c>
      <c r="C349" t="s">
        <v>262</v>
      </c>
    </row>
    <row r="350" spans="1:4" x14ac:dyDescent="0.25">
      <c r="A350" s="82"/>
      <c r="B350" t="s">
        <v>263</v>
      </c>
      <c r="D350">
        <f>(D275*D277)/(D275+D277)</f>
        <v>6708.7608524072612</v>
      </c>
    </row>
    <row r="351" spans="1:4" x14ac:dyDescent="0.25">
      <c r="A351" s="82"/>
      <c r="C351" t="s">
        <v>264</v>
      </c>
      <c r="D351">
        <f>0.00000000001</f>
        <v>9.9999999999999994E-12</v>
      </c>
    </row>
    <row r="352" spans="1:4" x14ac:dyDescent="0.25">
      <c r="A352" s="82"/>
    </row>
    <row r="353" spans="1:4" x14ac:dyDescent="0.25">
      <c r="A353" s="82"/>
      <c r="B353" t="s">
        <v>265</v>
      </c>
      <c r="D353">
        <f>3.15/(0.000001)</f>
        <v>3150000</v>
      </c>
    </row>
    <row r="354" spans="1:4" x14ac:dyDescent="0.25">
      <c r="A354" s="82"/>
      <c r="B354" t="s">
        <v>328</v>
      </c>
      <c r="D354">
        <f>D351/((1/D350)+(1/D353))</f>
        <v>6.6945031316023044E-8</v>
      </c>
    </row>
    <row r="355" spans="1:4" x14ac:dyDescent="0.25">
      <c r="A355" s="82"/>
      <c r="B355" t="s">
        <v>273</v>
      </c>
      <c r="D355">
        <f>D270/0.012</f>
        <v>237.5</v>
      </c>
    </row>
    <row r="356" spans="1:4" x14ac:dyDescent="0.25">
      <c r="A356" s="82"/>
      <c r="B356" t="s">
        <v>272</v>
      </c>
      <c r="D356" s="24">
        <v>1000</v>
      </c>
    </row>
    <row r="357" spans="1:4" x14ac:dyDescent="0.25">
      <c r="A357" s="82"/>
    </row>
    <row r="358" spans="1:4" x14ac:dyDescent="0.25">
      <c r="A358" s="82"/>
      <c r="B358" t="s">
        <v>270</v>
      </c>
      <c r="D358">
        <f>D2/D5</f>
        <v>5.6497175141242932</v>
      </c>
    </row>
    <row r="359" spans="1:4" x14ac:dyDescent="0.25">
      <c r="A359" s="82"/>
      <c r="B359" t="s">
        <v>269</v>
      </c>
      <c r="C359" t="s">
        <v>268</v>
      </c>
      <c r="D359">
        <v>0.05</v>
      </c>
    </row>
    <row r="360" spans="1:4" x14ac:dyDescent="0.25">
      <c r="A360" s="82"/>
      <c r="C360" t="s">
        <v>267</v>
      </c>
      <c r="D360">
        <f>D358/(D3*D359)</f>
        <v>7.0621468926553663E-3</v>
      </c>
    </row>
    <row r="361" spans="1:4" x14ac:dyDescent="0.25">
      <c r="A361" s="82"/>
      <c r="C361" t="s">
        <v>271</v>
      </c>
      <c r="D361">
        <f>POWER(D7, 2)*D360/2</f>
        <v>6.8672669491525422</v>
      </c>
    </row>
    <row r="362" spans="1:4" x14ac:dyDescent="0.25">
      <c r="A362" s="82"/>
    </row>
    <row r="363" spans="1:4" x14ac:dyDescent="0.25">
      <c r="A363" s="47"/>
    </row>
    <row r="364" spans="1:4" x14ac:dyDescent="0.25">
      <c r="A364" s="81" t="s">
        <v>586</v>
      </c>
      <c r="B364" t="s">
        <v>591</v>
      </c>
      <c r="D364" s="1">
        <f>MAX(D427, 200)</f>
        <v>200</v>
      </c>
    </row>
    <row r="365" spans="1:4" x14ac:dyDescent="0.25">
      <c r="A365" s="81"/>
      <c r="B365" t="s">
        <v>588</v>
      </c>
      <c r="D365">
        <v>500000</v>
      </c>
    </row>
    <row r="366" spans="1:4" x14ac:dyDescent="0.25">
      <c r="A366" s="81"/>
      <c r="B366" t="s">
        <v>589</v>
      </c>
      <c r="D366">
        <v>6800</v>
      </c>
    </row>
    <row r="367" spans="1:4" x14ac:dyDescent="0.25">
      <c r="A367" s="81"/>
      <c r="B367" t="s">
        <v>590</v>
      </c>
      <c r="D367">
        <f>D365+D366</f>
        <v>506800</v>
      </c>
    </row>
    <row r="368" spans="1:4" x14ac:dyDescent="0.25">
      <c r="A368" s="81"/>
      <c r="B368" t="s">
        <v>594</v>
      </c>
      <c r="D368" s="1">
        <f>D364/D367</f>
        <v>3.9463299131807419E-4</v>
      </c>
    </row>
    <row r="369" spans="1:5" x14ac:dyDescent="0.25">
      <c r="A369" s="81"/>
      <c r="B369" t="s">
        <v>592</v>
      </c>
      <c r="D369" s="1">
        <f>POWER(D368, 2)*D365</f>
        <v>7.7867598918325606E-2</v>
      </c>
    </row>
    <row r="370" spans="1:5" x14ac:dyDescent="0.25">
      <c r="A370" s="81"/>
      <c r="B370" t="s">
        <v>593</v>
      </c>
      <c r="D370" s="1">
        <f>POWER(D368, 2)*D366</f>
        <v>1.0589993452892283E-3</v>
      </c>
    </row>
    <row r="371" spans="1:5" x14ac:dyDescent="0.25">
      <c r="A371" s="81"/>
      <c r="B371" t="s">
        <v>595</v>
      </c>
      <c r="D371" s="1">
        <f>D369+D370</f>
        <v>7.8926598263614839E-2</v>
      </c>
    </row>
    <row r="372" spans="1:5" x14ac:dyDescent="0.25">
      <c r="A372" s="81"/>
      <c r="C372" t="s">
        <v>596</v>
      </c>
      <c r="D372">
        <v>2.7</v>
      </c>
    </row>
    <row r="373" spans="1:5" x14ac:dyDescent="0.25">
      <c r="A373" s="81"/>
      <c r="C373" t="s">
        <v>597</v>
      </c>
      <c r="D373" s="1">
        <f>D364/D372</f>
        <v>74.074074074074076</v>
      </c>
    </row>
    <row r="374" spans="1:5" x14ac:dyDescent="0.25">
      <c r="A374" s="81"/>
      <c r="C374" t="s">
        <v>598</v>
      </c>
      <c r="D374" s="1">
        <f>D367/D366</f>
        <v>74.529411764705884</v>
      </c>
    </row>
    <row r="375" spans="1:5" x14ac:dyDescent="0.25">
      <c r="A375" s="81"/>
      <c r="C375" t="s">
        <v>599</v>
      </c>
      <c r="D375" s="1" t="b">
        <f>MAX(D373, D374)/MIN(D373,D374)&lt;1.04</f>
        <v>1</v>
      </c>
    </row>
    <row r="376" spans="1:5" x14ac:dyDescent="0.25">
      <c r="A376" s="81"/>
    </row>
    <row r="377" spans="1:5" x14ac:dyDescent="0.25">
      <c r="A377" s="48"/>
    </row>
    <row r="378" spans="1:5" x14ac:dyDescent="0.25">
      <c r="A378" s="81" t="s">
        <v>563</v>
      </c>
      <c r="C378" t="s">
        <v>274</v>
      </c>
    </row>
    <row r="379" spans="1:5" x14ac:dyDescent="0.25">
      <c r="A379" s="81"/>
      <c r="B379" t="s">
        <v>38</v>
      </c>
      <c r="D379">
        <f>D7</f>
        <v>44.1</v>
      </c>
      <c r="E379" t="s">
        <v>21</v>
      </c>
    </row>
    <row r="380" spans="1:5" x14ac:dyDescent="0.25">
      <c r="A380" s="81"/>
      <c r="B380" t="s">
        <v>37</v>
      </c>
      <c r="D380">
        <f>D5</f>
        <v>35.400000000000006</v>
      </c>
      <c r="E380" t="s">
        <v>21</v>
      </c>
    </row>
    <row r="381" spans="1:5" x14ac:dyDescent="0.25">
      <c r="A381" s="81"/>
      <c r="B381" t="s">
        <v>1036</v>
      </c>
      <c r="D381" s="50">
        <v>2000</v>
      </c>
      <c r="E381" s="8" t="s">
        <v>24</v>
      </c>
    </row>
    <row r="382" spans="1:5" x14ac:dyDescent="0.25">
      <c r="A382" s="81"/>
      <c r="C382" t="s">
        <v>1035</v>
      </c>
      <c r="D382" s="27">
        <f>D379/D384</f>
        <v>16.333333333333332</v>
      </c>
    </row>
    <row r="383" spans="1:5" x14ac:dyDescent="0.25">
      <c r="A383" s="81"/>
      <c r="B383" t="s">
        <v>1037</v>
      </c>
      <c r="D383" s="27">
        <f>D382*D381</f>
        <v>32666.666666666664</v>
      </c>
      <c r="E383" s="8" t="s">
        <v>24</v>
      </c>
    </row>
    <row r="384" spans="1:5" x14ac:dyDescent="0.25">
      <c r="A384" s="81"/>
      <c r="C384" t="s">
        <v>275</v>
      </c>
      <c r="D384" s="50">
        <v>2.7</v>
      </c>
      <c r="E384" t="s">
        <v>21</v>
      </c>
    </row>
    <row r="385" spans="1:5" x14ac:dyDescent="0.25">
      <c r="A385" s="81"/>
      <c r="B385" t="s">
        <v>1038</v>
      </c>
      <c r="D385" s="50">
        <v>33000</v>
      </c>
      <c r="E385" s="8" t="s">
        <v>24</v>
      </c>
    </row>
    <row r="386" spans="1:5" x14ac:dyDescent="0.25">
      <c r="A386" s="81"/>
      <c r="C386" t="s">
        <v>1047</v>
      </c>
      <c r="D386" s="50">
        <v>1</v>
      </c>
      <c r="E386" s="8" t="s">
        <v>161</v>
      </c>
    </row>
    <row r="387" spans="1:5" x14ac:dyDescent="0.25">
      <c r="A387" s="81"/>
      <c r="B387" t="s">
        <v>519</v>
      </c>
      <c r="D387" s="27">
        <f>D379/(D381+D385)</f>
        <v>1.2600000000000001E-3</v>
      </c>
      <c r="E387" t="s">
        <v>20</v>
      </c>
    </row>
    <row r="388" spans="1:5" x14ac:dyDescent="0.25">
      <c r="A388" s="81"/>
      <c r="B388" t="s">
        <v>1045</v>
      </c>
      <c r="D388" s="27">
        <f>POWER(D387, 2)*D385</f>
        <v>5.2390800000000001E-2</v>
      </c>
      <c r="E388" t="s">
        <v>22</v>
      </c>
    </row>
    <row r="389" spans="1:5" x14ac:dyDescent="0.25">
      <c r="A389" s="81"/>
      <c r="B389" t="s">
        <v>1046</v>
      </c>
      <c r="D389" s="27">
        <f>POWER(D387, 2)*D381</f>
        <v>3.1752E-3</v>
      </c>
      <c r="E389" t="s">
        <v>22</v>
      </c>
    </row>
    <row r="390" spans="1:5" x14ac:dyDescent="0.25">
      <c r="A390" s="81"/>
      <c r="B390" t="s">
        <v>156</v>
      </c>
      <c r="D390" s="27">
        <f>D388+D389</f>
        <v>5.5566000000000004E-2</v>
      </c>
      <c r="E390" t="s">
        <v>22</v>
      </c>
    </row>
    <row r="391" spans="1:5" x14ac:dyDescent="0.25">
      <c r="A391" s="81"/>
      <c r="B391" t="s">
        <v>323</v>
      </c>
      <c r="D391" s="52">
        <v>4.6999999999999999E-6</v>
      </c>
      <c r="E391" s="8" t="s">
        <v>24</v>
      </c>
    </row>
    <row r="392" spans="1:5" x14ac:dyDescent="0.25">
      <c r="A392" s="81"/>
      <c r="B392" t="s">
        <v>1039</v>
      </c>
      <c r="D392" s="27">
        <f>(D381*D385)/(D381+D385)</f>
        <v>1885.7142857142858</v>
      </c>
      <c r="E392" s="8" t="s">
        <v>24</v>
      </c>
    </row>
    <row r="393" spans="1:5" x14ac:dyDescent="0.25">
      <c r="A393" s="81"/>
      <c r="B393" t="s">
        <v>1058</v>
      </c>
      <c r="C393" t="s">
        <v>1059</v>
      </c>
      <c r="D393" s="49">
        <f>D391*D392</f>
        <v>8.8628571428571428E-3</v>
      </c>
      <c r="E393" s="8" t="s">
        <v>322</v>
      </c>
    </row>
    <row r="394" spans="1:5" x14ac:dyDescent="0.25">
      <c r="A394" s="81"/>
      <c r="B394" t="s">
        <v>1060</v>
      </c>
      <c r="D394" s="49">
        <f>D393*LN(100)</f>
        <v>4.0814965476957316E-2</v>
      </c>
      <c r="E394" s="8" t="s">
        <v>322</v>
      </c>
    </row>
    <row r="395" spans="1:5" x14ac:dyDescent="0.25">
      <c r="A395" s="81"/>
      <c r="B395" t="s">
        <v>1034</v>
      </c>
      <c r="D395" s="52">
        <v>3.9999999999999998E-6</v>
      </c>
      <c r="E395" s="8" t="s">
        <v>20</v>
      </c>
    </row>
    <row r="396" spans="1:5" x14ac:dyDescent="0.25">
      <c r="A396" s="81"/>
      <c r="C396" t="s">
        <v>1040</v>
      </c>
      <c r="D396" s="27">
        <f>(D379-(D385*D395))/(1+(D385/D381))</f>
        <v>2.5124571428571429</v>
      </c>
      <c r="E396" s="8" t="s">
        <v>21</v>
      </c>
    </row>
    <row r="397" spans="1:5" x14ac:dyDescent="0.25">
      <c r="A397" s="81"/>
      <c r="C397" t="s">
        <v>1041</v>
      </c>
      <c r="D397" s="27">
        <f>D379/(1+(D385/D381))</f>
        <v>2.52</v>
      </c>
      <c r="E397" s="8" t="s">
        <v>21</v>
      </c>
    </row>
    <row r="398" spans="1:5" x14ac:dyDescent="0.25">
      <c r="A398" s="81"/>
      <c r="C398" t="s">
        <v>1043</v>
      </c>
      <c r="D398" s="27">
        <f>D397-D396</f>
        <v>7.5428571428570734E-3</v>
      </c>
      <c r="E398" s="8" t="s">
        <v>21</v>
      </c>
    </row>
    <row r="399" spans="1:5" x14ac:dyDescent="0.25">
      <c r="A399" s="81"/>
      <c r="C399" t="s">
        <v>1042</v>
      </c>
      <c r="D399" s="27">
        <f>(D380-(D385*D395))/(1+(D385/D381))</f>
        <v>2.0153142857142861</v>
      </c>
      <c r="E399" s="8" t="s">
        <v>21</v>
      </c>
    </row>
    <row r="400" spans="1:5" x14ac:dyDescent="0.25">
      <c r="A400" s="81"/>
      <c r="B400" t="s">
        <v>1063</v>
      </c>
      <c r="C400" t="s">
        <v>1062</v>
      </c>
      <c r="D400" s="27">
        <f>D380/(1+(D385/D381))</f>
        <v>2.0228571428571431</v>
      </c>
      <c r="E400" s="8" t="s">
        <v>21</v>
      </c>
    </row>
    <row r="401" spans="1:5" x14ac:dyDescent="0.25">
      <c r="A401" s="81"/>
      <c r="B401" t="s">
        <v>1063</v>
      </c>
      <c r="C401" t="s">
        <v>1064</v>
      </c>
      <c r="D401" s="27">
        <f>D400-D399</f>
        <v>7.5428571428570734E-3</v>
      </c>
      <c r="E401" s="8" t="s">
        <v>21</v>
      </c>
    </row>
    <row r="402" spans="1:5" x14ac:dyDescent="0.25">
      <c r="A402" s="81"/>
      <c r="C402" t="s">
        <v>1044</v>
      </c>
      <c r="D402" s="27">
        <f>100*D401/D400</f>
        <v>0.3728813559321999</v>
      </c>
      <c r="E402" s="8" t="s">
        <v>161</v>
      </c>
    </row>
    <row r="403" spans="1:5" x14ac:dyDescent="0.25">
      <c r="A403" s="81"/>
      <c r="C403" t="s">
        <v>1048</v>
      </c>
      <c r="D403" s="27">
        <f>(D402/100)*D380</f>
        <v>0.13199999999999878</v>
      </c>
      <c r="E403" s="8" t="s">
        <v>21</v>
      </c>
    </row>
    <row r="404" spans="1:5" x14ac:dyDescent="0.25">
      <c r="A404" s="81"/>
      <c r="C404" t="s">
        <v>1061</v>
      </c>
      <c r="D404">
        <f>D386/100</f>
        <v>0.01</v>
      </c>
      <c r="E404" s="8"/>
    </row>
    <row r="405" spans="1:5" x14ac:dyDescent="0.25">
      <c r="A405" s="81"/>
      <c r="C405" t="s">
        <v>1050</v>
      </c>
      <c r="D405">
        <f>D385/(D381)</f>
        <v>16.5</v>
      </c>
      <c r="E405" s="8"/>
    </row>
    <row r="406" spans="1:5" x14ac:dyDescent="0.25">
      <c r="A406" s="81"/>
      <c r="C406" t="s">
        <v>1049</v>
      </c>
      <c r="D406">
        <f>D385*(1+D404)/(D381*(1-D404))</f>
        <v>16.833333333333332</v>
      </c>
      <c r="E406" s="8"/>
    </row>
    <row r="407" spans="1:5" x14ac:dyDescent="0.25">
      <c r="A407" s="81"/>
      <c r="C407" t="s">
        <v>1051</v>
      </c>
      <c r="D407">
        <f>D385*(1-D404)/(D381*(1+D404))</f>
        <v>16.173267326732674</v>
      </c>
      <c r="E407" s="8"/>
    </row>
    <row r="408" spans="1:5" x14ac:dyDescent="0.25">
      <c r="A408" s="81"/>
      <c r="C408" t="s">
        <v>1052</v>
      </c>
      <c r="D408">
        <f>(D406-D405)/D405</f>
        <v>2.0202020202020131E-2</v>
      </c>
      <c r="E408" s="8"/>
    </row>
    <row r="409" spans="1:5" x14ac:dyDescent="0.25">
      <c r="A409" s="81"/>
      <c r="C409" t="s">
        <v>1053</v>
      </c>
      <c r="D409">
        <f>(D407-D405)/D405</f>
        <v>-1.9801980198019764E-2</v>
      </c>
      <c r="E409" s="8"/>
    </row>
    <row r="410" spans="1:5" x14ac:dyDescent="0.25">
      <c r="A410" s="81"/>
      <c r="C410" t="s">
        <v>1054</v>
      </c>
      <c r="D410">
        <f>100*D408</f>
        <v>2.0202020202020132</v>
      </c>
      <c r="E410" s="8" t="s">
        <v>161</v>
      </c>
    </row>
    <row r="411" spans="1:5" x14ac:dyDescent="0.25">
      <c r="A411" s="81"/>
      <c r="C411" t="s">
        <v>1055</v>
      </c>
      <c r="D411">
        <f>D409*100</f>
        <v>-1.9801980198019764</v>
      </c>
      <c r="E411" s="8" t="s">
        <v>161</v>
      </c>
    </row>
    <row r="412" spans="1:5" x14ac:dyDescent="0.25">
      <c r="A412" s="81"/>
      <c r="C412" t="s">
        <v>1056</v>
      </c>
      <c r="D412">
        <f>MAX(ABS(D411), ABS(D410))</f>
        <v>2.0202020202020132</v>
      </c>
      <c r="E412" s="8" t="s">
        <v>161</v>
      </c>
    </row>
    <row r="413" spans="1:5" x14ac:dyDescent="0.25">
      <c r="A413" s="81"/>
      <c r="C413" t="s">
        <v>1057</v>
      </c>
      <c r="D413">
        <f>D402+D412</f>
        <v>2.393083376134213</v>
      </c>
      <c r="E413" s="8" t="s">
        <v>161</v>
      </c>
    </row>
    <row r="414" spans="1:5" x14ac:dyDescent="0.25">
      <c r="A414" s="81"/>
      <c r="E414" s="8"/>
    </row>
    <row r="415" spans="1:5" x14ac:dyDescent="0.25">
      <c r="A415" s="23"/>
      <c r="E415" s="8"/>
    </row>
    <row r="416" spans="1:5" x14ac:dyDescent="0.25">
      <c r="A416" s="81" t="s">
        <v>881</v>
      </c>
      <c r="C416" t="s">
        <v>4</v>
      </c>
      <c r="D416">
        <f>D4</f>
        <v>1.2</v>
      </c>
      <c r="E416" s="8"/>
    </row>
    <row r="417" spans="1:5" x14ac:dyDescent="0.25">
      <c r="A417" s="81"/>
      <c r="B417" t="s">
        <v>47</v>
      </c>
      <c r="D417">
        <f>D3</f>
        <v>16000</v>
      </c>
      <c r="E417" t="s">
        <v>68</v>
      </c>
    </row>
    <row r="418" spans="1:5" x14ac:dyDescent="0.25">
      <c r="A418" s="81"/>
      <c r="B418" t="s">
        <v>875</v>
      </c>
      <c r="C418" t="s">
        <v>876</v>
      </c>
      <c r="D418">
        <f>D7</f>
        <v>44.1</v>
      </c>
    </row>
    <row r="419" spans="1:5" x14ac:dyDescent="0.25">
      <c r="A419" s="81"/>
      <c r="B419" t="s">
        <v>40</v>
      </c>
      <c r="D419">
        <f>D236</f>
        <v>22.598870056497169</v>
      </c>
      <c r="E419" t="s">
        <v>20</v>
      </c>
    </row>
    <row r="420" spans="1:5" x14ac:dyDescent="0.25">
      <c r="A420" s="81"/>
      <c r="B420" t="s">
        <v>873</v>
      </c>
      <c r="C420" t="s">
        <v>874</v>
      </c>
      <c r="D420" s="51">
        <f>D316</f>
        <v>61.545745489666373</v>
      </c>
    </row>
    <row r="421" spans="1:5" x14ac:dyDescent="0.25">
      <c r="A421" s="81"/>
      <c r="B421" t="s">
        <v>39</v>
      </c>
      <c r="D421" s="50">
        <v>0.5</v>
      </c>
    </row>
    <row r="422" spans="1:5" x14ac:dyDescent="0.25">
      <c r="A422" s="81"/>
      <c r="B422" t="s">
        <v>287</v>
      </c>
      <c r="D422" s="50">
        <v>2.3E-2</v>
      </c>
      <c r="E422" s="8" t="s">
        <v>24</v>
      </c>
    </row>
    <row r="423" spans="1:5" x14ac:dyDescent="0.25">
      <c r="A423" s="81"/>
      <c r="B423" t="s">
        <v>904</v>
      </c>
      <c r="C423" t="s">
        <v>905</v>
      </c>
      <c r="D423" s="51">
        <f>D115</f>
        <v>4.8951562500000022E-5</v>
      </c>
      <c r="E423" s="8" t="s">
        <v>153</v>
      </c>
    </row>
    <row r="424" spans="1:5" x14ac:dyDescent="0.25">
      <c r="A424" s="81"/>
      <c r="E424" s="8"/>
    </row>
    <row r="425" spans="1:5" x14ac:dyDescent="0.25">
      <c r="A425" s="81"/>
      <c r="B425" t="s">
        <v>286</v>
      </c>
      <c r="D425" s="27">
        <f>POWER(D419,2)*D421*D422/3</f>
        <v>1.9577175566833702</v>
      </c>
    </row>
    <row r="426" spans="1:5" x14ac:dyDescent="0.25">
      <c r="A426" s="81"/>
      <c r="B426" t="s">
        <v>289</v>
      </c>
      <c r="C426" t="s">
        <v>288</v>
      </c>
      <c r="D426" s="49">
        <f>D421*D419*D416</f>
        <v>13.559322033898301</v>
      </c>
    </row>
    <row r="427" spans="1:5" x14ac:dyDescent="0.25">
      <c r="A427" s="81"/>
      <c r="B427" t="s">
        <v>290</v>
      </c>
      <c r="D427" s="49">
        <f>(D420+D418)*D416</f>
        <v>126.77489458759965</v>
      </c>
      <c r="E427" t="s">
        <v>21</v>
      </c>
    </row>
    <row r="428" spans="1:5" x14ac:dyDescent="0.25">
      <c r="A428" s="81"/>
      <c r="B428" t="s">
        <v>307</v>
      </c>
      <c r="D428" s="50">
        <v>250</v>
      </c>
      <c r="E428" t="s">
        <v>21</v>
      </c>
    </row>
    <row r="429" spans="1:5" x14ac:dyDescent="0.25">
      <c r="A429" s="81"/>
      <c r="C429" t="s">
        <v>324</v>
      </c>
      <c r="D429" s="27" t="b">
        <f>D428&gt;=D427</f>
        <v>1</v>
      </c>
    </row>
    <row r="430" spans="1:5" x14ac:dyDescent="0.25">
      <c r="A430" s="81"/>
      <c r="B430" t="s">
        <v>291</v>
      </c>
      <c r="D430" s="50"/>
      <c r="E430" t="s">
        <v>323</v>
      </c>
    </row>
    <row r="431" spans="1:5" x14ac:dyDescent="0.25">
      <c r="A431" s="81"/>
      <c r="B431" t="s">
        <v>292</v>
      </c>
      <c r="D431" s="50"/>
      <c r="E431" t="s">
        <v>323</v>
      </c>
    </row>
    <row r="432" spans="1:5" x14ac:dyDescent="0.25">
      <c r="A432" s="81"/>
      <c r="B432" t="s">
        <v>293</v>
      </c>
      <c r="C432" t="s">
        <v>294</v>
      </c>
      <c r="D432" s="52">
        <v>4.9999999999999998E-8</v>
      </c>
      <c r="E432" t="s">
        <v>323</v>
      </c>
    </row>
    <row r="433" spans="1:6" x14ac:dyDescent="0.25">
      <c r="A433" s="81"/>
      <c r="B433" t="s">
        <v>295</v>
      </c>
      <c r="D433" s="49">
        <f>D417*D432*2</f>
        <v>1.5999999999999999E-3</v>
      </c>
      <c r="E433" t="s">
        <v>20</v>
      </c>
    </row>
    <row r="434" spans="1:6" x14ac:dyDescent="0.25">
      <c r="A434" s="81"/>
      <c r="B434" t="s">
        <v>297</v>
      </c>
      <c r="C434" t="s">
        <v>309</v>
      </c>
      <c r="D434" s="50">
        <v>10</v>
      </c>
      <c r="E434" t="s">
        <v>21</v>
      </c>
    </row>
    <row r="435" spans="1:6" x14ac:dyDescent="0.25">
      <c r="A435" s="81"/>
      <c r="B435" t="s">
        <v>298</v>
      </c>
      <c r="D435" s="50">
        <v>5</v>
      </c>
      <c r="E435" s="8" t="s">
        <v>24</v>
      </c>
    </row>
    <row r="436" spans="1:6" x14ac:dyDescent="0.25">
      <c r="A436" s="81"/>
      <c r="B436" t="s">
        <v>219</v>
      </c>
      <c r="C436" t="s">
        <v>296</v>
      </c>
      <c r="D436" s="49">
        <f>D432*D435/D434</f>
        <v>2.4999999999999999E-8</v>
      </c>
      <c r="E436" t="s">
        <v>322</v>
      </c>
    </row>
    <row r="437" spans="1:6" x14ac:dyDescent="0.25">
      <c r="A437" s="81"/>
      <c r="B437" t="s">
        <v>303</v>
      </c>
      <c r="C437" t="s">
        <v>306</v>
      </c>
      <c r="D437" s="49">
        <f>D436</f>
        <v>2.4999999999999999E-8</v>
      </c>
      <c r="E437" t="s">
        <v>322</v>
      </c>
    </row>
    <row r="438" spans="1:6" x14ac:dyDescent="0.25">
      <c r="A438" s="81"/>
      <c r="B438" t="s">
        <v>304</v>
      </c>
      <c r="C438" t="s">
        <v>305</v>
      </c>
      <c r="D438" s="49">
        <f>D437</f>
        <v>2.4999999999999999E-8</v>
      </c>
      <c r="E438" t="s">
        <v>322</v>
      </c>
    </row>
    <row r="439" spans="1:6" x14ac:dyDescent="0.25">
      <c r="A439" s="81"/>
      <c r="C439" t="s">
        <v>299</v>
      </c>
      <c r="D439" s="27">
        <f>D434/D435</f>
        <v>2</v>
      </c>
      <c r="E439" t="s">
        <v>20</v>
      </c>
    </row>
    <row r="440" spans="1:6" x14ac:dyDescent="0.25">
      <c r="A440" s="81"/>
      <c r="C440" t="s">
        <v>301</v>
      </c>
      <c r="D440" s="50">
        <v>3</v>
      </c>
      <c r="E440" t="s">
        <v>20</v>
      </c>
    </row>
    <row r="441" spans="1:6" x14ac:dyDescent="0.25">
      <c r="A441" s="81"/>
      <c r="C441" t="s">
        <v>302</v>
      </c>
      <c r="D441" s="27">
        <f>D440/D4</f>
        <v>2.5</v>
      </c>
      <c r="E441" t="s">
        <v>20</v>
      </c>
    </row>
    <row r="442" spans="1:6" x14ac:dyDescent="0.25">
      <c r="A442" s="81"/>
      <c r="C442" t="s">
        <v>300</v>
      </c>
      <c r="D442" s="27" t="b">
        <f>D439&lt;D441</f>
        <v>1</v>
      </c>
    </row>
    <row r="443" spans="1:6" x14ac:dyDescent="0.25">
      <c r="A443" s="81"/>
      <c r="B443" t="s">
        <v>326</v>
      </c>
      <c r="C443" t="s">
        <v>327</v>
      </c>
      <c r="D443" s="49">
        <f>D432*D434*D417</f>
        <v>8.0000000000000002E-3</v>
      </c>
      <c r="E443" t="s">
        <v>22</v>
      </c>
    </row>
    <row r="444" spans="1:6" x14ac:dyDescent="0.25">
      <c r="A444" s="81"/>
      <c r="B444" t="s">
        <v>878</v>
      </c>
      <c r="D444" s="27">
        <f>D295+D418</f>
        <v>144.1</v>
      </c>
      <c r="E444" t="s">
        <v>21</v>
      </c>
      <c r="F444" t="s">
        <v>879</v>
      </c>
    </row>
    <row r="445" spans="1:6" x14ac:dyDescent="0.25">
      <c r="A445" s="81"/>
      <c r="B445" t="s">
        <v>877</v>
      </c>
      <c r="D445" s="27">
        <f>D419</f>
        <v>22.598870056497169</v>
      </c>
      <c r="E445" t="s">
        <v>20</v>
      </c>
    </row>
    <row r="446" spans="1:6" x14ac:dyDescent="0.25">
      <c r="A446" s="81"/>
      <c r="B446" t="s">
        <v>880</v>
      </c>
      <c r="D446" s="49">
        <f>0.5*D444*D445*(D437+D438)*D3</f>
        <v>1.3025988700564965</v>
      </c>
      <c r="E446" t="s">
        <v>22</v>
      </c>
    </row>
    <row r="447" spans="1:6" x14ac:dyDescent="0.25">
      <c r="A447" s="81"/>
      <c r="B447" t="s">
        <v>321</v>
      </c>
      <c r="D447" s="49">
        <f>D425+D446</f>
        <v>3.260316426739867</v>
      </c>
      <c r="E447" t="s">
        <v>22</v>
      </c>
    </row>
    <row r="448" spans="1:6" x14ac:dyDescent="0.25">
      <c r="A448" s="81"/>
      <c r="B448" t="s">
        <v>310</v>
      </c>
      <c r="D448" s="50">
        <v>1000</v>
      </c>
      <c r="E448" s="8" t="s">
        <v>24</v>
      </c>
    </row>
    <row r="449" spans="1:5" x14ac:dyDescent="0.25">
      <c r="A449" s="81"/>
      <c r="B449" t="s">
        <v>313</v>
      </c>
      <c r="D449" s="50">
        <v>2.5</v>
      </c>
      <c r="E449" t="s">
        <v>21</v>
      </c>
    </row>
    <row r="450" spans="1:5" x14ac:dyDescent="0.25">
      <c r="A450" s="81"/>
      <c r="B450" t="s">
        <v>314</v>
      </c>
      <c r="C450" t="s">
        <v>315</v>
      </c>
      <c r="D450" s="50">
        <v>210</v>
      </c>
      <c r="E450" t="s">
        <v>20</v>
      </c>
    </row>
    <row r="451" spans="1:5" x14ac:dyDescent="0.25">
      <c r="A451" s="81"/>
      <c r="B451" t="s">
        <v>311</v>
      </c>
      <c r="C451" t="s">
        <v>312</v>
      </c>
      <c r="D451" s="49">
        <f>-D448*(D432/D434)*LN(D449/D434)</f>
        <v>6.9314718055994534E-6</v>
      </c>
      <c r="E451" t="s">
        <v>322</v>
      </c>
    </row>
    <row r="452" spans="1:5" x14ac:dyDescent="0.25">
      <c r="A452" s="81"/>
      <c r="C452" t="s">
        <v>325</v>
      </c>
      <c r="D452" s="49">
        <f>D419+(D418*D451/D423)</f>
        <v>28.843367494693055</v>
      </c>
      <c r="E452" t="s">
        <v>20</v>
      </c>
    </row>
    <row r="453" spans="1:5" x14ac:dyDescent="0.25">
      <c r="A453" s="81"/>
      <c r="B453" t="s">
        <v>316</v>
      </c>
      <c r="D453" s="50">
        <v>60</v>
      </c>
      <c r="E453" t="s">
        <v>20</v>
      </c>
    </row>
    <row r="454" spans="1:5" x14ac:dyDescent="0.25">
      <c r="A454" s="81"/>
      <c r="C454" t="s">
        <v>318</v>
      </c>
      <c r="D454" s="27" t="b">
        <f>D452&lt;D450</f>
        <v>1</v>
      </c>
    </row>
    <row r="455" spans="1:5" x14ac:dyDescent="0.25">
      <c r="A455" s="81"/>
      <c r="C455" t="s">
        <v>317</v>
      </c>
      <c r="D455" s="27" t="b">
        <f>D452&lt;D453</f>
        <v>1</v>
      </c>
    </row>
    <row r="456" spans="1:5" x14ac:dyDescent="0.25">
      <c r="A456" s="81"/>
      <c r="B456" t="s">
        <v>319</v>
      </c>
      <c r="C456" t="s">
        <v>320</v>
      </c>
      <c r="D456" s="27">
        <f>0.5*POWER(D434, 2)/D448</f>
        <v>0.05</v>
      </c>
      <c r="E456" t="s">
        <v>22</v>
      </c>
    </row>
    <row r="457" spans="1:5" x14ac:dyDescent="0.25">
      <c r="A457" s="46"/>
      <c r="D457" s="27"/>
    </row>
    <row r="458" spans="1:5" ht="15" customHeight="1" x14ac:dyDescent="0.25">
      <c r="A458" s="81" t="s">
        <v>972</v>
      </c>
      <c r="C458" t="s">
        <v>4</v>
      </c>
      <c r="D458">
        <f>D4</f>
        <v>1.2</v>
      </c>
      <c r="E458" s="8"/>
    </row>
    <row r="459" spans="1:5" x14ac:dyDescent="0.25">
      <c r="A459" s="81"/>
      <c r="B459" t="s">
        <v>47</v>
      </c>
      <c r="D459">
        <f>D3</f>
        <v>16000</v>
      </c>
      <c r="E459" t="s">
        <v>68</v>
      </c>
    </row>
    <row r="460" spans="1:5" x14ac:dyDescent="0.25">
      <c r="A460" s="81"/>
      <c r="B460" t="s">
        <v>875</v>
      </c>
      <c r="C460" t="s">
        <v>876</v>
      </c>
      <c r="D460">
        <f>D7</f>
        <v>44.1</v>
      </c>
    </row>
    <row r="461" spans="1:5" x14ac:dyDescent="0.25">
      <c r="A461" s="81"/>
      <c r="B461" t="s">
        <v>40</v>
      </c>
      <c r="D461">
        <f>D236</f>
        <v>22.598870056497169</v>
      </c>
      <c r="E461" t="s">
        <v>20</v>
      </c>
    </row>
    <row r="462" spans="1:5" x14ac:dyDescent="0.25">
      <c r="A462" s="81"/>
      <c r="D462" s="51"/>
    </row>
    <row r="463" spans="1:5" x14ac:dyDescent="0.25">
      <c r="A463" s="81"/>
      <c r="B463" t="s">
        <v>39</v>
      </c>
      <c r="D463" s="50">
        <v>0.5</v>
      </c>
    </row>
    <row r="464" spans="1:5" x14ac:dyDescent="0.25">
      <c r="A464" s="81"/>
      <c r="B464" t="s">
        <v>287</v>
      </c>
      <c r="D464" s="50">
        <v>2.3E-2</v>
      </c>
      <c r="E464" s="8" t="s">
        <v>24</v>
      </c>
    </row>
    <row r="465" spans="1:5" x14ac:dyDescent="0.25">
      <c r="A465" s="81"/>
      <c r="B465" t="s">
        <v>904</v>
      </c>
      <c r="C465" t="s">
        <v>905</v>
      </c>
      <c r="D465" s="51">
        <f>D115</f>
        <v>4.8951562500000022E-5</v>
      </c>
      <c r="E465" s="8" t="s">
        <v>153</v>
      </c>
    </row>
    <row r="466" spans="1:5" x14ac:dyDescent="0.25">
      <c r="A466" s="81"/>
      <c r="D466" s="51"/>
      <c r="E466" s="8"/>
    </row>
    <row r="467" spans="1:5" x14ac:dyDescent="0.25">
      <c r="A467" s="81"/>
      <c r="B467" t="s">
        <v>286</v>
      </c>
      <c r="D467" s="27">
        <f>POWER(D461,2)*D463*D464/3</f>
        <v>1.9577175566833702</v>
      </c>
    </row>
    <row r="468" spans="1:5" x14ac:dyDescent="0.25">
      <c r="A468" s="81"/>
      <c r="B468" t="s">
        <v>289</v>
      </c>
      <c r="C468" t="s">
        <v>981</v>
      </c>
      <c r="D468" s="49">
        <f>D463*D461*D458</f>
        <v>13.559322033898301</v>
      </c>
    </row>
    <row r="469" spans="1:5" x14ac:dyDescent="0.25">
      <c r="A469" s="81"/>
      <c r="B469" t="s">
        <v>969</v>
      </c>
      <c r="C469" t="s">
        <v>980</v>
      </c>
      <c r="D469" s="49"/>
    </row>
    <row r="470" spans="1:5" x14ac:dyDescent="0.25">
      <c r="A470" s="81"/>
      <c r="C470" t="s">
        <v>970</v>
      </c>
      <c r="D470" s="49" t="b">
        <f>D469&gt;=D468</f>
        <v>0</v>
      </c>
    </row>
    <row r="471" spans="1:5" x14ac:dyDescent="0.25">
      <c r="A471" s="81"/>
      <c r="B471" t="s">
        <v>290</v>
      </c>
      <c r="D471" s="49">
        <f>D460*D458</f>
        <v>52.92</v>
      </c>
      <c r="E471" t="s">
        <v>21</v>
      </c>
    </row>
    <row r="472" spans="1:5" x14ac:dyDescent="0.25">
      <c r="A472" s="81"/>
      <c r="B472" t="s">
        <v>307</v>
      </c>
      <c r="D472" s="50">
        <v>250</v>
      </c>
      <c r="E472" t="s">
        <v>21</v>
      </c>
    </row>
    <row r="473" spans="1:5" x14ac:dyDescent="0.25">
      <c r="A473" s="81"/>
      <c r="C473" t="s">
        <v>324</v>
      </c>
      <c r="D473" s="27" t="b">
        <f>D472&gt;=D471</f>
        <v>1</v>
      </c>
    </row>
    <row r="474" spans="1:5" x14ac:dyDescent="0.25">
      <c r="A474" s="81"/>
      <c r="B474" t="s">
        <v>291</v>
      </c>
      <c r="D474" s="50"/>
      <c r="E474" t="s">
        <v>323</v>
      </c>
    </row>
    <row r="475" spans="1:5" x14ac:dyDescent="0.25">
      <c r="A475" s="81"/>
      <c r="B475" t="s">
        <v>292</v>
      </c>
      <c r="D475" s="50"/>
      <c r="E475" t="s">
        <v>323</v>
      </c>
    </row>
    <row r="476" spans="1:5" x14ac:dyDescent="0.25">
      <c r="A476" s="81"/>
      <c r="B476" t="s">
        <v>293</v>
      </c>
      <c r="C476" t="s">
        <v>294</v>
      </c>
      <c r="D476" s="52">
        <v>4.9999999999999998E-8</v>
      </c>
      <c r="E476" t="s">
        <v>323</v>
      </c>
    </row>
    <row r="477" spans="1:5" x14ac:dyDescent="0.25">
      <c r="A477" s="81"/>
      <c r="B477" t="s">
        <v>295</v>
      </c>
      <c r="D477" s="49">
        <f>D459*D476*2</f>
        <v>1.5999999999999999E-3</v>
      </c>
      <c r="E477" t="s">
        <v>20</v>
      </c>
    </row>
    <row r="478" spans="1:5" x14ac:dyDescent="0.25">
      <c r="A478" s="81"/>
      <c r="B478" t="s">
        <v>920</v>
      </c>
      <c r="C478" t="s">
        <v>921</v>
      </c>
      <c r="D478" s="52">
        <v>14</v>
      </c>
    </row>
    <row r="479" spans="1:5" x14ac:dyDescent="0.25">
      <c r="A479" s="81"/>
      <c r="B479" s="35" t="s">
        <v>907</v>
      </c>
      <c r="C479" t="s">
        <v>906</v>
      </c>
      <c r="D479" s="50">
        <v>0.05</v>
      </c>
      <c r="E479" t="s">
        <v>21</v>
      </c>
    </row>
    <row r="480" spans="1:5" x14ac:dyDescent="0.25">
      <c r="A480" s="81"/>
      <c r="B480" s="35" t="s">
        <v>909</v>
      </c>
      <c r="C480" t="s">
        <v>911</v>
      </c>
      <c r="D480" s="49">
        <f>D476/D479</f>
        <v>9.9999999999999995E-7</v>
      </c>
      <c r="E480" t="s">
        <v>23</v>
      </c>
    </row>
    <row r="481" spans="1:8" x14ac:dyDescent="0.25">
      <c r="A481" s="81"/>
      <c r="B481" s="35" t="s">
        <v>908</v>
      </c>
      <c r="C481" t="s">
        <v>912</v>
      </c>
      <c r="D481" s="27">
        <f>0.000001</f>
        <v>9.9999999999999995E-7</v>
      </c>
      <c r="E481" t="s">
        <v>23</v>
      </c>
      <c r="F481" s="4" t="s">
        <v>977</v>
      </c>
    </row>
    <row r="482" spans="1:8" x14ac:dyDescent="0.25">
      <c r="A482" s="81"/>
      <c r="B482" s="35" t="s">
        <v>910</v>
      </c>
      <c r="C482" t="s">
        <v>913</v>
      </c>
      <c r="D482" s="49">
        <f>D476/D481</f>
        <v>0.05</v>
      </c>
      <c r="E482" t="s">
        <v>21</v>
      </c>
    </row>
    <row r="483" spans="1:8" x14ac:dyDescent="0.25">
      <c r="A483" s="81"/>
      <c r="B483" s="35"/>
      <c r="C483" t="s">
        <v>922</v>
      </c>
      <c r="D483" s="49" t="b">
        <f>D482&lt;=D479</f>
        <v>1</v>
      </c>
    </row>
    <row r="484" spans="1:8" x14ac:dyDescent="0.25">
      <c r="A484" s="81"/>
      <c r="B484" s="35" t="s">
        <v>933</v>
      </c>
      <c r="C484" t="s">
        <v>934</v>
      </c>
      <c r="D484" s="49">
        <f>D482*D481</f>
        <v>4.9999999999999998E-8</v>
      </c>
      <c r="E484" t="s">
        <v>323</v>
      </c>
    </row>
    <row r="485" spans="1:8" x14ac:dyDescent="0.25">
      <c r="A485" s="81"/>
      <c r="B485" s="35" t="s">
        <v>935</v>
      </c>
      <c r="C485" t="s">
        <v>936</v>
      </c>
      <c r="D485" s="49">
        <f>D484*D459</f>
        <v>7.9999999999999993E-4</v>
      </c>
      <c r="E485" t="s">
        <v>20</v>
      </c>
    </row>
    <row r="486" spans="1:8" x14ac:dyDescent="0.25">
      <c r="A486" s="81"/>
      <c r="B486" s="35" t="s">
        <v>917</v>
      </c>
      <c r="C486" t="s">
        <v>918</v>
      </c>
      <c r="D486" s="50">
        <v>0.95</v>
      </c>
      <c r="E486" t="s">
        <v>21</v>
      </c>
      <c r="F486" t="s">
        <v>974</v>
      </c>
      <c r="G486" t="s">
        <v>979</v>
      </c>
    </row>
    <row r="487" spans="1:8" x14ac:dyDescent="0.25">
      <c r="A487" s="81"/>
      <c r="B487" t="s">
        <v>884</v>
      </c>
      <c r="C487" t="s">
        <v>886</v>
      </c>
      <c r="D487" s="51">
        <f>D478</f>
        <v>14</v>
      </c>
      <c r="E487" t="s">
        <v>21</v>
      </c>
    </row>
    <row r="488" spans="1:8" x14ac:dyDescent="0.25">
      <c r="A488" s="81"/>
      <c r="B488" t="s">
        <v>919</v>
      </c>
      <c r="C488" t="s">
        <v>885</v>
      </c>
      <c r="D488" s="49">
        <f>D478-D486-D482</f>
        <v>13</v>
      </c>
      <c r="E488" t="s">
        <v>21</v>
      </c>
    </row>
    <row r="489" spans="1:8" x14ac:dyDescent="0.25">
      <c r="A489" s="81"/>
      <c r="B489" t="s">
        <v>1110</v>
      </c>
      <c r="C489" t="s">
        <v>1111</v>
      </c>
      <c r="D489" s="52">
        <v>1.9</v>
      </c>
      <c r="E489" s="8" t="s">
        <v>24</v>
      </c>
    </row>
    <row r="490" spans="1:8" x14ac:dyDescent="0.25">
      <c r="A490" s="81"/>
      <c r="B490" t="s">
        <v>1112</v>
      </c>
      <c r="C490" t="s">
        <v>1113</v>
      </c>
      <c r="D490" s="52">
        <v>4.7</v>
      </c>
      <c r="E490" s="8" t="s">
        <v>24</v>
      </c>
    </row>
    <row r="491" spans="1:8" x14ac:dyDescent="0.25">
      <c r="A491" s="81"/>
      <c r="C491" t="s">
        <v>1121</v>
      </c>
      <c r="D491" s="52">
        <v>0.5</v>
      </c>
      <c r="E491" s="8" t="s">
        <v>161</v>
      </c>
    </row>
    <row r="492" spans="1:8" x14ac:dyDescent="0.25">
      <c r="A492" s="81"/>
      <c r="B492" t="s">
        <v>1122</v>
      </c>
      <c r="C492" t="s">
        <v>1123</v>
      </c>
      <c r="D492" s="49">
        <f>D490*(100-D491)/100</f>
        <v>4.6765000000000008</v>
      </c>
      <c r="E492" s="8"/>
    </row>
    <row r="493" spans="1:8" x14ac:dyDescent="0.25">
      <c r="A493" s="81"/>
      <c r="B493" t="s">
        <v>1114</v>
      </c>
      <c r="C493" t="s">
        <v>1115</v>
      </c>
      <c r="D493" s="49">
        <v>0</v>
      </c>
      <c r="E493" s="8"/>
    </row>
    <row r="494" spans="1:8" x14ac:dyDescent="0.25">
      <c r="A494" s="81"/>
      <c r="B494" t="s">
        <v>298</v>
      </c>
      <c r="D494" s="49">
        <f>D489+D490+D493</f>
        <v>6.6</v>
      </c>
      <c r="E494" s="8" t="s">
        <v>24</v>
      </c>
      <c r="H494" s="50"/>
    </row>
    <row r="495" spans="1:8" x14ac:dyDescent="0.25">
      <c r="A495" s="81"/>
      <c r="B495" t="s">
        <v>1118</v>
      </c>
      <c r="C495" t="s">
        <v>1119</v>
      </c>
      <c r="D495" s="49">
        <f>D487/D492</f>
        <v>2.9936918635731846</v>
      </c>
      <c r="E495" s="8"/>
      <c r="H495" s="50"/>
    </row>
    <row r="496" spans="1:8" x14ac:dyDescent="0.25">
      <c r="A496" s="81"/>
      <c r="B496" t="s">
        <v>1116</v>
      </c>
      <c r="C496" t="s">
        <v>1117</v>
      </c>
      <c r="D496" s="27">
        <f>D487/D494</f>
        <v>2.1212121212121211</v>
      </c>
      <c r="E496" t="s">
        <v>20</v>
      </c>
      <c r="H496" s="50"/>
    </row>
    <row r="497" spans="1:8" x14ac:dyDescent="0.25">
      <c r="A497" s="81"/>
      <c r="C497" t="s">
        <v>1120</v>
      </c>
      <c r="D497" s="49"/>
      <c r="H497" s="50"/>
    </row>
    <row r="498" spans="1:8" x14ac:dyDescent="0.25">
      <c r="A498" s="81"/>
      <c r="H498" s="50"/>
    </row>
    <row r="499" spans="1:8" x14ac:dyDescent="0.25">
      <c r="A499" s="81"/>
      <c r="C499" t="s">
        <v>301</v>
      </c>
      <c r="D499" s="50">
        <v>3</v>
      </c>
      <c r="E499" t="s">
        <v>20</v>
      </c>
      <c r="H499" s="50"/>
    </row>
    <row r="500" spans="1:8" x14ac:dyDescent="0.25">
      <c r="A500" s="81"/>
      <c r="C500" t="s">
        <v>302</v>
      </c>
      <c r="D500" s="27">
        <f>D499/D458</f>
        <v>2.5</v>
      </c>
      <c r="E500" t="s">
        <v>20</v>
      </c>
      <c r="H500" s="50"/>
    </row>
    <row r="501" spans="1:8" x14ac:dyDescent="0.25">
      <c r="A501" s="81"/>
      <c r="C501" t="s">
        <v>1124</v>
      </c>
      <c r="D501" s="27" t="b">
        <f>AND(D495&lt;D499, D496&lt;=D500)</f>
        <v>1</v>
      </c>
      <c r="H501" s="50"/>
    </row>
    <row r="502" spans="1:8" x14ac:dyDescent="0.25">
      <c r="A502" s="81"/>
      <c r="B502" t="s">
        <v>939</v>
      </c>
      <c r="D502" s="50">
        <v>0</v>
      </c>
      <c r="E502" s="8" t="s">
        <v>24</v>
      </c>
    </row>
    <row r="503" spans="1:8" x14ac:dyDescent="0.25">
      <c r="A503" s="81"/>
      <c r="B503" t="s">
        <v>948</v>
      </c>
      <c r="D503" s="50">
        <v>0.02</v>
      </c>
      <c r="E503" s="8" t="s">
        <v>24</v>
      </c>
      <c r="F503" t="s">
        <v>976</v>
      </c>
    </row>
    <row r="504" spans="1:8" x14ac:dyDescent="0.25">
      <c r="A504" s="81"/>
      <c r="B504" t="s">
        <v>1076</v>
      </c>
      <c r="C504" t="s">
        <v>1077</v>
      </c>
      <c r="D504" s="50">
        <v>7</v>
      </c>
      <c r="E504" s="8" t="s">
        <v>24</v>
      </c>
      <c r="F504" t="s">
        <v>978</v>
      </c>
    </row>
    <row r="505" spans="1:8" x14ac:dyDescent="0.25">
      <c r="A505" s="81"/>
      <c r="B505" t="s">
        <v>938</v>
      </c>
      <c r="C505" t="s">
        <v>937</v>
      </c>
      <c r="D505" s="27">
        <f>D502+D503+D504</f>
        <v>7.02</v>
      </c>
      <c r="E505" s="8" t="s">
        <v>24</v>
      </c>
    </row>
    <row r="506" spans="1:8" x14ac:dyDescent="0.25">
      <c r="A506" s="81"/>
      <c r="B506" t="s">
        <v>1078</v>
      </c>
      <c r="D506" s="27">
        <f>D504*D481</f>
        <v>6.9999999999999999E-6</v>
      </c>
      <c r="E506" s="8"/>
    </row>
    <row r="507" spans="1:8" x14ac:dyDescent="0.25">
      <c r="A507" s="81"/>
      <c r="B507" t="s">
        <v>1079</v>
      </c>
      <c r="D507" s="27">
        <f>5*D506</f>
        <v>3.4999999999999997E-5</v>
      </c>
      <c r="E507" s="8"/>
    </row>
    <row r="508" spans="1:8" x14ac:dyDescent="0.25">
      <c r="A508" s="81"/>
      <c r="C508" t="s">
        <v>1080</v>
      </c>
      <c r="D508" s="27" t="b">
        <f>D507&lt;(1/D459)</f>
        <v>1</v>
      </c>
      <c r="E508" s="8"/>
    </row>
    <row r="509" spans="1:8" x14ac:dyDescent="0.25">
      <c r="A509" s="81"/>
      <c r="B509" t="s">
        <v>941</v>
      </c>
      <c r="C509" t="s">
        <v>942</v>
      </c>
      <c r="D509" s="50">
        <v>7.5</v>
      </c>
      <c r="E509" s="8" t="s">
        <v>21</v>
      </c>
    </row>
    <row r="510" spans="1:8" x14ac:dyDescent="0.25">
      <c r="A510" s="81"/>
      <c r="B510" t="s">
        <v>944</v>
      </c>
      <c r="C510" t="s">
        <v>940</v>
      </c>
      <c r="D510" s="49">
        <f>D478/D505</f>
        <v>1.9943019943019944</v>
      </c>
      <c r="E510" s="8" t="s">
        <v>20</v>
      </c>
    </row>
    <row r="511" spans="1:8" x14ac:dyDescent="0.25">
      <c r="A511" s="81"/>
      <c r="B511" t="s">
        <v>945</v>
      </c>
      <c r="D511" s="49">
        <f>D482/D505</f>
        <v>7.1225071225071235E-3</v>
      </c>
      <c r="E511" s="8" t="s">
        <v>20</v>
      </c>
    </row>
    <row r="512" spans="1:8" x14ac:dyDescent="0.25">
      <c r="A512" s="81"/>
      <c r="B512" t="s">
        <v>947</v>
      </c>
      <c r="D512" s="54">
        <v>35</v>
      </c>
      <c r="E512" s="8" t="s">
        <v>20</v>
      </c>
    </row>
    <row r="513" spans="1:6" x14ac:dyDescent="0.25">
      <c r="A513" s="81"/>
      <c r="C513" t="s">
        <v>943</v>
      </c>
      <c r="D513" s="53" t="b">
        <f>AND(D512&gt;=D510*D458, D512&gt;=D511*D458)</f>
        <v>1</v>
      </c>
      <c r="E513" s="8"/>
    </row>
    <row r="514" spans="1:6" x14ac:dyDescent="0.25">
      <c r="A514" s="81"/>
      <c r="B514" t="s">
        <v>946</v>
      </c>
      <c r="D514" s="54">
        <v>200</v>
      </c>
      <c r="E514" s="8" t="s">
        <v>21</v>
      </c>
    </row>
    <row r="515" spans="1:6" x14ac:dyDescent="0.25">
      <c r="A515" s="81"/>
      <c r="C515" t="s">
        <v>949</v>
      </c>
      <c r="D515" s="53" t="b">
        <f>D514&gt;=2*D478</f>
        <v>1</v>
      </c>
      <c r="E515" s="8"/>
    </row>
    <row r="516" spans="1:6" x14ac:dyDescent="0.25">
      <c r="A516" s="81"/>
      <c r="B516" t="s">
        <v>887</v>
      </c>
      <c r="C516" t="s">
        <v>894</v>
      </c>
      <c r="D516" s="49">
        <f>D476*D494/D487</f>
        <v>2.357142857142857E-8</v>
      </c>
      <c r="E516" t="s">
        <v>322</v>
      </c>
    </row>
    <row r="517" spans="1:6" x14ac:dyDescent="0.25">
      <c r="A517" s="81"/>
      <c r="B517" t="s">
        <v>888</v>
      </c>
      <c r="C517" t="s">
        <v>882</v>
      </c>
      <c r="D517" s="49">
        <f>D516</f>
        <v>2.357142857142857E-8</v>
      </c>
      <c r="E517" t="s">
        <v>322</v>
      </c>
    </row>
    <row r="518" spans="1:6" x14ac:dyDescent="0.25">
      <c r="A518" s="81"/>
      <c r="B518" t="s">
        <v>889</v>
      </c>
      <c r="C518" t="s">
        <v>883</v>
      </c>
      <c r="D518" s="49">
        <f>D517</f>
        <v>2.357142857142857E-8</v>
      </c>
      <c r="E518" t="s">
        <v>322</v>
      </c>
    </row>
    <row r="519" spans="1:6" x14ac:dyDescent="0.25">
      <c r="A519" s="81"/>
      <c r="B519" t="s">
        <v>890</v>
      </c>
      <c r="C519" t="s">
        <v>893</v>
      </c>
      <c r="D519" s="49">
        <f>D476*D494/D488</f>
        <v>2.5384615384615382E-8</v>
      </c>
      <c r="E519" t="s">
        <v>322</v>
      </c>
    </row>
    <row r="520" spans="1:6" x14ac:dyDescent="0.25">
      <c r="A520" s="81"/>
      <c r="B520" t="s">
        <v>891</v>
      </c>
      <c r="C520" t="s">
        <v>895</v>
      </c>
      <c r="D520" s="49">
        <f>D519</f>
        <v>2.5384615384615382E-8</v>
      </c>
      <c r="E520" t="s">
        <v>322</v>
      </c>
    </row>
    <row r="521" spans="1:6" x14ac:dyDescent="0.25">
      <c r="A521" s="81"/>
      <c r="B521" t="s">
        <v>892</v>
      </c>
      <c r="C521" t="s">
        <v>896</v>
      </c>
      <c r="D521" s="49">
        <f>D520</f>
        <v>2.5384615384615382E-8</v>
      </c>
      <c r="E521" t="s">
        <v>322</v>
      </c>
    </row>
    <row r="522" spans="1:6" x14ac:dyDescent="0.25">
      <c r="A522" s="81"/>
    </row>
    <row r="523" spans="1:6" x14ac:dyDescent="0.25">
      <c r="A523" s="81"/>
    </row>
    <row r="524" spans="1:6" x14ac:dyDescent="0.25">
      <c r="A524" s="81"/>
    </row>
    <row r="525" spans="1:6" x14ac:dyDescent="0.25">
      <c r="A525" s="81"/>
    </row>
    <row r="526" spans="1:6" x14ac:dyDescent="0.25">
      <c r="A526" s="81"/>
      <c r="B526" t="s">
        <v>951</v>
      </c>
      <c r="C526" t="s">
        <v>950</v>
      </c>
      <c r="D526" s="49">
        <f>D482/(D502+D503+D504)</f>
        <v>7.1225071225071235E-3</v>
      </c>
    </row>
    <row r="527" spans="1:6" x14ac:dyDescent="0.25">
      <c r="A527" s="81"/>
      <c r="B527" t="s">
        <v>952</v>
      </c>
      <c r="C527" t="s">
        <v>955</v>
      </c>
      <c r="D527" s="52">
        <v>2E-8</v>
      </c>
      <c r="E527" t="s">
        <v>153</v>
      </c>
      <c r="F527" t="s">
        <v>975</v>
      </c>
    </row>
    <row r="528" spans="1:6" x14ac:dyDescent="0.25">
      <c r="A528" s="81"/>
      <c r="B528" t="s">
        <v>953</v>
      </c>
      <c r="C528" t="s">
        <v>954</v>
      </c>
      <c r="D528" s="1">
        <v>5.0000000000000001E-9</v>
      </c>
      <c r="E528" t="s">
        <v>322</v>
      </c>
    </row>
    <row r="529" spans="1:6" x14ac:dyDescent="0.25">
      <c r="A529" s="81"/>
      <c r="B529" t="s">
        <v>966</v>
      </c>
      <c r="C529" t="s">
        <v>956</v>
      </c>
      <c r="D529" s="1">
        <f xml:space="preserve"> D527*D526/D528</f>
        <v>2.8490028490028491E-2</v>
      </c>
      <c r="E529" t="s">
        <v>21</v>
      </c>
    </row>
    <row r="530" spans="1:6" x14ac:dyDescent="0.25">
      <c r="A530" s="81"/>
      <c r="B530" t="s">
        <v>898</v>
      </c>
      <c r="C530" t="s">
        <v>327</v>
      </c>
      <c r="D530" s="49">
        <f>D476*D487*D459</f>
        <v>1.12E-2</v>
      </c>
      <c r="E530" t="s">
        <v>22</v>
      </c>
    </row>
    <row r="531" spans="1:6" x14ac:dyDescent="0.25">
      <c r="A531" s="81"/>
      <c r="D531" s="52"/>
      <c r="E531" t="s">
        <v>323</v>
      </c>
    </row>
    <row r="532" spans="1:6" x14ac:dyDescent="0.25">
      <c r="A532" s="81"/>
      <c r="B532" t="s">
        <v>958</v>
      </c>
      <c r="C532" t="s">
        <v>959</v>
      </c>
      <c r="D532" s="52">
        <v>2.4999999999999999E-8</v>
      </c>
      <c r="E532" t="s">
        <v>322</v>
      </c>
      <c r="F532" t="s">
        <v>974</v>
      </c>
    </row>
    <row r="533" spans="1:6" x14ac:dyDescent="0.25">
      <c r="A533" s="81"/>
      <c r="B533" t="s">
        <v>957</v>
      </c>
      <c r="C533" t="s">
        <v>973</v>
      </c>
      <c r="D533" s="53">
        <v>0.25</v>
      </c>
      <c r="E533" t="s">
        <v>20</v>
      </c>
    </row>
    <row r="534" spans="1:6" x14ac:dyDescent="0.25">
      <c r="A534" s="81"/>
      <c r="B534" t="s">
        <v>963</v>
      </c>
      <c r="C534" t="s">
        <v>960</v>
      </c>
      <c r="D534" s="53">
        <f>D527*D533/D532</f>
        <v>0.2</v>
      </c>
      <c r="E534" t="s">
        <v>21</v>
      </c>
    </row>
    <row r="535" spans="1:6" x14ac:dyDescent="0.25">
      <c r="A535" s="81"/>
      <c r="B535" t="s">
        <v>967</v>
      </c>
      <c r="C535" t="s">
        <v>964</v>
      </c>
      <c r="D535" s="54">
        <v>0.2</v>
      </c>
      <c r="E535" t="s">
        <v>21</v>
      </c>
    </row>
    <row r="536" spans="1:6" x14ac:dyDescent="0.25">
      <c r="A536" s="81"/>
      <c r="B536" t="s">
        <v>961</v>
      </c>
      <c r="C536" t="s">
        <v>965</v>
      </c>
      <c r="D536" s="50">
        <v>0.2</v>
      </c>
      <c r="E536" t="s">
        <v>21</v>
      </c>
    </row>
    <row r="537" spans="1:6" x14ac:dyDescent="0.25">
      <c r="A537" s="81"/>
      <c r="B537" t="s">
        <v>968</v>
      </c>
      <c r="D537" s="27" t="b">
        <f>D535&gt;=D529</f>
        <v>1</v>
      </c>
    </row>
    <row r="538" spans="1:6" x14ac:dyDescent="0.25">
      <c r="A538" s="81"/>
      <c r="B538" t="s">
        <v>962</v>
      </c>
      <c r="D538" s="27" t="b">
        <f>D536&lt;=D534</f>
        <v>1</v>
      </c>
    </row>
    <row r="539" spans="1:6" x14ac:dyDescent="0.25">
      <c r="A539" s="81"/>
      <c r="B539" t="s">
        <v>878</v>
      </c>
      <c r="D539" s="27">
        <f>D460</f>
        <v>44.1</v>
      </c>
      <c r="E539" t="s">
        <v>21</v>
      </c>
    </row>
    <row r="540" spans="1:6" x14ac:dyDescent="0.25">
      <c r="A540" s="81"/>
      <c r="B540" t="s">
        <v>877</v>
      </c>
      <c r="D540" s="27">
        <f>D461</f>
        <v>22.598870056497169</v>
      </c>
      <c r="E540" t="s">
        <v>20</v>
      </c>
    </row>
    <row r="541" spans="1:6" x14ac:dyDescent="0.25">
      <c r="A541" s="81"/>
      <c r="B541" t="s">
        <v>897</v>
      </c>
      <c r="D541" s="49">
        <f>0.5*D539*D540*(D517+D518)*D459</f>
        <v>0.37586440677966093</v>
      </c>
      <c r="E541" t="s">
        <v>22</v>
      </c>
    </row>
    <row r="542" spans="1:6" x14ac:dyDescent="0.25">
      <c r="A542" s="81"/>
      <c r="B542" t="s">
        <v>899</v>
      </c>
      <c r="C542" t="s">
        <v>900</v>
      </c>
      <c r="D542" s="49">
        <f>D467+D541</f>
        <v>2.3335819634630313</v>
      </c>
      <c r="E542" t="s">
        <v>22</v>
      </c>
    </row>
    <row r="543" spans="1:6" x14ac:dyDescent="0.25">
      <c r="A543" s="81"/>
      <c r="B543" t="s">
        <v>901</v>
      </c>
      <c r="C543" t="s">
        <v>902</v>
      </c>
      <c r="D543" s="49">
        <f>4*D542</f>
        <v>9.334327853852125</v>
      </c>
      <c r="E543" t="s">
        <v>22</v>
      </c>
    </row>
    <row r="544" spans="1:6" x14ac:dyDescent="0.25">
      <c r="A544" s="81"/>
      <c r="B544" t="s">
        <v>310</v>
      </c>
      <c r="D544" s="50">
        <v>1000</v>
      </c>
      <c r="E544" s="8" t="s">
        <v>24</v>
      </c>
    </row>
    <row r="545" spans="1:5" x14ac:dyDescent="0.25">
      <c r="A545" s="81"/>
      <c r="B545" t="s">
        <v>313</v>
      </c>
      <c r="D545" s="50">
        <v>2.5</v>
      </c>
      <c r="E545" t="s">
        <v>21</v>
      </c>
    </row>
    <row r="546" spans="1:5" x14ac:dyDescent="0.25">
      <c r="A546" s="81"/>
      <c r="B546" t="s">
        <v>314</v>
      </c>
      <c r="C546" t="s">
        <v>903</v>
      </c>
      <c r="D546" s="50">
        <v>210</v>
      </c>
      <c r="E546" t="s">
        <v>20</v>
      </c>
    </row>
    <row r="547" spans="1:5" x14ac:dyDescent="0.25">
      <c r="A547" s="81"/>
      <c r="B547" t="s">
        <v>311</v>
      </c>
      <c r="C547" t="s">
        <v>312</v>
      </c>
      <c r="D547" s="49">
        <f>-D544*(D476/D487)*LN(D545/D487)</f>
        <v>6.1527378490753689E-6</v>
      </c>
      <c r="E547" t="s">
        <v>322</v>
      </c>
    </row>
    <row r="548" spans="1:5" x14ac:dyDescent="0.25">
      <c r="A548" s="81"/>
      <c r="C548" t="s">
        <v>325</v>
      </c>
      <c r="D548" s="49">
        <f>D461+(D460*D547/D465)</f>
        <v>28.141813433314276</v>
      </c>
      <c r="E548" t="s">
        <v>20</v>
      </c>
    </row>
    <row r="549" spans="1:5" x14ac:dyDescent="0.25">
      <c r="A549" s="81"/>
      <c r="B549" t="s">
        <v>316</v>
      </c>
      <c r="D549" s="50">
        <v>60</v>
      </c>
      <c r="E549" t="s">
        <v>20</v>
      </c>
    </row>
    <row r="550" spans="1:5" x14ac:dyDescent="0.25">
      <c r="A550" s="81"/>
      <c r="C550" t="s">
        <v>318</v>
      </c>
      <c r="D550" s="27" t="b">
        <f>D548&lt;D546</f>
        <v>1</v>
      </c>
    </row>
    <row r="551" spans="1:5" x14ac:dyDescent="0.25">
      <c r="A551" s="81"/>
      <c r="C551" t="s">
        <v>317</v>
      </c>
      <c r="D551" s="27" t="b">
        <f>D548&lt;D549</f>
        <v>1</v>
      </c>
    </row>
    <row r="552" spans="1:5" x14ac:dyDescent="0.25">
      <c r="A552" s="81"/>
      <c r="B552" t="s">
        <v>319</v>
      </c>
      <c r="C552" t="s">
        <v>320</v>
      </c>
      <c r="D552" s="27">
        <f>0.5*POWER(D487, 2)/D544</f>
        <v>9.8000000000000004E-2</v>
      </c>
      <c r="E552" t="s">
        <v>22</v>
      </c>
    </row>
    <row r="553" spans="1:5" x14ac:dyDescent="0.25">
      <c r="A553" s="81"/>
      <c r="B553" s="35" t="s">
        <v>914</v>
      </c>
      <c r="C553" t="s">
        <v>915</v>
      </c>
      <c r="D553" s="50">
        <v>9.6999999999999993</v>
      </c>
    </row>
    <row r="554" spans="1:5" x14ac:dyDescent="0.25">
      <c r="A554" s="81"/>
      <c r="B554" s="35" t="s">
        <v>928</v>
      </c>
      <c r="C554" t="s">
        <v>916</v>
      </c>
      <c r="D554" s="49">
        <f>D488-D553</f>
        <v>3.3000000000000007</v>
      </c>
    </row>
    <row r="555" spans="1:5" x14ac:dyDescent="0.25">
      <c r="A555" s="81"/>
      <c r="B555" t="s">
        <v>923</v>
      </c>
      <c r="C555" t="s">
        <v>924</v>
      </c>
      <c r="D555" s="27">
        <v>2</v>
      </c>
    </row>
    <row r="556" spans="1:5" x14ac:dyDescent="0.25">
      <c r="A556" s="81"/>
      <c r="B556" s="35"/>
      <c r="C556" t="s">
        <v>931</v>
      </c>
      <c r="D556" s="49" t="b">
        <f>D554&gt;=D555</f>
        <v>1</v>
      </c>
    </row>
    <row r="557" spans="1:5" x14ac:dyDescent="0.25">
      <c r="A557" s="81"/>
      <c r="B557" t="s">
        <v>927</v>
      </c>
      <c r="D557" s="50">
        <v>9.6999999999999993</v>
      </c>
    </row>
    <row r="558" spans="1:5" x14ac:dyDescent="0.25">
      <c r="A558" s="81"/>
      <c r="B558" t="s">
        <v>925</v>
      </c>
      <c r="C558" t="s">
        <v>926</v>
      </c>
      <c r="D558" s="49">
        <f xml:space="preserve"> D478</f>
        <v>14</v>
      </c>
    </row>
    <row r="559" spans="1:5" ht="15" customHeight="1" x14ac:dyDescent="0.25">
      <c r="A559" s="81"/>
      <c r="B559" s="35" t="s">
        <v>929</v>
      </c>
      <c r="C559" t="s">
        <v>930</v>
      </c>
      <c r="D559" s="49">
        <f>D558-D557</f>
        <v>4.3000000000000007</v>
      </c>
    </row>
    <row r="560" spans="1:5" ht="15" customHeight="1" x14ac:dyDescent="0.25">
      <c r="A560" s="81"/>
      <c r="C560" t="s">
        <v>932</v>
      </c>
      <c r="D560" s="27" t="b">
        <f>D559&gt;=D555</f>
        <v>1</v>
      </c>
    </row>
    <row r="561" spans="1:5" ht="15" customHeight="1" x14ac:dyDescent="0.25">
      <c r="A561" s="81"/>
      <c r="D561" s="49"/>
    </row>
    <row r="562" spans="1:5" ht="15" customHeight="1" x14ac:dyDescent="0.25">
      <c r="A562" s="81"/>
      <c r="B562" s="35" t="s">
        <v>1097</v>
      </c>
      <c r="C562" t="s">
        <v>1098</v>
      </c>
      <c r="D562" s="49">
        <f>D494</f>
        <v>6.6</v>
      </c>
    </row>
    <row r="563" spans="1:5" ht="15" customHeight="1" x14ac:dyDescent="0.25">
      <c r="A563" s="81"/>
      <c r="B563" s="35" t="s">
        <v>1099</v>
      </c>
      <c r="C563" t="s">
        <v>1100</v>
      </c>
      <c r="D563" s="52">
        <f>0.00000000361</f>
        <v>3.6100000000000001E-9</v>
      </c>
    </row>
    <row r="564" spans="1:5" ht="15" customHeight="1" x14ac:dyDescent="0.25">
      <c r="A564" s="81"/>
      <c r="B564" s="35" t="s">
        <v>1101</v>
      </c>
      <c r="C564" t="s">
        <v>1102</v>
      </c>
      <c r="D564" s="49">
        <f>E980</f>
        <v>2.2741325637156556E-10</v>
      </c>
    </row>
    <row r="565" spans="1:5" ht="15" customHeight="1" x14ac:dyDescent="0.25">
      <c r="A565" s="81"/>
      <c r="B565" s="35" t="s">
        <v>1126</v>
      </c>
      <c r="C565" t="s">
        <v>1125</v>
      </c>
      <c r="D565" s="49">
        <v>2.0000000000000001E-9</v>
      </c>
    </row>
    <row r="566" spans="1:5" ht="15" customHeight="1" x14ac:dyDescent="0.25">
      <c r="A566" s="81"/>
      <c r="B566" s="35" t="s">
        <v>1127</v>
      </c>
      <c r="D566" s="49">
        <f>D564+D565</f>
        <v>2.2274132563715655E-9</v>
      </c>
    </row>
    <row r="567" spans="1:5" ht="15" customHeight="1" x14ac:dyDescent="0.25">
      <c r="A567" s="81"/>
      <c r="B567" s="35" t="s">
        <v>1096</v>
      </c>
      <c r="D567" s="49">
        <f>D562*0.5*SQRT(D563/D566)</f>
        <v>4.2011398692792943</v>
      </c>
    </row>
    <row r="568" spans="1:5" ht="15" customHeight="1" x14ac:dyDescent="0.25">
      <c r="A568" s="81"/>
    </row>
    <row r="569" spans="1:5" ht="15" customHeight="1" x14ac:dyDescent="0.25">
      <c r="A569" s="74"/>
    </row>
    <row r="570" spans="1:5" ht="15" customHeight="1" x14ac:dyDescent="0.25">
      <c r="A570" s="81" t="s">
        <v>1151</v>
      </c>
      <c r="B570" t="s">
        <v>1152</v>
      </c>
      <c r="C570" t="s">
        <v>1153</v>
      </c>
      <c r="D570">
        <v>62500000</v>
      </c>
      <c r="E570" t="s">
        <v>68</v>
      </c>
    </row>
    <row r="571" spans="1:5" ht="15" customHeight="1" x14ac:dyDescent="0.25">
      <c r="A571" s="81"/>
      <c r="B571" t="s">
        <v>1154</v>
      </c>
      <c r="C571" t="s">
        <v>1167</v>
      </c>
      <c r="D571" s="1">
        <f>0.00000000035*2</f>
        <v>6.9999999999999996E-10</v>
      </c>
      <c r="E571" t="s">
        <v>23</v>
      </c>
    </row>
    <row r="572" spans="1:5" ht="15" customHeight="1" x14ac:dyDescent="0.25">
      <c r="A572" s="81"/>
      <c r="B572" t="s">
        <v>1155</v>
      </c>
      <c r="C572" t="s">
        <v>1156</v>
      </c>
      <c r="D572" s="1">
        <f>1/(POWER(2*PI()*D570, 2)*D571)</f>
        <v>9.2636510758708825E-9</v>
      </c>
      <c r="E572" t="s">
        <v>153</v>
      </c>
    </row>
    <row r="573" spans="1:5" ht="15" customHeight="1" x14ac:dyDescent="0.25">
      <c r="A573" s="81"/>
      <c r="B573" t="s">
        <v>1160</v>
      </c>
      <c r="C573" t="s">
        <v>1157</v>
      </c>
      <c r="D573" t="str">
        <f>""&amp;(D571*2)&amp;" to "&amp;(4*D571)</f>
        <v>0.0000000014 to 0.0000000028</v>
      </c>
      <c r="E573" t="s">
        <v>1158</v>
      </c>
    </row>
    <row r="574" spans="1:5" ht="15" customHeight="1" x14ac:dyDescent="0.25">
      <c r="A574" s="81"/>
      <c r="B574" t="s">
        <v>1161</v>
      </c>
      <c r="C574" t="s">
        <v>1159</v>
      </c>
      <c r="D574" s="1">
        <f>3*D571</f>
        <v>2.0999999999999998E-9</v>
      </c>
    </row>
    <row r="575" spans="1:5" ht="15" customHeight="1" x14ac:dyDescent="0.25">
      <c r="A575" s="81"/>
      <c r="B575" t="s">
        <v>1162</v>
      </c>
      <c r="D575">
        <f>SQRT(D572/D574)</f>
        <v>2.1003005539877795</v>
      </c>
    </row>
    <row r="576" spans="1:5" ht="15" customHeight="1" x14ac:dyDescent="0.25">
      <c r="A576" s="81"/>
      <c r="B576" t="s">
        <v>875</v>
      </c>
      <c r="D576">
        <f>D7</f>
        <v>44.1</v>
      </c>
      <c r="E576" t="s">
        <v>21</v>
      </c>
    </row>
    <row r="577" spans="1:5" ht="15" customHeight="1" x14ac:dyDescent="0.25">
      <c r="A577" s="81"/>
      <c r="B577" t="s">
        <v>1165</v>
      </c>
      <c r="D577">
        <f>D3</f>
        <v>16000</v>
      </c>
      <c r="E577" t="s">
        <v>68</v>
      </c>
    </row>
    <row r="578" spans="1:5" ht="15" customHeight="1" x14ac:dyDescent="0.25">
      <c r="A578" s="81"/>
      <c r="B578" t="s">
        <v>1163</v>
      </c>
      <c r="C578" t="s">
        <v>1164</v>
      </c>
      <c r="D578" s="1">
        <f>D574*POWER(D576, 2)*D577</f>
        <v>6.5345615999999995E-2</v>
      </c>
      <c r="E578" t="s">
        <v>22</v>
      </c>
    </row>
    <row r="579" spans="1:5" ht="15" customHeight="1" x14ac:dyDescent="0.25">
      <c r="A579" s="81"/>
      <c r="B579" t="s">
        <v>519</v>
      </c>
      <c r="C579" t="s">
        <v>1166</v>
      </c>
      <c r="D579">
        <f>D576/D575</f>
        <v>20.996994890216364</v>
      </c>
    </row>
    <row r="580" spans="1:5" ht="15" customHeight="1" x14ac:dyDescent="0.25">
      <c r="A580" s="81"/>
    </row>
    <row r="581" spans="1:5" ht="15" customHeight="1" x14ac:dyDescent="0.25">
      <c r="A581" s="81"/>
    </row>
    <row r="582" spans="1:5" ht="15" customHeight="1" x14ac:dyDescent="0.25">
      <c r="A582" s="81"/>
    </row>
    <row r="583" spans="1:5" ht="15" customHeight="1" x14ac:dyDescent="0.25">
      <c r="A583" s="46"/>
      <c r="D583" s="27"/>
    </row>
    <row r="584" spans="1:5" x14ac:dyDescent="0.25">
      <c r="A584" s="81" t="s">
        <v>679</v>
      </c>
      <c r="B584" t="s">
        <v>321</v>
      </c>
      <c r="D584" s="1">
        <f>D447</f>
        <v>3.260316426739867</v>
      </c>
      <c r="E584" t="s">
        <v>22</v>
      </c>
    </row>
    <row r="585" spans="1:5" x14ac:dyDescent="0.25">
      <c r="A585" s="81"/>
      <c r="C585" t="s">
        <v>680</v>
      </c>
      <c r="D585">
        <v>0.9</v>
      </c>
      <c r="E585" s="34" t="s">
        <v>681</v>
      </c>
    </row>
    <row r="586" spans="1:5" x14ac:dyDescent="0.25">
      <c r="A586" s="81"/>
      <c r="C586" t="s">
        <v>682</v>
      </c>
      <c r="D586">
        <v>0.15</v>
      </c>
      <c r="E586" s="35" t="s">
        <v>132</v>
      </c>
    </row>
    <row r="587" spans="1:5" x14ac:dyDescent="0.25">
      <c r="A587" s="81"/>
      <c r="C587" t="s">
        <v>683</v>
      </c>
      <c r="D587" s="1">
        <v>1.4999999999999999E-4</v>
      </c>
      <c r="E587" s="36" t="s">
        <v>206</v>
      </c>
    </row>
    <row r="588" spans="1:5" x14ac:dyDescent="0.25">
      <c r="A588" s="81"/>
      <c r="B588" t="s">
        <v>685</v>
      </c>
      <c r="C588" t="s">
        <v>686</v>
      </c>
      <c r="D588">
        <f>D586/(1000*D585*D587)</f>
        <v>1.1111111111111112</v>
      </c>
      <c r="E588" s="35"/>
    </row>
    <row r="589" spans="1:5" x14ac:dyDescent="0.25">
      <c r="A589" s="81"/>
      <c r="B589" t="s">
        <v>687</v>
      </c>
      <c r="C589" t="s">
        <v>688</v>
      </c>
      <c r="D589">
        <f>3.5+0.5</f>
        <v>4</v>
      </c>
      <c r="E589" s="35"/>
    </row>
    <row r="590" spans="1:5" x14ac:dyDescent="0.25">
      <c r="A590" s="81"/>
      <c r="B590" t="s">
        <v>689</v>
      </c>
      <c r="C590" t="s">
        <v>690</v>
      </c>
      <c r="D590">
        <v>6.6665999999999999</v>
      </c>
      <c r="E590" s="34"/>
    </row>
    <row r="591" spans="1:5" x14ac:dyDescent="0.25">
      <c r="A591" s="81"/>
      <c r="C591" t="s">
        <v>684</v>
      </c>
      <c r="D591" s="27">
        <f>D588+D589+D590</f>
        <v>11.77771111111111</v>
      </c>
      <c r="E591" s="34"/>
    </row>
    <row r="592" spans="1:5" x14ac:dyDescent="0.25">
      <c r="A592" s="81"/>
      <c r="B592" t="s">
        <v>692</v>
      </c>
      <c r="C592" t="s">
        <v>691</v>
      </c>
      <c r="D592" s="49">
        <f>D591*D584</f>
        <v>38.399065004952199</v>
      </c>
      <c r="E592" s="34"/>
    </row>
    <row r="593" spans="1:5" x14ac:dyDescent="0.25">
      <c r="A593" s="81"/>
      <c r="C593" t="s">
        <v>693</v>
      </c>
      <c r="D593">
        <v>35</v>
      </c>
      <c r="E593" s="34"/>
    </row>
    <row r="594" spans="1:5" x14ac:dyDescent="0.25">
      <c r="A594" s="81"/>
      <c r="C594" t="s">
        <v>694</v>
      </c>
      <c r="D594" s="49">
        <f>D593+D592</f>
        <v>73.399065004952206</v>
      </c>
      <c r="E594" s="34"/>
    </row>
    <row r="595" spans="1:5" x14ac:dyDescent="0.25">
      <c r="A595" s="81"/>
      <c r="C595" t="s">
        <v>695</v>
      </c>
      <c r="D595">
        <v>150</v>
      </c>
      <c r="E595" s="34"/>
    </row>
    <row r="596" spans="1:5" x14ac:dyDescent="0.25">
      <c r="A596" s="81"/>
      <c r="C596" t="s">
        <v>696</v>
      </c>
      <c r="D596" s="27" t="b">
        <f>D594&lt;D595/D4</f>
        <v>1</v>
      </c>
    </row>
    <row r="597" spans="1:5" x14ac:dyDescent="0.25">
      <c r="A597" s="81" t="s">
        <v>697</v>
      </c>
    </row>
    <row r="598" spans="1:5" x14ac:dyDescent="0.25">
      <c r="A598" s="81"/>
    </row>
    <row r="599" spans="1:5" x14ac:dyDescent="0.25">
      <c r="A599" s="81"/>
    </row>
    <row r="600" spans="1:5" x14ac:dyDescent="0.25">
      <c r="A600" s="81"/>
    </row>
    <row r="601" spans="1:5" x14ac:dyDescent="0.25">
      <c r="A601" s="82" t="s">
        <v>329</v>
      </c>
      <c r="B601" t="s">
        <v>39</v>
      </c>
      <c r="C601" t="s">
        <v>41</v>
      </c>
      <c r="D601">
        <f>D110</f>
        <v>0</v>
      </c>
    </row>
    <row r="602" spans="1:5" x14ac:dyDescent="0.25">
      <c r="A602" s="82"/>
      <c r="B602" t="s">
        <v>47</v>
      </c>
      <c r="D602">
        <f>D3</f>
        <v>16000</v>
      </c>
    </row>
    <row r="603" spans="1:5" x14ac:dyDescent="0.25">
      <c r="A603" s="82"/>
      <c r="B603" t="s">
        <v>230</v>
      </c>
      <c r="D603">
        <f>D236</f>
        <v>22.598870056497169</v>
      </c>
    </row>
    <row r="604" spans="1:5" x14ac:dyDescent="0.25">
      <c r="A604" s="82"/>
      <c r="C604" t="s">
        <v>333</v>
      </c>
      <c r="D604">
        <v>2</v>
      </c>
    </row>
    <row r="605" spans="1:5" x14ac:dyDescent="0.25">
      <c r="A605" s="82"/>
      <c r="C605" t="s">
        <v>335</v>
      </c>
      <c r="D605">
        <f>D604*D603</f>
        <v>45.197740112994339</v>
      </c>
    </row>
    <row r="606" spans="1:5" x14ac:dyDescent="0.25">
      <c r="A606" s="82"/>
      <c r="B606" t="s">
        <v>330</v>
      </c>
      <c r="C606" t="s">
        <v>331</v>
      </c>
      <c r="D606">
        <v>1E-3</v>
      </c>
    </row>
    <row r="607" spans="1:5" x14ac:dyDescent="0.25">
      <c r="A607" s="82"/>
      <c r="B607" t="s">
        <v>332</v>
      </c>
      <c r="C607" t="s">
        <v>334</v>
      </c>
      <c r="D607">
        <f>D606*D603</f>
        <v>2.2598870056497172E-2</v>
      </c>
    </row>
    <row r="608" spans="1:5" x14ac:dyDescent="0.25">
      <c r="A608" s="82"/>
      <c r="B608" t="s">
        <v>382</v>
      </c>
      <c r="C608" t="s">
        <v>383</v>
      </c>
      <c r="D608">
        <f>POWER(D603, 2)*D606/3</f>
        <v>0.1702363092768148</v>
      </c>
    </row>
    <row r="609" spans="1:5" x14ac:dyDescent="0.25">
      <c r="A609" s="82"/>
      <c r="B609" t="s">
        <v>337</v>
      </c>
      <c r="C609" t="s">
        <v>336</v>
      </c>
      <c r="D609">
        <f>POWER(D605, 2)*D606/3</f>
        <v>0.68094523710725918</v>
      </c>
    </row>
    <row r="610" spans="1:5" x14ac:dyDescent="0.25">
      <c r="A610" s="82"/>
      <c r="B610" t="s">
        <v>338</v>
      </c>
      <c r="C610" t="s">
        <v>334</v>
      </c>
      <c r="D610">
        <f>D603*D606</f>
        <v>2.2598870056497172E-2</v>
      </c>
    </row>
    <row r="611" spans="1:5" x14ac:dyDescent="0.25">
      <c r="A611" s="82"/>
      <c r="B611" t="s">
        <v>339</v>
      </c>
      <c r="C611" t="s">
        <v>340</v>
      </c>
      <c r="D611">
        <f>D605*D606</f>
        <v>4.5197740112994343E-2</v>
      </c>
    </row>
    <row r="612" spans="1:5" x14ac:dyDescent="0.25">
      <c r="A612" s="82"/>
      <c r="C612" t="s">
        <v>341</v>
      </c>
      <c r="D612">
        <f>2.5</f>
        <v>2.5</v>
      </c>
    </row>
    <row r="613" spans="1:5" x14ac:dyDescent="0.25">
      <c r="A613" s="82"/>
      <c r="B613" t="s">
        <v>372</v>
      </c>
      <c r="C613" t="s">
        <v>373</v>
      </c>
      <c r="D613" s="4" t="s">
        <v>374</v>
      </c>
    </row>
    <row r="614" spans="1:5" x14ac:dyDescent="0.25">
      <c r="A614" s="82"/>
      <c r="B614" t="s">
        <v>346</v>
      </c>
      <c r="C614" t="s">
        <v>345</v>
      </c>
      <c r="D614" s="1">
        <v>2.5000000000000001E-4</v>
      </c>
    </row>
    <row r="615" spans="1:5" x14ac:dyDescent="0.25">
      <c r="A615" s="82"/>
      <c r="B615" t="s">
        <v>347</v>
      </c>
      <c r="C615" t="s">
        <v>348</v>
      </c>
      <c r="D615" s="1">
        <v>5.0000000000000001E-9</v>
      </c>
    </row>
    <row r="616" spans="1:5" x14ac:dyDescent="0.25">
      <c r="A616" s="82"/>
      <c r="B616" t="s">
        <v>350</v>
      </c>
      <c r="C616" t="s">
        <v>349</v>
      </c>
      <c r="D616" s="1">
        <v>10000000</v>
      </c>
      <c r="E616" t="s">
        <v>68</v>
      </c>
    </row>
    <row r="617" spans="1:5" x14ac:dyDescent="0.25">
      <c r="A617" s="82"/>
      <c r="B617" t="s">
        <v>351</v>
      </c>
      <c r="C617" t="s">
        <v>352</v>
      </c>
      <c r="D617" s="25">
        <v>7000</v>
      </c>
      <c r="E617" t="s">
        <v>356</v>
      </c>
    </row>
    <row r="618" spans="1:5" x14ac:dyDescent="0.25">
      <c r="A618" s="82"/>
      <c r="B618" t="s">
        <v>353</v>
      </c>
      <c r="C618" t="s">
        <v>354</v>
      </c>
      <c r="D618" s="1">
        <f>D617*1000</f>
        <v>7000000</v>
      </c>
      <c r="E618" t="s">
        <v>355</v>
      </c>
    </row>
    <row r="619" spans="1:5" x14ac:dyDescent="0.25">
      <c r="A619" s="82"/>
      <c r="B619" s="26" t="s">
        <v>357</v>
      </c>
      <c r="C619" t="s">
        <v>358</v>
      </c>
      <c r="D619" s="26">
        <v>70</v>
      </c>
      <c r="E619" t="s">
        <v>359</v>
      </c>
    </row>
    <row r="620" spans="1:5" x14ac:dyDescent="0.25">
      <c r="A620" s="82"/>
      <c r="C620" t="s">
        <v>360</v>
      </c>
      <c r="D620">
        <f>D612/D611</f>
        <v>55.312500000000007</v>
      </c>
    </row>
    <row r="621" spans="1:5" x14ac:dyDescent="0.25">
      <c r="A621" s="82"/>
      <c r="B621" t="s">
        <v>375</v>
      </c>
      <c r="C621" t="s">
        <v>363</v>
      </c>
      <c r="D621">
        <f>D620-1</f>
        <v>54.312500000000007</v>
      </c>
    </row>
    <row r="622" spans="1:5" x14ac:dyDescent="0.25">
      <c r="A622" s="82"/>
      <c r="B622" t="s">
        <v>376</v>
      </c>
      <c r="D622">
        <f>20*LOG10(D621)</f>
        <v>34.697995875854836</v>
      </c>
    </row>
    <row r="623" spans="1:5" x14ac:dyDescent="0.25">
      <c r="A623" s="82"/>
      <c r="B623" t="s">
        <v>342</v>
      </c>
      <c r="D623">
        <v>56000</v>
      </c>
    </row>
    <row r="624" spans="1:5" x14ac:dyDescent="0.25">
      <c r="A624" s="82"/>
      <c r="B624" t="s">
        <v>344</v>
      </c>
      <c r="D624">
        <f>D623/D621</f>
        <v>1031.0701956271575</v>
      </c>
    </row>
    <row r="625" spans="1:5" x14ac:dyDescent="0.25">
      <c r="A625" s="82"/>
      <c r="B625" t="s">
        <v>343</v>
      </c>
      <c r="C625" t="s">
        <v>361</v>
      </c>
      <c r="D625">
        <v>1000</v>
      </c>
    </row>
    <row r="626" spans="1:5" x14ac:dyDescent="0.25">
      <c r="A626" s="82"/>
      <c r="B626" t="s">
        <v>377</v>
      </c>
      <c r="C626" t="s">
        <v>362</v>
      </c>
      <c r="D626">
        <f>1+(D623/D625)</f>
        <v>57</v>
      </c>
    </row>
    <row r="627" spans="1:5" x14ac:dyDescent="0.25">
      <c r="A627" s="82"/>
      <c r="C627" t="s">
        <v>393</v>
      </c>
      <c r="D627">
        <v>1E-3</v>
      </c>
    </row>
    <row r="628" spans="1:5" x14ac:dyDescent="0.25">
      <c r="A628" s="82"/>
      <c r="B628" t="s">
        <v>394</v>
      </c>
      <c r="D628">
        <f>D623*(1+D627)</f>
        <v>56055.999999999993</v>
      </c>
    </row>
    <row r="629" spans="1:5" x14ac:dyDescent="0.25">
      <c r="A629" s="82"/>
      <c r="B629" t="s">
        <v>395</v>
      </c>
      <c r="D629">
        <f>D623*(1-D627)</f>
        <v>55944</v>
      </c>
    </row>
    <row r="630" spans="1:5" x14ac:dyDescent="0.25">
      <c r="A630" s="82"/>
      <c r="B630" t="s">
        <v>396</v>
      </c>
      <c r="D630">
        <f>D625*(1+D627)</f>
        <v>1000.9999999999999</v>
      </c>
    </row>
    <row r="631" spans="1:5" x14ac:dyDescent="0.25">
      <c r="A631" s="82"/>
      <c r="B631" t="s">
        <v>397</v>
      </c>
      <c r="D631">
        <f>D625*(1-D627)</f>
        <v>999</v>
      </c>
    </row>
    <row r="632" spans="1:5" x14ac:dyDescent="0.25">
      <c r="A632" s="82"/>
      <c r="B632" t="s">
        <v>391</v>
      </c>
      <c r="C632" t="s">
        <v>392</v>
      </c>
      <c r="D632">
        <f>1+(D628/D631)</f>
        <v>57.112112112112108</v>
      </c>
    </row>
    <row r="633" spans="1:5" x14ac:dyDescent="0.25">
      <c r="A633" s="82"/>
      <c r="B633" t="s">
        <v>398</v>
      </c>
      <c r="C633" t="s">
        <v>392</v>
      </c>
      <c r="D633">
        <f>1+(D629/D630)</f>
        <v>56.888111888111894</v>
      </c>
    </row>
    <row r="634" spans="1:5" x14ac:dyDescent="0.25">
      <c r="A634" s="82"/>
      <c r="C634" t="s">
        <v>399</v>
      </c>
      <c r="D634">
        <f>MAX(ABS((D632-D626)/D626), ABS((D633-D626)/D626))</f>
        <v>1.9668791598615406E-3</v>
      </c>
    </row>
    <row r="635" spans="1:5" x14ac:dyDescent="0.25">
      <c r="A635" s="82"/>
      <c r="C635" t="s">
        <v>400</v>
      </c>
      <c r="D635">
        <f>100*D634</f>
        <v>0.19668791598615407</v>
      </c>
      <c r="E635" t="s">
        <v>161</v>
      </c>
    </row>
    <row r="636" spans="1:5" x14ac:dyDescent="0.25">
      <c r="A636" s="82"/>
      <c r="B636" t="s">
        <v>378</v>
      </c>
      <c r="D636">
        <f>20*LOG10(D626)</f>
        <v>35.117497113449829</v>
      </c>
    </row>
    <row r="637" spans="1:5" x14ac:dyDescent="0.25">
      <c r="A637" s="82"/>
      <c r="C637" t="s">
        <v>367</v>
      </c>
      <c r="D637" t="b">
        <f>ABS((D626-D620)/D620)&lt;0.02</f>
        <v>0</v>
      </c>
    </row>
    <row r="638" spans="1:5" x14ac:dyDescent="0.25">
      <c r="A638" s="82"/>
      <c r="C638" t="s">
        <v>379</v>
      </c>
      <c r="D638" t="b">
        <f>D619&gt;D636</f>
        <v>1</v>
      </c>
    </row>
    <row r="639" spans="1:5" x14ac:dyDescent="0.25">
      <c r="A639" s="82"/>
      <c r="B639" t="s">
        <v>365</v>
      </c>
      <c r="C639" t="s">
        <v>364</v>
      </c>
      <c r="D639" s="1">
        <f>D614/D606</f>
        <v>0.25</v>
      </c>
    </row>
    <row r="640" spans="1:5" x14ac:dyDescent="0.25">
      <c r="A640" s="82"/>
      <c r="C640" t="s">
        <v>380</v>
      </c>
      <c r="D640" s="1">
        <f>D603/20</f>
        <v>1.1299435028248586</v>
      </c>
    </row>
    <row r="641" spans="1:5" x14ac:dyDescent="0.25">
      <c r="A641" s="82"/>
      <c r="C641" t="s">
        <v>381</v>
      </c>
      <c r="D641" s="1" t="b">
        <f>D639&lt;D640</f>
        <v>1</v>
      </c>
    </row>
    <row r="642" spans="1:5" x14ac:dyDescent="0.25">
      <c r="A642" s="82"/>
      <c r="B642" t="s">
        <v>366</v>
      </c>
      <c r="D642">
        <f>D616/D626</f>
        <v>175438.59649122806</v>
      </c>
    </row>
    <row r="643" spans="1:5" x14ac:dyDescent="0.25">
      <c r="A643" s="82"/>
      <c r="C643" t="s">
        <v>371</v>
      </c>
      <c r="D643">
        <f>D602*D626</f>
        <v>912000</v>
      </c>
    </row>
    <row r="644" spans="1:5" x14ac:dyDescent="0.25">
      <c r="A644" s="82"/>
      <c r="C644" t="s">
        <v>368</v>
      </c>
      <c r="D644" t="b">
        <f>D642&gt;=D3</f>
        <v>1</v>
      </c>
    </row>
    <row r="645" spans="1:5" x14ac:dyDescent="0.25">
      <c r="A645" s="82"/>
    </row>
    <row r="646" spans="1:5" x14ac:dyDescent="0.25">
      <c r="A646" s="82"/>
      <c r="C646" t="s">
        <v>369</v>
      </c>
      <c r="D646" t="e">
        <f>D612*D602/D601</f>
        <v>#DIV/0!</v>
      </c>
      <c r="E646" t="s">
        <v>355</v>
      </c>
    </row>
    <row r="647" spans="1:5" x14ac:dyDescent="0.25">
      <c r="A647" s="82"/>
      <c r="C647" t="s">
        <v>369</v>
      </c>
      <c r="D647" t="e">
        <f>D646/1000</f>
        <v>#DIV/0!</v>
      </c>
      <c r="E647" t="s">
        <v>356</v>
      </c>
    </row>
    <row r="648" spans="1:5" x14ac:dyDescent="0.25">
      <c r="A648" s="82"/>
      <c r="C648" t="s">
        <v>370</v>
      </c>
      <c r="D648" t="e">
        <f>D646&lt;=D618</f>
        <v>#DIV/0!</v>
      </c>
    </row>
    <row r="649" spans="1:5" x14ac:dyDescent="0.25">
      <c r="A649" s="82"/>
      <c r="B649" t="s">
        <v>384</v>
      </c>
      <c r="D649">
        <f>(D623*D625)/(D623+D625)</f>
        <v>982.45614035087715</v>
      </c>
    </row>
    <row r="650" spans="1:5" x14ac:dyDescent="0.25">
      <c r="A650" s="82"/>
      <c r="B650" t="s">
        <v>385</v>
      </c>
      <c r="D650">
        <f>D606</f>
        <v>1E-3</v>
      </c>
    </row>
    <row r="651" spans="1:5" x14ac:dyDescent="0.25">
      <c r="A651" s="82"/>
    </row>
    <row r="652" spans="1:5" x14ac:dyDescent="0.25">
      <c r="A652" s="82"/>
    </row>
    <row r="653" spans="1:5" x14ac:dyDescent="0.25">
      <c r="A653" s="82"/>
      <c r="B653" t="s">
        <v>387</v>
      </c>
      <c r="C653" s="27" t="s">
        <v>386</v>
      </c>
      <c r="D653">
        <f>D615*(D649-D650)</f>
        <v>4.9122757017543856E-6</v>
      </c>
      <c r="E653" t="s">
        <v>21</v>
      </c>
    </row>
    <row r="654" spans="1:5" x14ac:dyDescent="0.25">
      <c r="A654" s="82"/>
      <c r="B654" t="s">
        <v>388</v>
      </c>
      <c r="C654" t="s">
        <v>389</v>
      </c>
      <c r="D654" s="1">
        <f>D626*D614</f>
        <v>1.4250000000000001E-2</v>
      </c>
    </row>
    <row r="655" spans="1:5" x14ac:dyDescent="0.25">
      <c r="A655" s="82"/>
      <c r="B655" t="s">
        <v>390</v>
      </c>
      <c r="D655" s="1">
        <f>D654+D653</f>
        <v>1.4254912275701755E-2</v>
      </c>
    </row>
    <row r="656" spans="1:5" x14ac:dyDescent="0.25">
      <c r="A656" s="82"/>
      <c r="B656" t="s">
        <v>401</v>
      </c>
      <c r="C656" t="s">
        <v>402</v>
      </c>
      <c r="D656">
        <f>D606*D626</f>
        <v>5.7000000000000002E-2</v>
      </c>
    </row>
    <row r="657" spans="1:5" x14ac:dyDescent="0.25">
      <c r="A657" s="82"/>
      <c r="B657" t="s">
        <v>403</v>
      </c>
      <c r="D657">
        <f>D656*D634</f>
        <v>1.1211211211210782E-4</v>
      </c>
    </row>
    <row r="658" spans="1:5" x14ac:dyDescent="0.25">
      <c r="A658" s="82"/>
      <c r="B658" t="s">
        <v>404</v>
      </c>
      <c r="D658" s="1">
        <f>D657+D655</f>
        <v>1.4367024387813862E-2</v>
      </c>
    </row>
    <row r="659" spans="1:5" x14ac:dyDescent="0.25">
      <c r="A659" s="82"/>
      <c r="B659" t="s">
        <v>405</v>
      </c>
      <c r="D659" s="1">
        <f>(D657*D603)+D655</f>
        <v>1.6788519329082721E-2</v>
      </c>
    </row>
    <row r="660" spans="1:5" x14ac:dyDescent="0.25">
      <c r="A660" s="82"/>
      <c r="B660" t="s">
        <v>406</v>
      </c>
      <c r="D660" s="1">
        <f>(D657*D605)+D655</f>
        <v>1.9322126382463688E-2</v>
      </c>
    </row>
    <row r="661" spans="1:5" x14ac:dyDescent="0.25">
      <c r="A661" s="82"/>
      <c r="C661" t="s">
        <v>407</v>
      </c>
      <c r="D661">
        <f>1/D656</f>
        <v>17.543859649122805</v>
      </c>
    </row>
    <row r="662" spans="1:5" x14ac:dyDescent="0.25">
      <c r="A662" s="82"/>
      <c r="B662" t="s">
        <v>408</v>
      </c>
      <c r="D662" s="1">
        <f>D658*D659</f>
        <v>2.4120106663621586E-4</v>
      </c>
    </row>
    <row r="663" spans="1:5" x14ac:dyDescent="0.25">
      <c r="A663" s="82"/>
      <c r="B663" t="s">
        <v>409</v>
      </c>
      <c r="D663" s="1">
        <f>D659*D661</f>
        <v>0.29453542682601264</v>
      </c>
    </row>
    <row r="664" spans="1:5" x14ac:dyDescent="0.25">
      <c r="A664" s="82"/>
      <c r="B664" t="s">
        <v>410</v>
      </c>
      <c r="D664" s="1">
        <f>D660*D661</f>
        <v>0.33898467337655586</v>
      </c>
    </row>
    <row r="665" spans="1:5" x14ac:dyDescent="0.25">
      <c r="A665" s="82"/>
      <c r="B665" t="s">
        <v>408</v>
      </c>
      <c r="D665" s="1">
        <f>D662*100</f>
        <v>2.4120106663621587E-2</v>
      </c>
      <c r="E665" t="s">
        <v>161</v>
      </c>
    </row>
    <row r="666" spans="1:5" x14ac:dyDescent="0.25">
      <c r="A666" s="82"/>
      <c r="B666" t="s">
        <v>409</v>
      </c>
      <c r="D666" s="1">
        <f>(D663/D603)*100</f>
        <v>1.3033192637051061</v>
      </c>
      <c r="E666" t="s">
        <v>161</v>
      </c>
    </row>
    <row r="667" spans="1:5" x14ac:dyDescent="0.25">
      <c r="A667" s="82"/>
      <c r="B667" t="s">
        <v>410</v>
      </c>
      <c r="D667">
        <f>(D664/D605)*100</f>
        <v>0.75000358984562998</v>
      </c>
      <c r="E667" t="s">
        <v>161</v>
      </c>
    </row>
    <row r="668" spans="1:5" x14ac:dyDescent="0.25">
      <c r="A668" s="42"/>
    </row>
    <row r="669" spans="1:5" x14ac:dyDescent="0.25">
      <c r="A669" s="81" t="s">
        <v>1005</v>
      </c>
      <c r="B669" t="s">
        <v>829</v>
      </c>
      <c r="C669" t="s">
        <v>802</v>
      </c>
      <c r="D669">
        <f>D116</f>
        <v>22.598870056497169</v>
      </c>
      <c r="E669" t="s">
        <v>20</v>
      </c>
    </row>
    <row r="670" spans="1:5" x14ac:dyDescent="0.25">
      <c r="A670" s="81"/>
      <c r="B670" t="s">
        <v>828</v>
      </c>
      <c r="D670" s="27">
        <f>D669/SQRT(3)</f>
        <v>13.047463710500015</v>
      </c>
      <c r="E670" t="s">
        <v>20</v>
      </c>
    </row>
    <row r="671" spans="1:5" ht="15.75" x14ac:dyDescent="0.3">
      <c r="A671" s="81"/>
      <c r="B671" s="44" t="s">
        <v>804</v>
      </c>
      <c r="C671" t="s">
        <v>803</v>
      </c>
      <c r="D671" s="50">
        <f xml:space="preserve"> 40</f>
        <v>40</v>
      </c>
      <c r="E671" t="s">
        <v>20</v>
      </c>
    </row>
    <row r="672" spans="1:5" ht="15.75" x14ac:dyDescent="0.3">
      <c r="A672" s="81"/>
      <c r="B672" s="44" t="s">
        <v>806</v>
      </c>
      <c r="C672" t="s">
        <v>805</v>
      </c>
      <c r="D672" s="9">
        <f>D671/SQRT(3)</f>
        <v>23.094010767585033</v>
      </c>
      <c r="E672" t="s">
        <v>20</v>
      </c>
    </row>
    <row r="673" spans="1:5" ht="15.75" x14ac:dyDescent="0.3">
      <c r="A673" s="81"/>
      <c r="B673" s="44" t="s">
        <v>791</v>
      </c>
      <c r="C673" t="s">
        <v>792</v>
      </c>
      <c r="D673" s="7">
        <f>D3</f>
        <v>16000</v>
      </c>
      <c r="E673" t="s">
        <v>68</v>
      </c>
    </row>
    <row r="674" spans="1:5" ht="15.75" x14ac:dyDescent="0.3">
      <c r="A674" s="81"/>
      <c r="B674" s="44" t="s">
        <v>793</v>
      </c>
      <c r="C674" t="s">
        <v>794</v>
      </c>
      <c r="D674" s="65">
        <v>200</v>
      </c>
    </row>
    <row r="675" spans="1:5" ht="15.75" x14ac:dyDescent="0.3">
      <c r="A675" s="81"/>
      <c r="B675" s="44" t="s">
        <v>818</v>
      </c>
      <c r="D675" s="9">
        <f>D669/D674</f>
        <v>0.11299435028248585</v>
      </c>
      <c r="E675" t="s">
        <v>20</v>
      </c>
    </row>
    <row r="676" spans="1:5" x14ac:dyDescent="0.25">
      <c r="A676" s="81"/>
      <c r="B676" t="s">
        <v>807</v>
      </c>
      <c r="D676" s="9">
        <f>D671/D674</f>
        <v>0.2</v>
      </c>
      <c r="E676" t="s">
        <v>20</v>
      </c>
    </row>
    <row r="677" spans="1:5" x14ac:dyDescent="0.25">
      <c r="A677" s="81"/>
      <c r="B677" t="s">
        <v>827</v>
      </c>
      <c r="D677" s="9">
        <f>D670/D674</f>
        <v>6.5237318552500076E-2</v>
      </c>
      <c r="E677" t="s">
        <v>20</v>
      </c>
    </row>
    <row r="678" spans="1:5" x14ac:dyDescent="0.25">
      <c r="A678" s="81"/>
      <c r="B678" t="s">
        <v>808</v>
      </c>
      <c r="D678" s="9">
        <f>D672/D674</f>
        <v>0.11547005383792516</v>
      </c>
      <c r="E678" t="s">
        <v>20</v>
      </c>
    </row>
    <row r="679" spans="1:5" x14ac:dyDescent="0.25">
      <c r="A679" s="81"/>
      <c r="B679" t="s">
        <v>795</v>
      </c>
      <c r="C679" t="s">
        <v>809</v>
      </c>
      <c r="D679" s="65">
        <v>2</v>
      </c>
      <c r="E679" t="s">
        <v>21</v>
      </c>
    </row>
    <row r="680" spans="1:5" x14ac:dyDescent="0.25">
      <c r="A680" s="81"/>
      <c r="B680" t="s">
        <v>796</v>
      </c>
      <c r="C680" t="s">
        <v>797</v>
      </c>
      <c r="D680" s="50">
        <v>1.05</v>
      </c>
      <c r="E680" t="s">
        <v>21</v>
      </c>
    </row>
    <row r="681" spans="1:5" x14ac:dyDescent="0.25">
      <c r="A681" s="81"/>
      <c r="B681" t="s">
        <v>799</v>
      </c>
      <c r="C681" t="s">
        <v>798</v>
      </c>
      <c r="D681" s="27">
        <f>(D679)/D676</f>
        <v>10</v>
      </c>
      <c r="E681" s="8" t="s">
        <v>24</v>
      </c>
    </row>
    <row r="682" spans="1:5" x14ac:dyDescent="0.25">
      <c r="A682" s="81"/>
      <c r="B682" t="s">
        <v>800</v>
      </c>
      <c r="C682" t="s">
        <v>801</v>
      </c>
      <c r="D682" s="50">
        <f>D681</f>
        <v>10</v>
      </c>
      <c r="E682" s="8" t="s">
        <v>24</v>
      </c>
    </row>
    <row r="683" spans="1:5" x14ac:dyDescent="0.25">
      <c r="A683" s="81"/>
      <c r="B683" t="s">
        <v>813</v>
      </c>
      <c r="C683" t="s">
        <v>812</v>
      </c>
      <c r="D683" s="27">
        <f xml:space="preserve"> D676*D682</f>
        <v>2</v>
      </c>
      <c r="E683" t="s">
        <v>21</v>
      </c>
    </row>
    <row r="684" spans="1:5" x14ac:dyDescent="0.25">
      <c r="A684" s="81"/>
    </row>
    <row r="685" spans="1:5" x14ac:dyDescent="0.25">
      <c r="A685" s="81"/>
      <c r="B685" t="s">
        <v>815</v>
      </c>
      <c r="C685" t="s">
        <v>810</v>
      </c>
      <c r="D685" s="27">
        <f xml:space="preserve"> POWER(D676, 2)*D682</f>
        <v>0.40000000000000008</v>
      </c>
      <c r="E685" t="s">
        <v>22</v>
      </c>
    </row>
    <row r="686" spans="1:5" x14ac:dyDescent="0.25">
      <c r="A686" s="81"/>
      <c r="B686" t="s">
        <v>823</v>
      </c>
      <c r="C686" t="s">
        <v>826</v>
      </c>
      <c r="D686" s="27">
        <f>POWER(D678, 2)*D682</f>
        <v>0.13333333333333336</v>
      </c>
      <c r="E686" t="s">
        <v>22</v>
      </c>
    </row>
    <row r="687" spans="1:5" x14ac:dyDescent="0.25">
      <c r="A687" s="81"/>
      <c r="B687" t="s">
        <v>817</v>
      </c>
      <c r="C687" t="s">
        <v>816</v>
      </c>
      <c r="D687" s="27">
        <f>POWER(D675, 2)*D682</f>
        <v>0.1276772319576111</v>
      </c>
      <c r="E687" t="s">
        <v>22</v>
      </c>
    </row>
    <row r="688" spans="1:5" x14ac:dyDescent="0.25">
      <c r="A688" s="81"/>
      <c r="B688" t="s">
        <v>824</v>
      </c>
      <c r="C688" t="s">
        <v>825</v>
      </c>
      <c r="D688" s="27">
        <f>POWER(D677, 2)*D682</f>
        <v>4.2559077319203706E-2</v>
      </c>
      <c r="E688" t="s">
        <v>22</v>
      </c>
    </row>
    <row r="689" spans="1:102" x14ac:dyDescent="0.25">
      <c r="A689" s="81"/>
      <c r="B689" t="s">
        <v>814</v>
      </c>
      <c r="C689" t="s">
        <v>811</v>
      </c>
      <c r="D689" s="27">
        <f>D680*D676</f>
        <v>0.21000000000000002</v>
      </c>
      <c r="E689" t="s">
        <v>22</v>
      </c>
    </row>
    <row r="690" spans="1:102" x14ac:dyDescent="0.25">
      <c r="A690" s="81"/>
      <c r="B690" t="s">
        <v>819</v>
      </c>
      <c r="C690" t="s">
        <v>820</v>
      </c>
      <c r="D690" s="27">
        <f>D680*D675</f>
        <v>0.11864406779661014</v>
      </c>
    </row>
    <row r="691" spans="1:102" x14ac:dyDescent="0.25">
      <c r="A691" s="81"/>
      <c r="D691" s="27"/>
    </row>
    <row r="692" spans="1:102" x14ac:dyDescent="0.25">
      <c r="A692" s="81"/>
      <c r="B692" t="s">
        <v>830</v>
      </c>
      <c r="C692" t="s">
        <v>831</v>
      </c>
      <c r="D692" s="27">
        <f>D682+(2*(D680/D676))</f>
        <v>20.5</v>
      </c>
      <c r="E692" s="8" t="s">
        <v>24</v>
      </c>
    </row>
    <row r="693" spans="1:102" x14ac:dyDescent="0.25">
      <c r="A693" s="81"/>
      <c r="B693" t="s">
        <v>821</v>
      </c>
      <c r="C693" t="s">
        <v>822</v>
      </c>
      <c r="D693" s="27">
        <f>D675*D682</f>
        <v>1.1299435028248586</v>
      </c>
      <c r="E693" t="s">
        <v>21</v>
      </c>
    </row>
    <row r="694" spans="1:102" x14ac:dyDescent="0.25">
      <c r="A694" s="81"/>
      <c r="B694" t="s">
        <v>832</v>
      </c>
      <c r="C694" t="s">
        <v>833</v>
      </c>
      <c r="D694" s="27">
        <f>D676</f>
        <v>0.2</v>
      </c>
    </row>
    <row r="695" spans="1:102" x14ac:dyDescent="0.25">
      <c r="A695" s="81"/>
      <c r="B695" t="s">
        <v>834</v>
      </c>
      <c r="C695" t="s">
        <v>835</v>
      </c>
      <c r="D695" t="s">
        <v>509</v>
      </c>
    </row>
    <row r="696" spans="1:102" x14ac:dyDescent="0.25">
      <c r="A696" s="81"/>
      <c r="B696" t="s">
        <v>836</v>
      </c>
      <c r="C696" t="s">
        <v>837</v>
      </c>
    </row>
    <row r="697" spans="1:102" x14ac:dyDescent="0.25">
      <c r="A697" s="81"/>
      <c r="B697" t="s">
        <v>838</v>
      </c>
      <c r="C697" t="s">
        <v>839</v>
      </c>
      <c r="D697" s="50">
        <v>100</v>
      </c>
      <c r="E697" s="8" t="s">
        <v>24</v>
      </c>
    </row>
    <row r="698" spans="1:102" x14ac:dyDescent="0.25">
      <c r="A698" s="81"/>
      <c r="B698" t="s">
        <v>840</v>
      </c>
      <c r="D698">
        <f xml:space="preserve"> (1/D673)/2</f>
        <v>3.1250000000000001E-5</v>
      </c>
      <c r="E698" s="8"/>
    </row>
    <row r="699" spans="1:102" x14ac:dyDescent="0.25">
      <c r="A699" s="81"/>
      <c r="B699" t="s">
        <v>841</v>
      </c>
      <c r="C699" t="s">
        <v>842</v>
      </c>
      <c r="D699">
        <v>100</v>
      </c>
      <c r="E699" s="8"/>
    </row>
    <row r="700" spans="1:102" x14ac:dyDescent="0.25">
      <c r="A700" s="81"/>
      <c r="B700" t="s">
        <v>692</v>
      </c>
      <c r="C700" t="s">
        <v>843</v>
      </c>
      <c r="D700">
        <f>D698/D699</f>
        <v>3.1250000000000003E-7</v>
      </c>
      <c r="E700" s="8"/>
    </row>
    <row r="701" spans="1:102" x14ac:dyDescent="0.25">
      <c r="A701" s="81"/>
      <c r="B701" t="s">
        <v>846</v>
      </c>
      <c r="C701">
        <f>D671</f>
        <v>40</v>
      </c>
      <c r="D701">
        <f>D671</f>
        <v>40</v>
      </c>
      <c r="E701" s="8">
        <f>D701</f>
        <v>40</v>
      </c>
      <c r="F701">
        <f>E701</f>
        <v>40</v>
      </c>
      <c r="G701">
        <f t="shared" ref="G701:BR701" si="35">F701</f>
        <v>40</v>
      </c>
      <c r="H701">
        <f t="shared" si="35"/>
        <v>40</v>
      </c>
      <c r="I701">
        <f t="shared" si="35"/>
        <v>40</v>
      </c>
      <c r="J701">
        <f t="shared" si="35"/>
        <v>40</v>
      </c>
      <c r="K701">
        <f t="shared" si="35"/>
        <v>40</v>
      </c>
      <c r="L701">
        <f t="shared" si="35"/>
        <v>40</v>
      </c>
      <c r="M701">
        <f t="shared" si="35"/>
        <v>40</v>
      </c>
      <c r="N701">
        <f t="shared" si="35"/>
        <v>40</v>
      </c>
      <c r="O701">
        <f t="shared" si="35"/>
        <v>40</v>
      </c>
      <c r="P701">
        <f t="shared" si="35"/>
        <v>40</v>
      </c>
      <c r="Q701">
        <f t="shared" si="35"/>
        <v>40</v>
      </c>
      <c r="R701">
        <f t="shared" si="35"/>
        <v>40</v>
      </c>
      <c r="S701">
        <f t="shared" si="35"/>
        <v>40</v>
      </c>
      <c r="T701">
        <f t="shared" si="35"/>
        <v>40</v>
      </c>
      <c r="U701">
        <f t="shared" si="35"/>
        <v>40</v>
      </c>
      <c r="V701">
        <f t="shared" si="35"/>
        <v>40</v>
      </c>
      <c r="W701">
        <f t="shared" si="35"/>
        <v>40</v>
      </c>
      <c r="X701">
        <f t="shared" si="35"/>
        <v>40</v>
      </c>
      <c r="Y701">
        <f t="shared" si="35"/>
        <v>40</v>
      </c>
      <c r="Z701">
        <f t="shared" si="35"/>
        <v>40</v>
      </c>
      <c r="AA701">
        <f t="shared" si="35"/>
        <v>40</v>
      </c>
      <c r="AB701">
        <f t="shared" si="35"/>
        <v>40</v>
      </c>
      <c r="AC701">
        <f t="shared" si="35"/>
        <v>40</v>
      </c>
      <c r="AD701">
        <f t="shared" si="35"/>
        <v>40</v>
      </c>
      <c r="AE701">
        <f t="shared" si="35"/>
        <v>40</v>
      </c>
      <c r="AF701">
        <f t="shared" si="35"/>
        <v>40</v>
      </c>
      <c r="AG701">
        <f t="shared" si="35"/>
        <v>40</v>
      </c>
      <c r="AH701">
        <f t="shared" si="35"/>
        <v>40</v>
      </c>
      <c r="AI701">
        <f t="shared" si="35"/>
        <v>40</v>
      </c>
      <c r="AJ701">
        <f t="shared" si="35"/>
        <v>40</v>
      </c>
      <c r="AK701">
        <f t="shared" si="35"/>
        <v>40</v>
      </c>
      <c r="AL701">
        <f t="shared" si="35"/>
        <v>40</v>
      </c>
      <c r="AM701">
        <f t="shared" si="35"/>
        <v>40</v>
      </c>
      <c r="AN701">
        <f t="shared" si="35"/>
        <v>40</v>
      </c>
      <c r="AO701">
        <f t="shared" si="35"/>
        <v>40</v>
      </c>
      <c r="AP701">
        <f t="shared" si="35"/>
        <v>40</v>
      </c>
      <c r="AQ701">
        <f t="shared" si="35"/>
        <v>40</v>
      </c>
      <c r="AR701">
        <f t="shared" si="35"/>
        <v>40</v>
      </c>
      <c r="AS701">
        <f t="shared" si="35"/>
        <v>40</v>
      </c>
      <c r="AT701">
        <f t="shared" si="35"/>
        <v>40</v>
      </c>
      <c r="AU701">
        <f t="shared" si="35"/>
        <v>40</v>
      </c>
      <c r="AV701">
        <f t="shared" si="35"/>
        <v>40</v>
      </c>
      <c r="AW701">
        <f t="shared" si="35"/>
        <v>40</v>
      </c>
      <c r="AX701">
        <f t="shared" si="35"/>
        <v>40</v>
      </c>
      <c r="AY701">
        <f t="shared" si="35"/>
        <v>40</v>
      </c>
      <c r="AZ701">
        <f t="shared" si="35"/>
        <v>40</v>
      </c>
      <c r="BA701">
        <f t="shared" si="35"/>
        <v>40</v>
      </c>
      <c r="BB701">
        <f t="shared" si="35"/>
        <v>40</v>
      </c>
      <c r="BC701">
        <f t="shared" si="35"/>
        <v>40</v>
      </c>
      <c r="BD701">
        <f t="shared" si="35"/>
        <v>40</v>
      </c>
      <c r="BE701">
        <f t="shared" si="35"/>
        <v>40</v>
      </c>
      <c r="BF701">
        <f t="shared" si="35"/>
        <v>40</v>
      </c>
      <c r="BG701">
        <f t="shared" si="35"/>
        <v>40</v>
      </c>
      <c r="BH701">
        <f t="shared" si="35"/>
        <v>40</v>
      </c>
      <c r="BI701">
        <f t="shared" si="35"/>
        <v>40</v>
      </c>
      <c r="BJ701">
        <f t="shared" si="35"/>
        <v>40</v>
      </c>
      <c r="BK701">
        <f t="shared" si="35"/>
        <v>40</v>
      </c>
      <c r="BL701">
        <f t="shared" si="35"/>
        <v>40</v>
      </c>
      <c r="BM701">
        <f t="shared" si="35"/>
        <v>40</v>
      </c>
      <c r="BN701">
        <f t="shared" si="35"/>
        <v>40</v>
      </c>
      <c r="BO701">
        <f t="shared" si="35"/>
        <v>40</v>
      </c>
      <c r="BP701">
        <f t="shared" si="35"/>
        <v>40</v>
      </c>
      <c r="BQ701">
        <f t="shared" si="35"/>
        <v>40</v>
      </c>
      <c r="BR701">
        <f t="shared" si="35"/>
        <v>40</v>
      </c>
      <c r="BS701">
        <f t="shared" ref="BS701:CX701" si="36">BR701</f>
        <v>40</v>
      </c>
      <c r="BT701">
        <f t="shared" si="36"/>
        <v>40</v>
      </c>
      <c r="BU701">
        <f t="shared" si="36"/>
        <v>40</v>
      </c>
      <c r="BV701">
        <f t="shared" si="36"/>
        <v>40</v>
      </c>
      <c r="BW701">
        <f t="shared" si="36"/>
        <v>40</v>
      </c>
      <c r="BX701">
        <f t="shared" si="36"/>
        <v>40</v>
      </c>
      <c r="BY701">
        <f t="shared" si="36"/>
        <v>40</v>
      </c>
      <c r="BZ701">
        <f t="shared" si="36"/>
        <v>40</v>
      </c>
      <c r="CA701">
        <f t="shared" si="36"/>
        <v>40</v>
      </c>
      <c r="CB701">
        <f t="shared" si="36"/>
        <v>40</v>
      </c>
      <c r="CC701">
        <f t="shared" si="36"/>
        <v>40</v>
      </c>
      <c r="CD701">
        <f t="shared" si="36"/>
        <v>40</v>
      </c>
      <c r="CE701">
        <f t="shared" si="36"/>
        <v>40</v>
      </c>
      <c r="CF701">
        <f t="shared" si="36"/>
        <v>40</v>
      </c>
      <c r="CG701">
        <f t="shared" si="36"/>
        <v>40</v>
      </c>
      <c r="CH701">
        <f t="shared" si="36"/>
        <v>40</v>
      </c>
      <c r="CI701">
        <f t="shared" si="36"/>
        <v>40</v>
      </c>
      <c r="CJ701">
        <f t="shared" si="36"/>
        <v>40</v>
      </c>
      <c r="CK701">
        <f t="shared" si="36"/>
        <v>40</v>
      </c>
      <c r="CL701">
        <f t="shared" si="36"/>
        <v>40</v>
      </c>
      <c r="CM701">
        <f t="shared" si="36"/>
        <v>40</v>
      </c>
      <c r="CN701">
        <f t="shared" si="36"/>
        <v>40</v>
      </c>
      <c r="CO701">
        <f t="shared" si="36"/>
        <v>40</v>
      </c>
      <c r="CP701">
        <f t="shared" si="36"/>
        <v>40</v>
      </c>
      <c r="CQ701">
        <f t="shared" si="36"/>
        <v>40</v>
      </c>
      <c r="CR701">
        <f t="shared" si="36"/>
        <v>40</v>
      </c>
      <c r="CS701">
        <f t="shared" si="36"/>
        <v>40</v>
      </c>
      <c r="CT701">
        <f t="shared" si="36"/>
        <v>40</v>
      </c>
      <c r="CU701">
        <f t="shared" si="36"/>
        <v>40</v>
      </c>
      <c r="CV701">
        <f t="shared" si="36"/>
        <v>40</v>
      </c>
      <c r="CW701">
        <f t="shared" si="36"/>
        <v>40</v>
      </c>
      <c r="CX701">
        <f t="shared" si="36"/>
        <v>40</v>
      </c>
    </row>
    <row r="702" spans="1:102" x14ac:dyDescent="0.25">
      <c r="A702" s="81"/>
      <c r="B702" t="s">
        <v>844</v>
      </c>
      <c r="C702">
        <v>1</v>
      </c>
      <c r="D702">
        <v>2</v>
      </c>
      <c r="E702" s="8">
        <v>3</v>
      </c>
      <c r="F702">
        <v>4</v>
      </c>
      <c r="G702" s="8">
        <v>5</v>
      </c>
      <c r="H702">
        <v>6</v>
      </c>
      <c r="I702" s="8">
        <v>7</v>
      </c>
      <c r="J702">
        <v>8</v>
      </c>
      <c r="K702" s="8">
        <v>9</v>
      </c>
      <c r="L702">
        <v>10</v>
      </c>
      <c r="M702" s="8">
        <v>11</v>
      </c>
      <c r="N702">
        <v>12</v>
      </c>
      <c r="O702" s="8">
        <v>13</v>
      </c>
      <c r="P702">
        <v>14</v>
      </c>
      <c r="Q702" s="8">
        <v>15</v>
      </c>
      <c r="R702">
        <v>16</v>
      </c>
      <c r="S702" s="8">
        <v>17</v>
      </c>
      <c r="T702">
        <v>18</v>
      </c>
      <c r="U702" s="8">
        <v>19</v>
      </c>
      <c r="V702">
        <v>20</v>
      </c>
      <c r="W702" s="8">
        <v>21</v>
      </c>
      <c r="X702">
        <v>22</v>
      </c>
      <c r="Y702" s="8">
        <v>23</v>
      </c>
      <c r="Z702">
        <v>24</v>
      </c>
      <c r="AA702" s="8">
        <v>25</v>
      </c>
      <c r="AB702">
        <v>26</v>
      </c>
      <c r="AC702" s="8">
        <v>27</v>
      </c>
      <c r="AD702">
        <v>28</v>
      </c>
      <c r="AE702" s="8">
        <v>29</v>
      </c>
      <c r="AF702">
        <v>30</v>
      </c>
      <c r="AG702" s="8">
        <v>31</v>
      </c>
      <c r="AH702">
        <v>32</v>
      </c>
      <c r="AI702" s="8">
        <v>33</v>
      </c>
      <c r="AJ702">
        <v>34</v>
      </c>
      <c r="AK702" s="8">
        <v>35</v>
      </c>
      <c r="AL702">
        <v>36</v>
      </c>
      <c r="AM702" s="8">
        <v>37</v>
      </c>
      <c r="AN702">
        <v>38</v>
      </c>
      <c r="AO702" s="8">
        <v>39</v>
      </c>
      <c r="AP702">
        <v>40</v>
      </c>
      <c r="AQ702" s="8">
        <v>41</v>
      </c>
      <c r="AR702">
        <v>42</v>
      </c>
      <c r="AS702" s="8">
        <v>43</v>
      </c>
      <c r="AT702">
        <v>44</v>
      </c>
      <c r="AU702" s="8">
        <v>45</v>
      </c>
      <c r="AV702">
        <v>46</v>
      </c>
      <c r="AW702" s="8">
        <v>47</v>
      </c>
      <c r="AX702">
        <v>48</v>
      </c>
      <c r="AY702" s="8">
        <v>49</v>
      </c>
      <c r="AZ702">
        <v>50</v>
      </c>
      <c r="BA702" s="8">
        <v>51</v>
      </c>
      <c r="BB702">
        <v>52</v>
      </c>
      <c r="BC702" s="8">
        <v>53</v>
      </c>
      <c r="BD702">
        <v>54</v>
      </c>
      <c r="BE702" s="8">
        <v>55</v>
      </c>
      <c r="BF702">
        <v>56</v>
      </c>
      <c r="BG702" s="8">
        <v>57</v>
      </c>
      <c r="BH702">
        <v>58</v>
      </c>
      <c r="BI702" s="8">
        <v>59</v>
      </c>
      <c r="BJ702">
        <v>60</v>
      </c>
      <c r="BK702" s="8">
        <v>61</v>
      </c>
      <c r="BL702">
        <v>62</v>
      </c>
      <c r="BM702" s="8">
        <v>63</v>
      </c>
      <c r="BN702">
        <v>64</v>
      </c>
      <c r="BO702" s="8">
        <v>65</v>
      </c>
      <c r="BP702">
        <v>66</v>
      </c>
      <c r="BQ702" s="8">
        <v>67</v>
      </c>
      <c r="BR702">
        <v>68</v>
      </c>
      <c r="BS702" s="8">
        <v>69</v>
      </c>
      <c r="BT702">
        <v>70</v>
      </c>
      <c r="BU702" s="8">
        <v>71</v>
      </c>
      <c r="BV702">
        <v>72</v>
      </c>
      <c r="BW702" s="8">
        <v>73</v>
      </c>
      <c r="BX702">
        <v>74</v>
      </c>
      <c r="BY702" s="8">
        <v>75</v>
      </c>
      <c r="BZ702">
        <v>76</v>
      </c>
      <c r="CA702" s="8">
        <v>77</v>
      </c>
      <c r="CB702">
        <v>78</v>
      </c>
      <c r="CC702" s="8">
        <v>79</v>
      </c>
      <c r="CD702">
        <v>80</v>
      </c>
      <c r="CE702" s="8">
        <v>81</v>
      </c>
      <c r="CF702">
        <v>82</v>
      </c>
      <c r="CG702" s="8">
        <v>83</v>
      </c>
      <c r="CH702">
        <v>84</v>
      </c>
      <c r="CI702" s="8">
        <v>85</v>
      </c>
      <c r="CJ702">
        <v>86</v>
      </c>
      <c r="CK702" s="8">
        <v>87</v>
      </c>
      <c r="CL702">
        <v>88</v>
      </c>
      <c r="CM702" s="8">
        <v>89</v>
      </c>
      <c r="CN702">
        <v>90</v>
      </c>
      <c r="CO702" s="8">
        <v>91</v>
      </c>
      <c r="CP702">
        <v>92</v>
      </c>
      <c r="CQ702" s="8">
        <v>93</v>
      </c>
      <c r="CR702">
        <v>94</v>
      </c>
      <c r="CS702" s="8">
        <v>95</v>
      </c>
      <c r="CT702">
        <v>96</v>
      </c>
      <c r="CU702" s="8">
        <v>97</v>
      </c>
      <c r="CV702">
        <v>98</v>
      </c>
      <c r="CW702" s="8">
        <v>99</v>
      </c>
      <c r="CX702">
        <v>100</v>
      </c>
    </row>
    <row r="703" spans="1:102" x14ac:dyDescent="0.25">
      <c r="A703" s="81"/>
      <c r="B703" t="s">
        <v>845</v>
      </c>
      <c r="C703">
        <f>(C702/50)*C701</f>
        <v>0.8</v>
      </c>
      <c r="D703">
        <f>(D702/50)*D701</f>
        <v>1.6</v>
      </c>
      <c r="E703">
        <f t="shared" ref="E703:AZ703" si="37">(E702/50)*E701</f>
        <v>2.4</v>
      </c>
      <c r="F703">
        <f t="shared" si="37"/>
        <v>3.2</v>
      </c>
      <c r="G703">
        <f t="shared" si="37"/>
        <v>4</v>
      </c>
      <c r="H703">
        <f t="shared" si="37"/>
        <v>4.8</v>
      </c>
      <c r="I703">
        <f t="shared" si="37"/>
        <v>5.6000000000000005</v>
      </c>
      <c r="J703">
        <f t="shared" si="37"/>
        <v>6.4</v>
      </c>
      <c r="K703">
        <f t="shared" si="37"/>
        <v>7.1999999999999993</v>
      </c>
      <c r="L703">
        <f t="shared" si="37"/>
        <v>8</v>
      </c>
      <c r="M703">
        <f t="shared" si="37"/>
        <v>8.8000000000000007</v>
      </c>
      <c r="N703">
        <f t="shared" si="37"/>
        <v>9.6</v>
      </c>
      <c r="O703">
        <f t="shared" si="37"/>
        <v>10.4</v>
      </c>
      <c r="P703">
        <f t="shared" si="37"/>
        <v>11.200000000000001</v>
      </c>
      <c r="Q703">
        <f t="shared" si="37"/>
        <v>12</v>
      </c>
      <c r="R703">
        <f t="shared" si="37"/>
        <v>12.8</v>
      </c>
      <c r="S703">
        <f t="shared" si="37"/>
        <v>13.600000000000001</v>
      </c>
      <c r="T703">
        <f t="shared" si="37"/>
        <v>14.399999999999999</v>
      </c>
      <c r="U703">
        <f t="shared" si="37"/>
        <v>15.2</v>
      </c>
      <c r="V703">
        <f t="shared" si="37"/>
        <v>16</v>
      </c>
      <c r="W703">
        <f t="shared" si="37"/>
        <v>16.8</v>
      </c>
      <c r="X703">
        <f t="shared" si="37"/>
        <v>17.600000000000001</v>
      </c>
      <c r="Y703">
        <f t="shared" si="37"/>
        <v>18.400000000000002</v>
      </c>
      <c r="Z703">
        <f t="shared" si="37"/>
        <v>19.2</v>
      </c>
      <c r="AA703">
        <f t="shared" si="37"/>
        <v>20</v>
      </c>
      <c r="AB703">
        <f t="shared" si="37"/>
        <v>20.8</v>
      </c>
      <c r="AC703">
        <f t="shared" si="37"/>
        <v>21.6</v>
      </c>
      <c r="AD703">
        <f t="shared" si="37"/>
        <v>22.400000000000002</v>
      </c>
      <c r="AE703">
        <f t="shared" si="37"/>
        <v>23.2</v>
      </c>
      <c r="AF703">
        <f t="shared" si="37"/>
        <v>24</v>
      </c>
      <c r="AG703">
        <f t="shared" si="37"/>
        <v>24.8</v>
      </c>
      <c r="AH703">
        <f t="shared" si="37"/>
        <v>25.6</v>
      </c>
      <c r="AI703">
        <f t="shared" si="37"/>
        <v>26.400000000000002</v>
      </c>
      <c r="AJ703">
        <f t="shared" si="37"/>
        <v>27.200000000000003</v>
      </c>
      <c r="AK703">
        <f t="shared" si="37"/>
        <v>28</v>
      </c>
      <c r="AL703">
        <f t="shared" si="37"/>
        <v>28.799999999999997</v>
      </c>
      <c r="AM703">
        <f t="shared" si="37"/>
        <v>29.6</v>
      </c>
      <c r="AN703">
        <f t="shared" si="37"/>
        <v>30.4</v>
      </c>
      <c r="AO703">
        <f t="shared" si="37"/>
        <v>31.200000000000003</v>
      </c>
      <c r="AP703">
        <f t="shared" si="37"/>
        <v>32</v>
      </c>
      <c r="AQ703">
        <f t="shared" si="37"/>
        <v>32.799999999999997</v>
      </c>
      <c r="AR703">
        <f t="shared" si="37"/>
        <v>33.6</v>
      </c>
      <c r="AS703">
        <f t="shared" si="37"/>
        <v>34.4</v>
      </c>
      <c r="AT703">
        <f t="shared" si="37"/>
        <v>35.200000000000003</v>
      </c>
      <c r="AU703">
        <f t="shared" si="37"/>
        <v>36</v>
      </c>
      <c r="AV703">
        <f t="shared" si="37"/>
        <v>36.800000000000004</v>
      </c>
      <c r="AW703">
        <f t="shared" si="37"/>
        <v>37.599999999999994</v>
      </c>
      <c r="AX703">
        <f t="shared" si="37"/>
        <v>38.4</v>
      </c>
      <c r="AY703">
        <f t="shared" si="37"/>
        <v>39.200000000000003</v>
      </c>
      <c r="AZ703">
        <f t="shared" si="37"/>
        <v>40</v>
      </c>
      <c r="BA703">
        <f>(((100-BA702)/50)*BA701)</f>
        <v>39.200000000000003</v>
      </c>
      <c r="BB703">
        <f t="shared" ref="BB703:BD703" si="38">(((100-BB702)/50)*BB701)</f>
        <v>38.4</v>
      </c>
      <c r="BC703">
        <f t="shared" si="38"/>
        <v>37.599999999999994</v>
      </c>
      <c r="BD703">
        <f t="shared" si="38"/>
        <v>36.800000000000004</v>
      </c>
      <c r="BE703">
        <f t="shared" ref="BE703" si="39">(((100-BE702)/50)*BE701)</f>
        <v>36</v>
      </c>
      <c r="BF703">
        <f t="shared" ref="BF703:BG703" si="40">(((100-BF702)/50)*BF701)</f>
        <v>35.200000000000003</v>
      </c>
      <c r="BG703">
        <f t="shared" si="40"/>
        <v>34.4</v>
      </c>
      <c r="BH703">
        <f t="shared" ref="BH703" si="41">(((100-BH702)/50)*BH701)</f>
        <v>33.6</v>
      </c>
      <c r="BI703">
        <f t="shared" ref="BI703:BJ703" si="42">(((100-BI702)/50)*BI701)</f>
        <v>32.799999999999997</v>
      </c>
      <c r="BJ703">
        <f t="shared" si="42"/>
        <v>32</v>
      </c>
      <c r="BK703">
        <f t="shared" ref="BK703" si="43">(((100-BK702)/50)*BK701)</f>
        <v>31.200000000000003</v>
      </c>
      <c r="BL703">
        <f t="shared" ref="BL703:BM703" si="44">(((100-BL702)/50)*BL701)</f>
        <v>30.4</v>
      </c>
      <c r="BM703">
        <f t="shared" si="44"/>
        <v>29.6</v>
      </c>
      <c r="BN703">
        <f t="shared" ref="BN703" si="45">(((100-BN702)/50)*BN701)</f>
        <v>28.799999999999997</v>
      </c>
      <c r="BO703">
        <f t="shared" ref="BO703:BP703" si="46">(((100-BO702)/50)*BO701)</f>
        <v>28</v>
      </c>
      <c r="BP703">
        <f t="shared" si="46"/>
        <v>27.200000000000003</v>
      </c>
      <c r="BQ703">
        <f t="shared" ref="BQ703" si="47">(((100-BQ702)/50)*BQ701)</f>
        <v>26.400000000000002</v>
      </c>
      <c r="BR703">
        <f t="shared" ref="BR703:BS703" si="48">(((100-BR702)/50)*BR701)</f>
        <v>25.6</v>
      </c>
      <c r="BS703">
        <f t="shared" si="48"/>
        <v>24.8</v>
      </c>
      <c r="BT703">
        <f t="shared" ref="BT703" si="49">(((100-BT702)/50)*BT701)</f>
        <v>24</v>
      </c>
      <c r="BU703">
        <f t="shared" ref="BU703:BV703" si="50">(((100-BU702)/50)*BU701)</f>
        <v>23.2</v>
      </c>
      <c r="BV703">
        <f t="shared" si="50"/>
        <v>22.400000000000002</v>
      </c>
      <c r="BW703">
        <f t="shared" ref="BW703" si="51">(((100-BW702)/50)*BW701)</f>
        <v>21.6</v>
      </c>
      <c r="BX703">
        <f t="shared" ref="BX703:BY703" si="52">(((100-BX702)/50)*BX701)</f>
        <v>20.8</v>
      </c>
      <c r="BY703">
        <f t="shared" si="52"/>
        <v>20</v>
      </c>
      <c r="BZ703">
        <f t="shared" ref="BZ703" si="53">(((100-BZ702)/50)*BZ701)</f>
        <v>19.2</v>
      </c>
      <c r="CA703">
        <f t="shared" ref="CA703:CB703" si="54">(((100-CA702)/50)*CA701)</f>
        <v>18.400000000000002</v>
      </c>
      <c r="CB703">
        <f t="shared" si="54"/>
        <v>17.600000000000001</v>
      </c>
      <c r="CC703">
        <f t="shared" ref="CC703" si="55">(((100-CC702)/50)*CC701)</f>
        <v>16.8</v>
      </c>
      <c r="CD703">
        <f t="shared" ref="CD703:CE703" si="56">(((100-CD702)/50)*CD701)</f>
        <v>16</v>
      </c>
      <c r="CE703">
        <f t="shared" si="56"/>
        <v>15.2</v>
      </c>
      <c r="CF703">
        <f t="shared" ref="CF703" si="57">(((100-CF702)/50)*CF701)</f>
        <v>14.399999999999999</v>
      </c>
      <c r="CG703">
        <f t="shared" ref="CG703:CH703" si="58">(((100-CG702)/50)*CG701)</f>
        <v>13.600000000000001</v>
      </c>
      <c r="CH703">
        <f t="shared" si="58"/>
        <v>12.8</v>
      </c>
      <c r="CI703">
        <f t="shared" ref="CI703" si="59">(((100-CI702)/50)*CI701)</f>
        <v>12</v>
      </c>
      <c r="CJ703">
        <f t="shared" ref="CJ703:CK703" si="60">(((100-CJ702)/50)*CJ701)</f>
        <v>11.200000000000001</v>
      </c>
      <c r="CK703">
        <f t="shared" si="60"/>
        <v>10.4</v>
      </c>
      <c r="CL703">
        <f t="shared" ref="CL703" si="61">(((100-CL702)/50)*CL701)</f>
        <v>9.6</v>
      </c>
      <c r="CM703">
        <f t="shared" ref="CM703:CN703" si="62">(((100-CM702)/50)*CM701)</f>
        <v>8.8000000000000007</v>
      </c>
      <c r="CN703">
        <f t="shared" si="62"/>
        <v>8</v>
      </c>
      <c r="CO703">
        <f t="shared" ref="CO703" si="63">(((100-CO702)/50)*CO701)</f>
        <v>7.1999999999999993</v>
      </c>
      <c r="CP703">
        <f t="shared" ref="CP703:CQ703" si="64">(((100-CP702)/50)*CP701)</f>
        <v>6.4</v>
      </c>
      <c r="CQ703">
        <f t="shared" si="64"/>
        <v>5.6000000000000005</v>
      </c>
      <c r="CR703">
        <f t="shared" ref="CR703" si="65">(((100-CR702)/50)*CR701)</f>
        <v>4.8</v>
      </c>
      <c r="CS703">
        <f t="shared" ref="CS703:CT703" si="66">(((100-CS702)/50)*CS701)</f>
        <v>4</v>
      </c>
      <c r="CT703">
        <f t="shared" si="66"/>
        <v>3.2</v>
      </c>
      <c r="CU703">
        <f t="shared" ref="CU703" si="67">(((100-CU702)/50)*CU701)</f>
        <v>2.4</v>
      </c>
      <c r="CV703">
        <f t="shared" ref="CV703:CW703" si="68">(((100-CV702)/50)*CV701)</f>
        <v>1.6</v>
      </c>
      <c r="CW703">
        <f t="shared" si="68"/>
        <v>0.8</v>
      </c>
      <c r="CX703">
        <f t="shared" ref="CX703" si="69">(((100-CX702)/50)*CX701)</f>
        <v>0</v>
      </c>
    </row>
    <row r="704" spans="1:102" x14ac:dyDescent="0.25">
      <c r="A704" s="81"/>
      <c r="B704" t="s">
        <v>847</v>
      </c>
      <c r="C704">
        <f t="shared" ref="C704:AH704" si="70">C703/$D$674</f>
        <v>4.0000000000000001E-3</v>
      </c>
      <c r="D704">
        <f t="shared" si="70"/>
        <v>8.0000000000000002E-3</v>
      </c>
      <c r="E704">
        <f t="shared" si="70"/>
        <v>1.2E-2</v>
      </c>
      <c r="F704">
        <f t="shared" si="70"/>
        <v>1.6E-2</v>
      </c>
      <c r="G704">
        <f t="shared" si="70"/>
        <v>0.02</v>
      </c>
      <c r="H704">
        <f t="shared" si="70"/>
        <v>2.4E-2</v>
      </c>
      <c r="I704">
        <f t="shared" si="70"/>
        <v>2.8000000000000004E-2</v>
      </c>
      <c r="J704">
        <f t="shared" si="70"/>
        <v>3.2000000000000001E-2</v>
      </c>
      <c r="K704">
        <f t="shared" si="70"/>
        <v>3.5999999999999997E-2</v>
      </c>
      <c r="L704">
        <f t="shared" si="70"/>
        <v>0.04</v>
      </c>
      <c r="M704">
        <f t="shared" si="70"/>
        <v>4.4000000000000004E-2</v>
      </c>
      <c r="N704">
        <f t="shared" si="70"/>
        <v>4.8000000000000001E-2</v>
      </c>
      <c r="O704">
        <f t="shared" si="70"/>
        <v>5.2000000000000005E-2</v>
      </c>
      <c r="P704">
        <f t="shared" si="70"/>
        <v>5.6000000000000008E-2</v>
      </c>
      <c r="Q704">
        <f t="shared" si="70"/>
        <v>0.06</v>
      </c>
      <c r="R704">
        <f t="shared" si="70"/>
        <v>6.4000000000000001E-2</v>
      </c>
      <c r="S704">
        <f t="shared" si="70"/>
        <v>6.8000000000000005E-2</v>
      </c>
      <c r="T704">
        <f t="shared" si="70"/>
        <v>7.1999999999999995E-2</v>
      </c>
      <c r="U704">
        <f t="shared" si="70"/>
        <v>7.5999999999999998E-2</v>
      </c>
      <c r="V704">
        <f t="shared" si="70"/>
        <v>0.08</v>
      </c>
      <c r="W704">
        <f t="shared" si="70"/>
        <v>8.4000000000000005E-2</v>
      </c>
      <c r="X704">
        <f t="shared" si="70"/>
        <v>8.8000000000000009E-2</v>
      </c>
      <c r="Y704">
        <f t="shared" si="70"/>
        <v>9.2000000000000012E-2</v>
      </c>
      <c r="Z704">
        <f t="shared" si="70"/>
        <v>9.6000000000000002E-2</v>
      </c>
      <c r="AA704">
        <f t="shared" si="70"/>
        <v>0.1</v>
      </c>
      <c r="AB704">
        <f t="shared" si="70"/>
        <v>0.10400000000000001</v>
      </c>
      <c r="AC704">
        <f t="shared" si="70"/>
        <v>0.10800000000000001</v>
      </c>
      <c r="AD704">
        <f t="shared" si="70"/>
        <v>0.11200000000000002</v>
      </c>
      <c r="AE704">
        <f t="shared" si="70"/>
        <v>0.11599999999999999</v>
      </c>
      <c r="AF704">
        <f t="shared" si="70"/>
        <v>0.12</v>
      </c>
      <c r="AG704">
        <f t="shared" si="70"/>
        <v>0.124</v>
      </c>
      <c r="AH704">
        <f t="shared" si="70"/>
        <v>0.128</v>
      </c>
      <c r="AI704">
        <f t="shared" ref="AI704:BN704" si="71">AI703/$D$674</f>
        <v>0.13200000000000001</v>
      </c>
      <c r="AJ704">
        <f t="shared" si="71"/>
        <v>0.13600000000000001</v>
      </c>
      <c r="AK704">
        <f t="shared" si="71"/>
        <v>0.14000000000000001</v>
      </c>
      <c r="AL704">
        <f t="shared" si="71"/>
        <v>0.14399999999999999</v>
      </c>
      <c r="AM704">
        <f t="shared" si="71"/>
        <v>0.14800000000000002</v>
      </c>
      <c r="AN704">
        <f t="shared" si="71"/>
        <v>0.152</v>
      </c>
      <c r="AO704">
        <f t="shared" si="71"/>
        <v>0.15600000000000003</v>
      </c>
      <c r="AP704">
        <f t="shared" si="71"/>
        <v>0.16</v>
      </c>
      <c r="AQ704">
        <f t="shared" si="71"/>
        <v>0.16399999999999998</v>
      </c>
      <c r="AR704">
        <f t="shared" si="71"/>
        <v>0.16800000000000001</v>
      </c>
      <c r="AS704">
        <f t="shared" si="71"/>
        <v>0.17199999999999999</v>
      </c>
      <c r="AT704">
        <f t="shared" si="71"/>
        <v>0.17600000000000002</v>
      </c>
      <c r="AU704">
        <f t="shared" si="71"/>
        <v>0.18</v>
      </c>
      <c r="AV704">
        <f t="shared" si="71"/>
        <v>0.18400000000000002</v>
      </c>
      <c r="AW704">
        <f t="shared" si="71"/>
        <v>0.18799999999999997</v>
      </c>
      <c r="AX704">
        <f t="shared" si="71"/>
        <v>0.192</v>
      </c>
      <c r="AY704">
        <f t="shared" si="71"/>
        <v>0.19600000000000001</v>
      </c>
      <c r="AZ704">
        <f t="shared" si="71"/>
        <v>0.2</v>
      </c>
      <c r="BA704">
        <f t="shared" si="71"/>
        <v>0.19600000000000001</v>
      </c>
      <c r="BB704">
        <f t="shared" si="71"/>
        <v>0.192</v>
      </c>
      <c r="BC704">
        <f t="shared" si="71"/>
        <v>0.18799999999999997</v>
      </c>
      <c r="BD704">
        <f t="shared" si="71"/>
        <v>0.18400000000000002</v>
      </c>
      <c r="BE704">
        <f t="shared" si="71"/>
        <v>0.18</v>
      </c>
      <c r="BF704">
        <f t="shared" si="71"/>
        <v>0.17600000000000002</v>
      </c>
      <c r="BG704">
        <f t="shared" si="71"/>
        <v>0.17199999999999999</v>
      </c>
      <c r="BH704">
        <f t="shared" si="71"/>
        <v>0.16800000000000001</v>
      </c>
      <c r="BI704">
        <f t="shared" si="71"/>
        <v>0.16399999999999998</v>
      </c>
      <c r="BJ704">
        <f t="shared" si="71"/>
        <v>0.16</v>
      </c>
      <c r="BK704">
        <f t="shared" si="71"/>
        <v>0.15600000000000003</v>
      </c>
      <c r="BL704">
        <f t="shared" si="71"/>
        <v>0.152</v>
      </c>
      <c r="BM704">
        <f t="shared" si="71"/>
        <v>0.14800000000000002</v>
      </c>
      <c r="BN704">
        <f t="shared" si="71"/>
        <v>0.14399999999999999</v>
      </c>
      <c r="BO704">
        <f t="shared" ref="BO704" si="72">BO703/$D$674</f>
        <v>0.14000000000000001</v>
      </c>
      <c r="BP704">
        <f t="shared" ref="BP704:CX704" si="73">BP703/$D$674</f>
        <v>0.13600000000000001</v>
      </c>
      <c r="BQ704">
        <f t="shared" si="73"/>
        <v>0.13200000000000001</v>
      </c>
      <c r="BR704">
        <f t="shared" si="73"/>
        <v>0.128</v>
      </c>
      <c r="BS704">
        <f t="shared" si="73"/>
        <v>0.124</v>
      </c>
      <c r="BT704">
        <f t="shared" si="73"/>
        <v>0.12</v>
      </c>
      <c r="BU704">
        <f t="shared" si="73"/>
        <v>0.11599999999999999</v>
      </c>
      <c r="BV704">
        <f t="shared" si="73"/>
        <v>0.11200000000000002</v>
      </c>
      <c r="BW704">
        <f t="shared" si="73"/>
        <v>0.10800000000000001</v>
      </c>
      <c r="BX704">
        <f t="shared" si="73"/>
        <v>0.10400000000000001</v>
      </c>
      <c r="BY704">
        <f t="shared" si="73"/>
        <v>0.1</v>
      </c>
      <c r="BZ704">
        <f t="shared" si="73"/>
        <v>9.6000000000000002E-2</v>
      </c>
      <c r="CA704">
        <f t="shared" si="73"/>
        <v>9.2000000000000012E-2</v>
      </c>
      <c r="CB704">
        <f t="shared" si="73"/>
        <v>8.8000000000000009E-2</v>
      </c>
      <c r="CC704">
        <f t="shared" si="73"/>
        <v>8.4000000000000005E-2</v>
      </c>
      <c r="CD704">
        <f t="shared" si="73"/>
        <v>0.08</v>
      </c>
      <c r="CE704">
        <f t="shared" si="73"/>
        <v>7.5999999999999998E-2</v>
      </c>
      <c r="CF704">
        <f t="shared" si="73"/>
        <v>7.1999999999999995E-2</v>
      </c>
      <c r="CG704">
        <f t="shared" si="73"/>
        <v>6.8000000000000005E-2</v>
      </c>
      <c r="CH704">
        <f t="shared" si="73"/>
        <v>6.4000000000000001E-2</v>
      </c>
      <c r="CI704">
        <f t="shared" si="73"/>
        <v>0.06</v>
      </c>
      <c r="CJ704">
        <f t="shared" si="73"/>
        <v>5.6000000000000008E-2</v>
      </c>
      <c r="CK704">
        <f t="shared" si="73"/>
        <v>5.2000000000000005E-2</v>
      </c>
      <c r="CL704">
        <f t="shared" si="73"/>
        <v>4.8000000000000001E-2</v>
      </c>
      <c r="CM704">
        <f t="shared" si="73"/>
        <v>4.4000000000000004E-2</v>
      </c>
      <c r="CN704">
        <f t="shared" si="73"/>
        <v>0.04</v>
      </c>
      <c r="CO704">
        <f t="shared" si="73"/>
        <v>3.5999999999999997E-2</v>
      </c>
      <c r="CP704">
        <f t="shared" si="73"/>
        <v>3.2000000000000001E-2</v>
      </c>
      <c r="CQ704">
        <f t="shared" si="73"/>
        <v>2.8000000000000004E-2</v>
      </c>
      <c r="CR704">
        <f t="shared" si="73"/>
        <v>2.4E-2</v>
      </c>
      <c r="CS704">
        <f t="shared" si="73"/>
        <v>0.02</v>
      </c>
      <c r="CT704">
        <f t="shared" si="73"/>
        <v>1.6E-2</v>
      </c>
      <c r="CU704">
        <f t="shared" si="73"/>
        <v>1.2E-2</v>
      </c>
      <c r="CV704">
        <f t="shared" si="73"/>
        <v>8.0000000000000002E-3</v>
      </c>
      <c r="CW704">
        <f t="shared" si="73"/>
        <v>4.0000000000000001E-3</v>
      </c>
      <c r="CX704">
        <f t="shared" si="73"/>
        <v>0</v>
      </c>
    </row>
    <row r="705" spans="1:102" x14ac:dyDescent="0.25">
      <c r="A705" s="81"/>
      <c r="B705" t="s">
        <v>848</v>
      </c>
      <c r="C705">
        <f>(($D$680*2)+(C704*($D$682+$D$684)))*$D$700</f>
        <v>6.6875000000000006E-7</v>
      </c>
      <c r="D705">
        <f>(($D$680*2)+(D704*($D$682+$D$684)))*$D$700</f>
        <v>6.8125000000000015E-7</v>
      </c>
      <c r="E705">
        <f t="shared" ref="E705:BP705" si="74">(($D$680*2)+(E704*($D$682+$D$684)))*$D$700</f>
        <v>6.9375000000000013E-7</v>
      </c>
      <c r="F705">
        <f t="shared" si="74"/>
        <v>7.0625000000000012E-7</v>
      </c>
      <c r="G705">
        <f t="shared" si="74"/>
        <v>7.1875000000000011E-7</v>
      </c>
      <c r="H705">
        <f t="shared" si="74"/>
        <v>7.3124999999999999E-7</v>
      </c>
      <c r="I705">
        <f t="shared" si="74"/>
        <v>7.4375000000000008E-7</v>
      </c>
      <c r="J705">
        <f t="shared" si="74"/>
        <v>7.5625000000000007E-7</v>
      </c>
      <c r="K705">
        <f t="shared" si="74"/>
        <v>7.6875000000000005E-7</v>
      </c>
      <c r="L705">
        <f t="shared" si="74"/>
        <v>7.8125000000000004E-7</v>
      </c>
      <c r="M705">
        <f t="shared" si="74"/>
        <v>7.9375000000000002E-7</v>
      </c>
      <c r="N705">
        <f t="shared" si="74"/>
        <v>8.0625000000000012E-7</v>
      </c>
      <c r="O705">
        <f t="shared" si="74"/>
        <v>8.187500000000001E-7</v>
      </c>
      <c r="P705">
        <f t="shared" si="74"/>
        <v>8.3125000000000009E-7</v>
      </c>
      <c r="Q705">
        <f t="shared" si="74"/>
        <v>8.4375000000000007E-7</v>
      </c>
      <c r="R705">
        <f t="shared" si="74"/>
        <v>8.5625000000000017E-7</v>
      </c>
      <c r="S705">
        <f t="shared" si="74"/>
        <v>8.6875000000000015E-7</v>
      </c>
      <c r="T705">
        <f t="shared" si="74"/>
        <v>8.8125000000000014E-7</v>
      </c>
      <c r="U705">
        <f t="shared" si="74"/>
        <v>8.9375000000000012E-7</v>
      </c>
      <c r="V705">
        <f t="shared" si="74"/>
        <v>9.0625000000000022E-7</v>
      </c>
      <c r="W705">
        <f t="shared" si="74"/>
        <v>9.187500000000002E-7</v>
      </c>
      <c r="X705">
        <f t="shared" si="74"/>
        <v>9.3125000000000019E-7</v>
      </c>
      <c r="Y705">
        <f t="shared" si="74"/>
        <v>9.4375000000000018E-7</v>
      </c>
      <c r="Z705">
        <f t="shared" si="74"/>
        <v>9.5625000000000016E-7</v>
      </c>
      <c r="AA705">
        <f t="shared" si="74"/>
        <v>9.6875000000000004E-7</v>
      </c>
      <c r="AB705">
        <f t="shared" si="74"/>
        <v>9.8125000000000013E-7</v>
      </c>
      <c r="AC705">
        <f t="shared" si="74"/>
        <v>9.9375000000000023E-7</v>
      </c>
      <c r="AD705">
        <f t="shared" si="74"/>
        <v>1.0062500000000001E-6</v>
      </c>
      <c r="AE705">
        <f t="shared" si="74"/>
        <v>1.01875E-6</v>
      </c>
      <c r="AF705">
        <f t="shared" si="74"/>
        <v>1.0312500000000001E-6</v>
      </c>
      <c r="AG705">
        <f t="shared" si="74"/>
        <v>1.04375E-6</v>
      </c>
      <c r="AH705">
        <f t="shared" si="74"/>
        <v>1.0562500000000001E-6</v>
      </c>
      <c r="AI705">
        <f t="shared" si="74"/>
        <v>1.0687500000000001E-6</v>
      </c>
      <c r="AJ705">
        <f t="shared" si="74"/>
        <v>1.08125E-6</v>
      </c>
      <c r="AK705">
        <f t="shared" si="74"/>
        <v>1.0937500000000001E-6</v>
      </c>
      <c r="AL705">
        <f t="shared" si="74"/>
        <v>1.10625E-6</v>
      </c>
      <c r="AM705">
        <f t="shared" si="74"/>
        <v>1.1187500000000001E-6</v>
      </c>
      <c r="AN705">
        <f t="shared" si="74"/>
        <v>1.1312500000000002E-6</v>
      </c>
      <c r="AO705">
        <f t="shared" si="74"/>
        <v>1.1437500000000001E-6</v>
      </c>
      <c r="AP705">
        <f t="shared" si="74"/>
        <v>1.1562500000000002E-6</v>
      </c>
      <c r="AQ705">
        <f t="shared" si="74"/>
        <v>1.16875E-6</v>
      </c>
      <c r="AR705">
        <f t="shared" si="74"/>
        <v>1.1812500000000001E-6</v>
      </c>
      <c r="AS705">
        <f t="shared" si="74"/>
        <v>1.19375E-6</v>
      </c>
      <c r="AT705">
        <f t="shared" si="74"/>
        <v>1.2062500000000001E-6</v>
      </c>
      <c r="AU705">
        <f t="shared" si="74"/>
        <v>1.21875E-6</v>
      </c>
      <c r="AV705">
        <f t="shared" si="74"/>
        <v>1.2312500000000003E-6</v>
      </c>
      <c r="AW705">
        <f t="shared" si="74"/>
        <v>1.24375E-6</v>
      </c>
      <c r="AX705">
        <f t="shared" si="74"/>
        <v>1.25625E-6</v>
      </c>
      <c r="AY705">
        <f t="shared" si="74"/>
        <v>1.2687500000000003E-6</v>
      </c>
      <c r="AZ705">
        <f t="shared" si="74"/>
        <v>1.28125E-6</v>
      </c>
      <c r="BA705">
        <f t="shared" si="74"/>
        <v>1.2687500000000003E-6</v>
      </c>
      <c r="BB705">
        <f t="shared" si="74"/>
        <v>1.25625E-6</v>
      </c>
      <c r="BC705">
        <f t="shared" si="74"/>
        <v>1.24375E-6</v>
      </c>
      <c r="BD705">
        <f t="shared" si="74"/>
        <v>1.2312500000000003E-6</v>
      </c>
      <c r="BE705">
        <f t="shared" si="74"/>
        <v>1.21875E-6</v>
      </c>
      <c r="BF705">
        <f t="shared" si="74"/>
        <v>1.2062500000000001E-6</v>
      </c>
      <c r="BG705">
        <f t="shared" si="74"/>
        <v>1.19375E-6</v>
      </c>
      <c r="BH705">
        <f t="shared" si="74"/>
        <v>1.1812500000000001E-6</v>
      </c>
      <c r="BI705">
        <f t="shared" si="74"/>
        <v>1.16875E-6</v>
      </c>
      <c r="BJ705">
        <f t="shared" si="74"/>
        <v>1.1562500000000002E-6</v>
      </c>
      <c r="BK705">
        <f t="shared" si="74"/>
        <v>1.1437500000000001E-6</v>
      </c>
      <c r="BL705">
        <f t="shared" si="74"/>
        <v>1.1312500000000002E-6</v>
      </c>
      <c r="BM705">
        <f t="shared" si="74"/>
        <v>1.1187500000000001E-6</v>
      </c>
      <c r="BN705">
        <f t="shared" si="74"/>
        <v>1.10625E-6</v>
      </c>
      <c r="BO705">
        <f t="shared" si="74"/>
        <v>1.0937500000000001E-6</v>
      </c>
      <c r="BP705">
        <f t="shared" si="74"/>
        <v>1.08125E-6</v>
      </c>
      <c r="BQ705">
        <f t="shared" ref="BQ705:CX705" si="75">(($D$680*2)+(BQ704*($D$682+$D$684)))*$D$700</f>
        <v>1.0687500000000001E-6</v>
      </c>
      <c r="BR705">
        <f t="shared" si="75"/>
        <v>1.0562500000000001E-6</v>
      </c>
      <c r="BS705">
        <f t="shared" si="75"/>
        <v>1.04375E-6</v>
      </c>
      <c r="BT705">
        <f t="shared" si="75"/>
        <v>1.0312500000000001E-6</v>
      </c>
      <c r="BU705">
        <f t="shared" si="75"/>
        <v>1.01875E-6</v>
      </c>
      <c r="BV705">
        <f t="shared" si="75"/>
        <v>1.0062500000000001E-6</v>
      </c>
      <c r="BW705">
        <f t="shared" si="75"/>
        <v>9.9375000000000023E-7</v>
      </c>
      <c r="BX705">
        <f t="shared" si="75"/>
        <v>9.8125000000000013E-7</v>
      </c>
      <c r="BY705">
        <f t="shared" si="75"/>
        <v>9.6875000000000004E-7</v>
      </c>
      <c r="BZ705">
        <f t="shared" si="75"/>
        <v>9.5625000000000016E-7</v>
      </c>
      <c r="CA705">
        <f t="shared" si="75"/>
        <v>9.4375000000000018E-7</v>
      </c>
      <c r="CB705">
        <f t="shared" si="75"/>
        <v>9.3125000000000019E-7</v>
      </c>
      <c r="CC705">
        <f t="shared" si="75"/>
        <v>9.187500000000002E-7</v>
      </c>
      <c r="CD705">
        <f t="shared" si="75"/>
        <v>9.0625000000000022E-7</v>
      </c>
      <c r="CE705">
        <f t="shared" si="75"/>
        <v>8.9375000000000012E-7</v>
      </c>
      <c r="CF705">
        <f t="shared" si="75"/>
        <v>8.8125000000000014E-7</v>
      </c>
      <c r="CG705">
        <f t="shared" si="75"/>
        <v>8.6875000000000015E-7</v>
      </c>
      <c r="CH705">
        <f t="shared" si="75"/>
        <v>8.5625000000000017E-7</v>
      </c>
      <c r="CI705">
        <f t="shared" si="75"/>
        <v>8.4375000000000007E-7</v>
      </c>
      <c r="CJ705">
        <f t="shared" si="75"/>
        <v>8.3125000000000009E-7</v>
      </c>
      <c r="CK705">
        <f t="shared" si="75"/>
        <v>8.187500000000001E-7</v>
      </c>
      <c r="CL705">
        <f t="shared" si="75"/>
        <v>8.0625000000000012E-7</v>
      </c>
      <c r="CM705">
        <f t="shared" si="75"/>
        <v>7.9375000000000002E-7</v>
      </c>
      <c r="CN705">
        <f t="shared" si="75"/>
        <v>7.8125000000000004E-7</v>
      </c>
      <c r="CO705">
        <f t="shared" si="75"/>
        <v>7.6875000000000005E-7</v>
      </c>
      <c r="CP705">
        <f t="shared" si="75"/>
        <v>7.5625000000000007E-7</v>
      </c>
      <c r="CQ705">
        <f t="shared" si="75"/>
        <v>7.4375000000000008E-7</v>
      </c>
      <c r="CR705">
        <f t="shared" si="75"/>
        <v>7.3124999999999999E-7</v>
      </c>
      <c r="CS705">
        <f t="shared" si="75"/>
        <v>7.1875000000000011E-7</v>
      </c>
      <c r="CT705">
        <f t="shared" si="75"/>
        <v>7.0625000000000012E-7</v>
      </c>
      <c r="CU705">
        <f t="shared" si="75"/>
        <v>6.9375000000000013E-7</v>
      </c>
      <c r="CV705">
        <f t="shared" si="75"/>
        <v>6.8125000000000015E-7</v>
      </c>
      <c r="CW705">
        <f t="shared" si="75"/>
        <v>6.6875000000000006E-7</v>
      </c>
      <c r="CX705">
        <f t="shared" si="75"/>
        <v>6.5625000000000007E-7</v>
      </c>
    </row>
    <row r="706" spans="1:102" x14ac:dyDescent="0.25">
      <c r="A706" s="81"/>
      <c r="B706" t="s">
        <v>849</v>
      </c>
      <c r="C706" s="27">
        <f>SUM(C705:CX705)</f>
        <v>9.6874999999999969E-5</v>
      </c>
    </row>
    <row r="707" spans="1:102" x14ac:dyDescent="0.25">
      <c r="A707" s="81"/>
      <c r="B707" t="s">
        <v>850</v>
      </c>
      <c r="C707" s="27">
        <f>791/1000000</f>
        <v>7.9100000000000004E-4</v>
      </c>
    </row>
    <row r="708" spans="1:102" x14ac:dyDescent="0.25">
      <c r="A708" s="81"/>
      <c r="C708" t="s">
        <v>851</v>
      </c>
      <c r="D708" s="27" t="b">
        <f>C706&lt;=C707</f>
        <v>1</v>
      </c>
    </row>
    <row r="709" spans="1:102" x14ac:dyDescent="0.25">
      <c r="A709" s="43"/>
    </row>
    <row r="710" spans="1:102" x14ac:dyDescent="0.25">
      <c r="A710" s="43"/>
      <c r="E710" s="8"/>
    </row>
    <row r="711" spans="1:102" x14ac:dyDescent="0.25">
      <c r="A711" s="82" t="s">
        <v>430</v>
      </c>
      <c r="B711" t="s">
        <v>47</v>
      </c>
      <c r="C711" t="s">
        <v>46</v>
      </c>
      <c r="D711">
        <f>D3</f>
        <v>16000</v>
      </c>
    </row>
    <row r="712" spans="1:102" x14ac:dyDescent="0.25">
      <c r="A712" s="82"/>
      <c r="B712" t="s">
        <v>40</v>
      </c>
      <c r="C712" t="s">
        <v>413</v>
      </c>
      <c r="D712">
        <f>D116</f>
        <v>22.598870056497169</v>
      </c>
    </row>
    <row r="713" spans="1:102" x14ac:dyDescent="0.25">
      <c r="A713" s="82"/>
      <c r="B713" t="s">
        <v>39</v>
      </c>
      <c r="C713" t="s">
        <v>414</v>
      </c>
      <c r="D713">
        <f>D110</f>
        <v>0</v>
      </c>
    </row>
    <row r="714" spans="1:102" x14ac:dyDescent="0.25">
      <c r="A714" s="82"/>
      <c r="B714" t="s">
        <v>411</v>
      </c>
      <c r="C714" t="s">
        <v>412</v>
      </c>
      <c r="D714">
        <f>0.5*D712/D711</f>
        <v>7.062146892655365E-4</v>
      </c>
    </row>
    <row r="715" spans="1:102" x14ac:dyDescent="0.25">
      <c r="A715" s="82"/>
      <c r="B715" t="s">
        <v>415</v>
      </c>
      <c r="D715">
        <v>0.5</v>
      </c>
    </row>
    <row r="716" spans="1:102" x14ac:dyDescent="0.25">
      <c r="A716" s="82"/>
      <c r="B716" t="s">
        <v>421</v>
      </c>
      <c r="D716">
        <f>D714/D715</f>
        <v>1.412429378531073E-3</v>
      </c>
    </row>
    <row r="717" spans="1:102" x14ac:dyDescent="0.25">
      <c r="A717" s="82"/>
      <c r="C717" t="s">
        <v>416</v>
      </c>
      <c r="D717">
        <v>10</v>
      </c>
    </row>
    <row r="718" spans="1:102" x14ac:dyDescent="0.25">
      <c r="A718" s="82"/>
      <c r="B718" t="s">
        <v>420</v>
      </c>
      <c r="D718">
        <f>D717*D716</f>
        <v>1.4124293785310729E-2</v>
      </c>
    </row>
    <row r="719" spans="1:102" x14ac:dyDescent="0.25">
      <c r="A719" s="82"/>
      <c r="B719" t="s">
        <v>445</v>
      </c>
      <c r="C719" t="s">
        <v>446</v>
      </c>
      <c r="D719">
        <f>3*D741</f>
        <v>132.30000000000001</v>
      </c>
    </row>
    <row r="720" spans="1:102" x14ac:dyDescent="0.25">
      <c r="A720" s="82"/>
      <c r="B720" t="s">
        <v>447</v>
      </c>
      <c r="D720" s="1">
        <v>1E-3</v>
      </c>
    </row>
    <row r="721" spans="1:4" x14ac:dyDescent="0.25">
      <c r="A721" s="82"/>
      <c r="B721" t="s">
        <v>448</v>
      </c>
      <c r="D721">
        <v>20</v>
      </c>
    </row>
    <row r="722" spans="1:4" x14ac:dyDescent="0.25">
      <c r="A722" s="82"/>
      <c r="B722" t="s">
        <v>451</v>
      </c>
      <c r="C722" t="s">
        <v>452</v>
      </c>
      <c r="D722" s="29">
        <v>1.7000000000000001E-2</v>
      </c>
    </row>
    <row r="723" spans="1:4" x14ac:dyDescent="0.25">
      <c r="A723" s="82"/>
      <c r="B723" t="s">
        <v>453</v>
      </c>
      <c r="D723">
        <f>D722/D721</f>
        <v>8.5000000000000006E-4</v>
      </c>
    </row>
    <row r="724" spans="1:4" x14ac:dyDescent="0.25">
      <c r="A724" s="82"/>
      <c r="B724" t="s">
        <v>426</v>
      </c>
      <c r="C724" t="s">
        <v>427</v>
      </c>
      <c r="D724" s="1">
        <f>D720*D721</f>
        <v>0.02</v>
      </c>
    </row>
    <row r="725" spans="1:4" x14ac:dyDescent="0.25">
      <c r="A725" s="82"/>
      <c r="C725" t="s">
        <v>449</v>
      </c>
      <c r="D725" s="1">
        <f>0.2</f>
        <v>0.2</v>
      </c>
    </row>
    <row r="726" spans="1:4" x14ac:dyDescent="0.25">
      <c r="A726" s="82"/>
      <c r="B726" t="s">
        <v>450</v>
      </c>
      <c r="D726" s="1">
        <f>D724*(1-D725)</f>
        <v>1.6E-2</v>
      </c>
    </row>
    <row r="727" spans="1:4" x14ac:dyDescent="0.25">
      <c r="A727" s="82"/>
      <c r="B727" t="s">
        <v>486</v>
      </c>
      <c r="D727" s="1">
        <f>D723*D712</f>
        <v>1.9209039548022597E-2</v>
      </c>
    </row>
    <row r="728" spans="1:4" x14ac:dyDescent="0.25">
      <c r="A728" s="82"/>
      <c r="B728" t="s">
        <v>487</v>
      </c>
      <c r="D728" s="1">
        <f>D714/D724</f>
        <v>3.5310734463276823E-2</v>
      </c>
    </row>
    <row r="729" spans="1:4" x14ac:dyDescent="0.25">
      <c r="A729" s="82"/>
      <c r="B729" t="s">
        <v>488</v>
      </c>
      <c r="D729" s="1">
        <f>D727+D728</f>
        <v>5.451977401129942E-2</v>
      </c>
    </row>
    <row r="730" spans="1:4" x14ac:dyDescent="0.25">
      <c r="A730" s="82"/>
      <c r="B730" t="s">
        <v>454</v>
      </c>
      <c r="D730" s="1">
        <f>POWER(D727, 2)/D723</f>
        <v>0.43410258865587781</v>
      </c>
    </row>
    <row r="731" spans="1:4" x14ac:dyDescent="0.25">
      <c r="A731" s="82"/>
      <c r="B731" t="s">
        <v>455</v>
      </c>
      <c r="D731" s="1">
        <f>D730/D721</f>
        <v>2.1705129432793891E-2</v>
      </c>
    </row>
    <row r="732" spans="1:4" x14ac:dyDescent="0.25">
      <c r="A732" s="82"/>
      <c r="B732" t="s">
        <v>424</v>
      </c>
      <c r="C732" t="s">
        <v>418</v>
      </c>
      <c r="D732">
        <v>500</v>
      </c>
    </row>
    <row r="733" spans="1:4" x14ac:dyDescent="0.25">
      <c r="A733" s="82"/>
      <c r="B733" t="s">
        <v>422</v>
      </c>
      <c r="C733" t="s">
        <v>423</v>
      </c>
      <c r="D733">
        <f>1/(POWER(2*PI()*D732, 2)*D718)</f>
        <v>7.1735398018775175E-6</v>
      </c>
    </row>
    <row r="734" spans="1:4" x14ac:dyDescent="0.25">
      <c r="A734" s="82"/>
      <c r="B734" t="s">
        <v>419</v>
      </c>
      <c r="C734" t="s">
        <v>456</v>
      </c>
      <c r="D734" s="1">
        <v>2.1999999999999999E-5</v>
      </c>
    </row>
    <row r="735" spans="1:4" x14ac:dyDescent="0.25">
      <c r="A735" s="82"/>
      <c r="B735" t="s">
        <v>457</v>
      </c>
      <c r="D735" s="1">
        <f>D2*2/D5</f>
        <v>11.299435028248586</v>
      </c>
    </row>
    <row r="736" spans="1:4" x14ac:dyDescent="0.25">
      <c r="A736" s="82"/>
      <c r="B736" t="s">
        <v>458</v>
      </c>
      <c r="D736" s="1">
        <f>2*D735</f>
        <v>22.598870056497173</v>
      </c>
    </row>
    <row r="737" spans="1:4" x14ac:dyDescent="0.25">
      <c r="A737" s="82"/>
      <c r="B737" t="s">
        <v>417</v>
      </c>
      <c r="C737" t="s">
        <v>425</v>
      </c>
      <c r="D737" s="1">
        <f>1/(2*PI()*POWER(D724*D734, 0.5))</f>
        <v>239.93510443917407</v>
      </c>
    </row>
    <row r="738" spans="1:4" x14ac:dyDescent="0.25">
      <c r="A738" s="82"/>
      <c r="B738" t="s">
        <v>428</v>
      </c>
      <c r="D738" s="1">
        <f>40*LOG10(D711/D737)</f>
        <v>72.961047570285331</v>
      </c>
    </row>
    <row r="739" spans="1:4" x14ac:dyDescent="0.25">
      <c r="A739" s="82"/>
      <c r="C739" t="s">
        <v>429</v>
      </c>
      <c r="D739">
        <f>POWER(D7, 2)*0.5*D724</f>
        <v>19.448100000000004</v>
      </c>
    </row>
    <row r="740" spans="1:4" x14ac:dyDescent="0.25">
      <c r="A740" s="82"/>
      <c r="B740" t="s">
        <v>431</v>
      </c>
      <c r="C740" t="s">
        <v>432</v>
      </c>
      <c r="D740">
        <v>33</v>
      </c>
    </row>
    <row r="741" spans="1:4" x14ac:dyDescent="0.25">
      <c r="A741" s="82"/>
      <c r="B741" t="s">
        <v>38</v>
      </c>
      <c r="D741">
        <f>D7</f>
        <v>44.1</v>
      </c>
    </row>
    <row r="742" spans="1:4" x14ac:dyDescent="0.25">
      <c r="A742" s="82"/>
    </row>
    <row r="743" spans="1:4" x14ac:dyDescent="0.25">
      <c r="A743" s="82"/>
      <c r="B743" t="s">
        <v>434</v>
      </c>
      <c r="D743" s="1">
        <f>((-D740)+POWER(POWER(D740, 2)-(4*D734/D724), 0.5))/(2*D734)</f>
        <v>-1.5151530456139737</v>
      </c>
    </row>
    <row r="744" spans="1:4" x14ac:dyDescent="0.25">
      <c r="A744" s="82"/>
      <c r="B744" t="s">
        <v>435</v>
      </c>
      <c r="D744" s="1">
        <f>((-D740)-POWER(POWER(D740, 2)-(4*D734/D724), 0.5))/(2*D734)</f>
        <v>-1499998.4848469547</v>
      </c>
    </row>
    <row r="745" spans="1:4" x14ac:dyDescent="0.25">
      <c r="A745" s="82"/>
      <c r="B745" t="s">
        <v>436</v>
      </c>
      <c r="D745" s="1">
        <f>LN(D744/D743)/(D743-D744)</f>
        <v>9.2036573945350537E-6</v>
      </c>
    </row>
    <row r="746" spans="1:4" x14ac:dyDescent="0.25">
      <c r="A746" s="82"/>
      <c r="B746" t="s">
        <v>230</v>
      </c>
      <c r="D746" s="1">
        <f>(D741/(D734*(D743-D744)))*(EXP(D743*D745)-EXP(D744*D745))</f>
        <v>1.3363463508162678</v>
      </c>
    </row>
    <row r="747" spans="1:4" x14ac:dyDescent="0.25">
      <c r="A747" s="82"/>
      <c r="B747" t="s">
        <v>437</v>
      </c>
      <c r="D747" s="1">
        <f>D740*POWER(D746, 2)</f>
        <v>58.932111788218542</v>
      </c>
    </row>
    <row r="748" spans="1:4" x14ac:dyDescent="0.25">
      <c r="A748" s="82"/>
      <c r="C748" t="s">
        <v>433</v>
      </c>
      <c r="D748" s="1">
        <f>D747*D4</f>
        <v>70.71853414586225</v>
      </c>
    </row>
    <row r="749" spans="1:4" x14ac:dyDescent="0.25">
      <c r="A749" s="82"/>
      <c r="B749" t="s">
        <v>439</v>
      </c>
      <c r="C749" t="s">
        <v>438</v>
      </c>
      <c r="D749" t="b">
        <f>(POWER(D740, 2)/(4*POWER(D734, 2)))&lt;(1/(D734*D724))</f>
        <v>0</v>
      </c>
    </row>
    <row r="750" spans="1:4" x14ac:dyDescent="0.25">
      <c r="A750" s="82"/>
      <c r="B750" t="s">
        <v>440</v>
      </c>
      <c r="D750" s="1">
        <f>D740/(2*D734)</f>
        <v>750000</v>
      </c>
    </row>
    <row r="751" spans="1:4" x14ac:dyDescent="0.25">
      <c r="A751" s="82"/>
      <c r="B751" t="s">
        <v>441</v>
      </c>
      <c r="D751" s="1">
        <f>1/POWER(D734*D724, 0.5)</f>
        <v>1507.5567228888181</v>
      </c>
    </row>
    <row r="752" spans="1:4" x14ac:dyDescent="0.25">
      <c r="A752" s="82"/>
      <c r="B752" t="s">
        <v>442</v>
      </c>
      <c r="D752" t="str">
        <f>IF(D749, POWER(POWER(D751, 2)-POWER(D750, 2), 0.5),"NA")</f>
        <v>NA</v>
      </c>
    </row>
    <row r="753" spans="1:4" x14ac:dyDescent="0.25">
      <c r="A753" s="82"/>
      <c r="C753" t="s">
        <v>443</v>
      </c>
      <c r="D753" s="1" t="str">
        <f>IF(D749, 100*EXP(-PI()*D750/D752), "Not Under-damped")</f>
        <v>Not Under-damped</v>
      </c>
    </row>
    <row r="754" spans="1:4" x14ac:dyDescent="0.25">
      <c r="A754" s="82"/>
      <c r="B754" t="s">
        <v>444</v>
      </c>
      <c r="D754" s="1">
        <f>5/MIN(ABS(D743), ABS(D744))</f>
        <v>3.2999966666561322</v>
      </c>
    </row>
    <row r="755" spans="1:4" x14ac:dyDescent="0.25">
      <c r="A755" s="82"/>
      <c r="B755" t="s">
        <v>462</v>
      </c>
      <c r="C755" t="s">
        <v>459</v>
      </c>
      <c r="D755">
        <v>1600</v>
      </c>
    </row>
    <row r="756" spans="1:4" x14ac:dyDescent="0.25">
      <c r="A756" s="82"/>
      <c r="C756" t="s">
        <v>460</v>
      </c>
      <c r="D756">
        <v>0.1</v>
      </c>
    </row>
    <row r="757" spans="1:4" x14ac:dyDescent="0.25">
      <c r="A757" s="82"/>
      <c r="B757" t="s">
        <v>461</v>
      </c>
      <c r="D757">
        <f>D755*(1-D756)</f>
        <v>1440</v>
      </c>
    </row>
    <row r="758" spans="1:4" x14ac:dyDescent="0.25">
      <c r="A758" s="82"/>
      <c r="B758" t="s">
        <v>463</v>
      </c>
      <c r="D758">
        <f>D755*(1+D756)</f>
        <v>1760.0000000000002</v>
      </c>
    </row>
    <row r="759" spans="1:4" x14ac:dyDescent="0.25">
      <c r="A759" s="82"/>
      <c r="B759" t="s">
        <v>464</v>
      </c>
      <c r="D759">
        <v>24</v>
      </c>
    </row>
    <row r="760" spans="1:4" x14ac:dyDescent="0.25">
      <c r="A760" s="82"/>
      <c r="B760" t="s">
        <v>465</v>
      </c>
      <c r="D760">
        <v>1.4999999999999999E-2</v>
      </c>
    </row>
    <row r="761" spans="1:4" x14ac:dyDescent="0.25">
      <c r="A761" s="82"/>
      <c r="C761" t="s">
        <v>466</v>
      </c>
      <c r="D761" t="b">
        <f>(D759/D755)=D760</f>
        <v>1</v>
      </c>
    </row>
    <row r="762" spans="1:4" x14ac:dyDescent="0.25">
      <c r="A762" s="82"/>
      <c r="B762" t="s">
        <v>467</v>
      </c>
      <c r="C762" t="s">
        <v>468</v>
      </c>
      <c r="D762">
        <f>1.3*D759</f>
        <v>31.200000000000003</v>
      </c>
    </row>
    <row r="763" spans="1:4" x14ac:dyDescent="0.25">
      <c r="A763" s="82"/>
      <c r="B763" t="s">
        <v>469</v>
      </c>
      <c r="C763" t="s">
        <v>470</v>
      </c>
      <c r="D763">
        <f>0.75*D759</f>
        <v>18</v>
      </c>
    </row>
    <row r="764" spans="1:4" x14ac:dyDescent="0.25">
      <c r="A764" s="82"/>
      <c r="B764" t="s">
        <v>471</v>
      </c>
      <c r="D764">
        <f>D763/D758</f>
        <v>1.0227272727272725E-2</v>
      </c>
    </row>
    <row r="765" spans="1:4" x14ac:dyDescent="0.25">
      <c r="A765" s="82"/>
      <c r="B765" t="s">
        <v>472</v>
      </c>
      <c r="D765">
        <f>D762/D758</f>
        <v>1.7727272727272727E-2</v>
      </c>
    </row>
    <row r="766" spans="1:4" x14ac:dyDescent="0.25">
      <c r="A766" s="82"/>
      <c r="B766" t="s">
        <v>478</v>
      </c>
      <c r="D766">
        <v>1330</v>
      </c>
    </row>
    <row r="767" spans="1:4" x14ac:dyDescent="0.25">
      <c r="A767" s="82"/>
      <c r="C767" t="s">
        <v>482</v>
      </c>
      <c r="D767">
        <v>0.05</v>
      </c>
    </row>
    <row r="768" spans="1:4" x14ac:dyDescent="0.25">
      <c r="A768" s="82"/>
      <c r="B768" t="s">
        <v>483</v>
      </c>
      <c r="D768">
        <f>D766*(1-D767)</f>
        <v>1263.5</v>
      </c>
    </row>
    <row r="769" spans="1:4" x14ac:dyDescent="0.25">
      <c r="A769" s="82"/>
      <c r="B769" t="s">
        <v>484</v>
      </c>
      <c r="D769">
        <f>D766*(1+D767)</f>
        <v>1396.5</v>
      </c>
    </row>
    <row r="770" spans="1:4" x14ac:dyDescent="0.25">
      <c r="A770" s="82"/>
      <c r="C770" t="s">
        <v>475</v>
      </c>
      <c r="D770">
        <f>D6/(D755+D766)</f>
        <v>1.3003412969283274E-2</v>
      </c>
    </row>
    <row r="771" spans="1:4" x14ac:dyDescent="0.25">
      <c r="A771" s="82"/>
      <c r="C771" t="s">
        <v>476</v>
      </c>
      <c r="D771">
        <f>D5/(D757+D769)</f>
        <v>1.2480169222633529E-2</v>
      </c>
    </row>
    <row r="772" spans="1:4" x14ac:dyDescent="0.25">
      <c r="A772" s="82"/>
      <c r="C772" t="s">
        <v>477</v>
      </c>
      <c r="D772">
        <f>D7/(D757+D768)</f>
        <v>1.6312187904568152E-2</v>
      </c>
    </row>
    <row r="773" spans="1:4" x14ac:dyDescent="0.25">
      <c r="A773" s="82"/>
      <c r="C773" t="s">
        <v>479</v>
      </c>
      <c r="D773" t="b">
        <f>AND((D770&gt;D764), (D772&lt;D765))</f>
        <v>1</v>
      </c>
    </row>
    <row r="774" spans="1:4" x14ac:dyDescent="0.25">
      <c r="A774" s="82"/>
    </row>
    <row r="775" spans="1:4" x14ac:dyDescent="0.25">
      <c r="A775" s="82"/>
      <c r="B775" t="s">
        <v>480</v>
      </c>
      <c r="D775">
        <f xml:space="preserve"> POWER(D772, 2)*D766</f>
        <v>0.35389634073113957</v>
      </c>
    </row>
    <row r="776" spans="1:4" x14ac:dyDescent="0.25">
      <c r="A776" s="82"/>
      <c r="B776" t="s">
        <v>485</v>
      </c>
      <c r="D776">
        <f>POWER(D770, 2)*D755</f>
        <v>0.27054199815955915</v>
      </c>
    </row>
    <row r="777" spans="1:4" x14ac:dyDescent="0.25">
      <c r="A777" s="82"/>
      <c r="B777" t="s">
        <v>481</v>
      </c>
      <c r="D777">
        <f>POWER(D771, 2)*D758</f>
        <v>0.27412813793300184</v>
      </c>
    </row>
    <row r="778" spans="1:4" x14ac:dyDescent="0.25">
      <c r="A778" s="82"/>
      <c r="C778" t="s">
        <v>605</v>
      </c>
      <c r="D778" s="1">
        <f>0.5*D734*POWER(D779, 2)</f>
        <v>3.0311171733454588E-4</v>
      </c>
    </row>
    <row r="779" spans="1:4" x14ac:dyDescent="0.25">
      <c r="A779" s="82"/>
      <c r="C779" t="s">
        <v>606</v>
      </c>
      <c r="D779">
        <f>D2/D6</f>
        <v>5.2493438320209984</v>
      </c>
    </row>
    <row r="780" spans="1:4" x14ac:dyDescent="0.25">
      <c r="A780" s="82"/>
      <c r="C780" t="s">
        <v>607</v>
      </c>
      <c r="D780">
        <f>D6</f>
        <v>38.099999999999994</v>
      </c>
    </row>
    <row r="781" spans="1:4" x14ac:dyDescent="0.25">
      <c r="A781" s="82"/>
      <c r="C781" t="s">
        <v>608</v>
      </c>
      <c r="D781">
        <f>POWER(((0.5*D724*POWER(D780, 2))+D778)*2/D724, 0.5)</f>
        <v>38.100397782329424</v>
      </c>
    </row>
    <row r="782" spans="1:4" x14ac:dyDescent="0.25">
      <c r="A782" s="82"/>
      <c r="B782" t="s">
        <v>715</v>
      </c>
      <c r="C782" t="s">
        <v>714</v>
      </c>
      <c r="D782" s="1">
        <f>0.5*D724*POWER(D7, 2)</f>
        <v>19.448100000000004</v>
      </c>
    </row>
    <row r="783" spans="1:4" x14ac:dyDescent="0.25">
      <c r="A783" t="s">
        <v>713</v>
      </c>
      <c r="B783" t="s">
        <v>716</v>
      </c>
      <c r="C783" t="s">
        <v>717</v>
      </c>
      <c r="D783">
        <f>(0.06*0.022*0.0018)+(2*(0.06*0.0129*0.001))+(0.06*0.0091*0.0018)</f>
        <v>4.9067999999999993E-6</v>
      </c>
    </row>
    <row r="784" spans="1:4" x14ac:dyDescent="0.25">
      <c r="B784" t="s">
        <v>718</v>
      </c>
      <c r="C784" t="s">
        <v>719</v>
      </c>
      <c r="D784">
        <v>850</v>
      </c>
    </row>
    <row r="785" spans="1:10" x14ac:dyDescent="0.25">
      <c r="B785" t="s">
        <v>720</v>
      </c>
      <c r="C785" t="s">
        <v>721</v>
      </c>
      <c r="D785">
        <v>2700</v>
      </c>
    </row>
    <row r="786" spans="1:10" x14ac:dyDescent="0.25">
      <c r="B786" t="s">
        <v>692</v>
      </c>
      <c r="D786">
        <f>D782/(D785*D783*D784)</f>
        <v>1.7270150907024588</v>
      </c>
    </row>
    <row r="787" spans="1:10" x14ac:dyDescent="0.25">
      <c r="B787" t="s">
        <v>722</v>
      </c>
      <c r="C787" t="s">
        <v>729</v>
      </c>
      <c r="D787">
        <v>0.2</v>
      </c>
    </row>
    <row r="788" spans="1:10" x14ac:dyDescent="0.25">
      <c r="B788" t="s">
        <v>727</v>
      </c>
      <c r="C788" t="s">
        <v>726</v>
      </c>
      <c r="D788">
        <f>D784*D783*D785</f>
        <v>11.261106</v>
      </c>
    </row>
    <row r="789" spans="1:10" x14ac:dyDescent="0.25">
      <c r="B789" t="s">
        <v>733</v>
      </c>
      <c r="C789" t="s">
        <v>732</v>
      </c>
      <c r="D789">
        <f>0.022*0.06</f>
        <v>1.3199999999999998E-3</v>
      </c>
    </row>
    <row r="790" spans="1:10" x14ac:dyDescent="0.25">
      <c r="B790" t="s">
        <v>734</v>
      </c>
      <c r="C790" t="s">
        <v>735</v>
      </c>
      <c r="D790">
        <f>0.002</f>
        <v>2E-3</v>
      </c>
    </row>
    <row r="791" spans="1:10" x14ac:dyDescent="0.25">
      <c r="B791" t="s">
        <v>723</v>
      </c>
      <c r="C791" t="s">
        <v>724</v>
      </c>
      <c r="D791">
        <v>0.5</v>
      </c>
    </row>
    <row r="792" spans="1:10" x14ac:dyDescent="0.25">
      <c r="B792" t="s">
        <v>728</v>
      </c>
      <c r="C792" t="s">
        <v>725</v>
      </c>
      <c r="D792">
        <f>4.605*D788/D791</f>
        <v>103.71478626000001</v>
      </c>
    </row>
    <row r="793" spans="1:10" x14ac:dyDescent="0.25">
      <c r="B793" t="s">
        <v>730</v>
      </c>
      <c r="C793" t="s">
        <v>731</v>
      </c>
      <c r="D793">
        <f>D790/(D787*D789)</f>
        <v>7.575757575757577</v>
      </c>
    </row>
    <row r="794" spans="1:10" x14ac:dyDescent="0.25">
      <c r="B794" t="s">
        <v>736</v>
      </c>
      <c r="D794">
        <f>D788*D786/D792</f>
        <v>0.18751521071687935</v>
      </c>
    </row>
    <row r="795" spans="1:10" x14ac:dyDescent="0.25">
      <c r="B795" t="s">
        <v>737</v>
      </c>
      <c r="D795">
        <f>D794*D793</f>
        <v>1.4205697781581772</v>
      </c>
    </row>
    <row r="796" spans="1:10" x14ac:dyDescent="0.25">
      <c r="A796" s="37"/>
      <c r="C796" t="s">
        <v>613</v>
      </c>
      <c r="D796" t="s">
        <v>614</v>
      </c>
      <c r="E796" t="s">
        <v>616</v>
      </c>
      <c r="F796" t="s">
        <v>615</v>
      </c>
      <c r="G796" t="s">
        <v>617</v>
      </c>
    </row>
    <row r="797" spans="1:10" x14ac:dyDescent="0.25">
      <c r="A797" s="82" t="s">
        <v>609</v>
      </c>
      <c r="C797" t="s">
        <v>610</v>
      </c>
      <c r="D797">
        <f>D2/D5</f>
        <v>5.6497175141242932</v>
      </c>
      <c r="E797">
        <f>11*0.01</f>
        <v>0.11</v>
      </c>
      <c r="F797">
        <v>1</v>
      </c>
      <c r="G797">
        <v>22</v>
      </c>
      <c r="H797">
        <v>10</v>
      </c>
      <c r="I797">
        <v>10</v>
      </c>
      <c r="J797">
        <v>10</v>
      </c>
    </row>
    <row r="798" spans="1:10" x14ac:dyDescent="0.25">
      <c r="A798" s="82"/>
      <c r="C798" t="s">
        <v>611</v>
      </c>
      <c r="D798">
        <v>2</v>
      </c>
      <c r="E798">
        <v>2</v>
      </c>
      <c r="F798">
        <v>2</v>
      </c>
      <c r="G798">
        <v>2</v>
      </c>
      <c r="H798">
        <v>2</v>
      </c>
      <c r="I798">
        <v>2</v>
      </c>
      <c r="J798">
        <v>2</v>
      </c>
    </row>
    <row r="799" spans="1:10" x14ac:dyDescent="0.25">
      <c r="A799" s="82"/>
      <c r="C799" t="s">
        <v>612</v>
      </c>
      <c r="D799">
        <v>5</v>
      </c>
      <c r="E799">
        <v>5</v>
      </c>
      <c r="F799">
        <v>5</v>
      </c>
      <c r="G799">
        <v>5</v>
      </c>
      <c r="H799">
        <v>5</v>
      </c>
      <c r="I799">
        <v>5</v>
      </c>
      <c r="J799">
        <v>5</v>
      </c>
    </row>
    <row r="800" spans="1:10" x14ac:dyDescent="0.25">
      <c r="A800" s="82"/>
      <c r="C800" t="s">
        <v>620</v>
      </c>
      <c r="D800">
        <f>0.0254*POWER(D797/(0.048*POWER(D799, 0.44)), 1/0.725)/(D798*1.378)</f>
        <v>2.4923433704232472</v>
      </c>
      <c r="E800">
        <f t="shared" ref="E800:G800" si="76">0.0254*POWER(E797/(0.048*POWER(E799, 0.44)), 1/0.725)/(E798*1.378)</f>
        <v>1.0892125473680554E-2</v>
      </c>
      <c r="F800">
        <f t="shared" si="76"/>
        <v>0.22873341897835012</v>
      </c>
      <c r="G800">
        <f t="shared" si="76"/>
        <v>16.253508114154439</v>
      </c>
      <c r="H800">
        <f t="shared" ref="H800" si="77">0.0254*POWER(H797/(0.048*POWER(H799, 0.44)), 1/0.725)/(H798*1.378)</f>
        <v>5.4782262733389961</v>
      </c>
      <c r="I800">
        <f t="shared" ref="I800:J800" si="78">0.0254*POWER(I797/(0.048*POWER(I799, 0.44)), 1/0.725)/(I798*1.378)</f>
        <v>5.4782262733389961</v>
      </c>
      <c r="J800">
        <f t="shared" si="78"/>
        <v>5.4782262733389961</v>
      </c>
    </row>
    <row r="801" spans="1:9" x14ac:dyDescent="0.25">
      <c r="A801" s="82"/>
      <c r="C801" t="s">
        <v>621</v>
      </c>
      <c r="D801">
        <f>0.0254*POWER(D797/(0.024*POWER(D799, 0.44)), 1/0.725)/(D798*1.378)</f>
        <v>6.4836813405534928</v>
      </c>
      <c r="E801">
        <f t="shared" ref="E801:I801" si="79">0.0254*POWER(E797/(0.024*POWER(E799, 0.44)), 1/0.725)/(E798*1.378)</f>
        <v>2.8335209157266786E-2</v>
      </c>
      <c r="F801">
        <f t="shared" si="79"/>
        <v>0.59503622903255293</v>
      </c>
      <c r="G801">
        <f t="shared" si="79"/>
        <v>42.282523559497292</v>
      </c>
      <c r="H801">
        <f t="shared" si="79"/>
        <v>14.251276083899347</v>
      </c>
      <c r="I801">
        <f t="shared" si="79"/>
        <v>14.251276083899347</v>
      </c>
    </row>
    <row r="802" spans="1:9" x14ac:dyDescent="0.25">
      <c r="A802" s="82"/>
      <c r="C802" t="s">
        <v>619</v>
      </c>
      <c r="D802">
        <v>8</v>
      </c>
      <c r="E802">
        <v>1</v>
      </c>
      <c r="F802">
        <v>1</v>
      </c>
      <c r="G802">
        <v>8</v>
      </c>
      <c r="H802">
        <v>8</v>
      </c>
    </row>
    <row r="803" spans="1:9" x14ac:dyDescent="0.25">
      <c r="A803" s="82"/>
      <c r="C803" t="s">
        <v>624</v>
      </c>
      <c r="D803">
        <f>POWER(D797/POWER(D802*(D798*1.378)/0.0254, 0.725)/0.048, 1/0.44)</f>
        <v>0.7318559619713908</v>
      </c>
      <c r="E803">
        <f t="shared" ref="E803:H803" si="80">POWER(E797/POWER(E802*(E798*1.378)/0.0254, 0.725)/0.048, 1/0.44)</f>
        <v>2.9151906392472556E-3</v>
      </c>
      <c r="F803">
        <f t="shared" si="80"/>
        <v>0.43986554940209394</v>
      </c>
      <c r="G803">
        <f t="shared" si="80"/>
        <v>16.078094835159579</v>
      </c>
      <c r="H803">
        <f t="shared" si="80"/>
        <v>2.6791758539545092</v>
      </c>
    </row>
    <row r="804" spans="1:9" x14ac:dyDescent="0.25">
      <c r="A804" s="82"/>
      <c r="C804" t="s">
        <v>623</v>
      </c>
      <c r="D804">
        <f>POWER(D797/POWER(D802*(D798*1.378)/0.0254, 0.725)/0.024, 1/0.44)</f>
        <v>3.5365898499283999</v>
      </c>
      <c r="E804">
        <f t="shared" ref="E804:H804" si="81">POWER(E797/POWER(E802*(E798*1.378)/0.0254, 0.725)/0.024, 1/0.44)</f>
        <v>1.4087244158805046E-2</v>
      </c>
      <c r="F804">
        <f t="shared" si="81"/>
        <v>2.1255877087593311</v>
      </c>
      <c r="G804">
        <f t="shared" si="81"/>
        <v>77.695106625959824</v>
      </c>
      <c r="H804">
        <f t="shared" si="81"/>
        <v>12.946736275462857</v>
      </c>
    </row>
    <row r="805" spans="1:9" x14ac:dyDescent="0.25">
      <c r="A805" s="82"/>
      <c r="C805" t="s">
        <v>618</v>
      </c>
      <c r="D805">
        <v>100</v>
      </c>
      <c r="E805">
        <v>200</v>
      </c>
      <c r="F805">
        <v>120</v>
      </c>
      <c r="G805">
        <v>100</v>
      </c>
      <c r="H805">
        <v>100</v>
      </c>
    </row>
    <row r="806" spans="1:9" x14ac:dyDescent="0.25">
      <c r="A806" s="82"/>
      <c r="C806" t="s">
        <v>193</v>
      </c>
      <c r="D806">
        <f>(0.0000000168)*(D805/1000)/((D802/1000)*0.0000348*D798)</f>
        <v>3.0172413793103452E-3</v>
      </c>
      <c r="E806">
        <f>(0.0000000168)*(E805/1000)/((E802/1000)*0.0000348*E798)</f>
        <v>4.8275862068965524E-2</v>
      </c>
      <c r="F806">
        <f>(0.0000000168)*(F805/1000)/((F802/1000)*0.0000348*F798)</f>
        <v>2.8965517241379312E-2</v>
      </c>
      <c r="G806">
        <f>(0.0000000168)*(G805/1000)/((G802/1000)*0.0000348*G798)</f>
        <v>3.0172413793103452E-3</v>
      </c>
      <c r="H806">
        <f>(0.0000000168)*(H805/1000)/((H802/1000)*0.0000348*H798)</f>
        <v>3.0172413793103452E-3</v>
      </c>
    </row>
    <row r="807" spans="1:9" x14ac:dyDescent="0.25">
      <c r="A807" s="82"/>
      <c r="C807" t="s">
        <v>622</v>
      </c>
      <c r="D807">
        <f>POWER(D797, 2)*D806</f>
        <v>9.6308256864577377E-2</v>
      </c>
      <c r="E807">
        <f>POWER(E797, 2)*E806</f>
        <v>5.8413793103448278E-4</v>
      </c>
      <c r="F807">
        <f>POWER(F797, 2)*F806</f>
        <v>2.8965517241379312E-2</v>
      </c>
      <c r="G807">
        <f>POWER(G797, 2)*G806</f>
        <v>1.460344827586207</v>
      </c>
      <c r="H807">
        <f>POWER(H797, 2)*H806</f>
        <v>0.30172413793103453</v>
      </c>
    </row>
    <row r="808" spans="1:9" x14ac:dyDescent="0.25">
      <c r="A808" s="82"/>
      <c r="C808" t="s">
        <v>625</v>
      </c>
      <c r="D808">
        <f>D797*D806</f>
        <v>1.7046561465030197E-2</v>
      </c>
      <c r="E808">
        <f t="shared" ref="E808:H808" si="82">E797*E806</f>
        <v>5.3103448275862077E-3</v>
      </c>
      <c r="F808">
        <f t="shared" si="82"/>
        <v>2.8965517241379312E-2</v>
      </c>
      <c r="G808">
        <f t="shared" si="82"/>
        <v>6.6379310344827594E-2</v>
      </c>
      <c r="H808">
        <f t="shared" si="82"/>
        <v>3.0172413793103453E-2</v>
      </c>
    </row>
    <row r="809" spans="1:9" x14ac:dyDescent="0.25">
      <c r="A809" s="82"/>
    </row>
    <row r="810" spans="1:9" x14ac:dyDescent="0.25">
      <c r="A810" s="37"/>
    </row>
    <row r="811" spans="1:9" x14ac:dyDescent="0.25">
      <c r="A811" s="37"/>
    </row>
    <row r="815" spans="1:9" x14ac:dyDescent="0.25">
      <c r="A815" s="81" t="s">
        <v>698</v>
      </c>
      <c r="C815" t="s">
        <v>4</v>
      </c>
      <c r="D815">
        <v>1.2</v>
      </c>
    </row>
    <row r="816" spans="1:9" x14ac:dyDescent="0.25">
      <c r="A816" s="81"/>
      <c r="C816" t="s">
        <v>1065</v>
      </c>
      <c r="D816" s="50">
        <v>2</v>
      </c>
    </row>
    <row r="817" spans="1:5" x14ac:dyDescent="0.25">
      <c r="A817" s="81"/>
      <c r="C817" t="s">
        <v>1066</v>
      </c>
      <c r="D817" s="50">
        <f>1.2*D8</f>
        <v>192000</v>
      </c>
    </row>
    <row r="818" spans="1:5" x14ac:dyDescent="0.25">
      <c r="A818" s="81"/>
      <c r="C818" t="s">
        <v>1068</v>
      </c>
      <c r="D818" s="50">
        <v>25000</v>
      </c>
    </row>
    <row r="819" spans="1:5" x14ac:dyDescent="0.25">
      <c r="A819" s="81"/>
      <c r="C819" t="s">
        <v>1067</v>
      </c>
      <c r="D819" s="52">
        <v>1000000000</v>
      </c>
    </row>
    <row r="820" spans="1:5" x14ac:dyDescent="0.25">
      <c r="A820" s="81"/>
      <c r="C820" t="s">
        <v>1070</v>
      </c>
      <c r="D820" s="50">
        <v>3.5</v>
      </c>
    </row>
    <row r="821" spans="1:5" x14ac:dyDescent="0.25">
      <c r="A821" s="81"/>
      <c r="C821" t="s">
        <v>1072</v>
      </c>
      <c r="D821" s="50">
        <f>D818/D815</f>
        <v>20833.333333333336</v>
      </c>
    </row>
    <row r="822" spans="1:5" x14ac:dyDescent="0.25">
      <c r="A822" s="81"/>
      <c r="C822" t="s">
        <v>1071</v>
      </c>
      <c r="D822">
        <f>D820/D815</f>
        <v>2.916666666666667</v>
      </c>
    </row>
    <row r="823" spans="1:5" x14ac:dyDescent="0.25">
      <c r="A823" s="81"/>
      <c r="C823" t="s">
        <v>1069</v>
      </c>
      <c r="D823" s="50">
        <f>CEILING(D817/D821, 1)</f>
        <v>10</v>
      </c>
    </row>
    <row r="824" spans="1:5" x14ac:dyDescent="0.25">
      <c r="A824" s="81"/>
      <c r="C824" t="s">
        <v>699</v>
      </c>
      <c r="D824" s="50">
        <v>6</v>
      </c>
    </row>
    <row r="825" spans="1:5" x14ac:dyDescent="0.25">
      <c r="A825" s="81"/>
      <c r="C825" t="s">
        <v>1075</v>
      </c>
      <c r="D825" s="71">
        <f>D817/D824</f>
        <v>32000</v>
      </c>
    </row>
    <row r="826" spans="1:5" x14ac:dyDescent="0.25">
      <c r="A826" s="81"/>
      <c r="C826" t="s">
        <v>211</v>
      </c>
      <c r="D826" s="49">
        <f>D819*D824</f>
        <v>6000000000</v>
      </c>
    </row>
    <row r="827" spans="1:5" x14ac:dyDescent="0.25">
      <c r="A827" s="81"/>
      <c r="C827" t="s">
        <v>700</v>
      </c>
      <c r="D827" s="27">
        <f>D817/D816</f>
        <v>96000</v>
      </c>
    </row>
    <row r="828" spans="1:5" x14ac:dyDescent="0.25">
      <c r="A828" s="81"/>
      <c r="C828" t="s">
        <v>701</v>
      </c>
      <c r="D828" s="27">
        <f>D826/D827</f>
        <v>62500</v>
      </c>
    </row>
    <row r="829" spans="1:5" x14ac:dyDescent="0.25">
      <c r="A829" s="81"/>
      <c r="C829" t="s">
        <v>738</v>
      </c>
      <c r="D829" s="52">
        <f>D828</f>
        <v>62500</v>
      </c>
    </row>
    <row r="830" spans="1:5" x14ac:dyDescent="0.25">
      <c r="A830" s="81"/>
      <c r="C830" t="s">
        <v>702</v>
      </c>
      <c r="D830" s="49">
        <f>D817/D826</f>
        <v>3.1999999999999999E-5</v>
      </c>
      <c r="E830" t="s">
        <v>20</v>
      </c>
    </row>
    <row r="831" spans="1:5" x14ac:dyDescent="0.25">
      <c r="A831" s="81"/>
      <c r="C831" t="s">
        <v>703</v>
      </c>
      <c r="D831" s="49">
        <f>POWER(D830, 2)*D819</f>
        <v>1.024</v>
      </c>
    </row>
    <row r="832" spans="1:5" x14ac:dyDescent="0.25">
      <c r="A832" s="81"/>
      <c r="C832" t="s">
        <v>1074</v>
      </c>
      <c r="D832" s="49" t="b">
        <f>D825&lt;=D821</f>
        <v>0</v>
      </c>
    </row>
    <row r="833" spans="1:4" x14ac:dyDescent="0.25">
      <c r="A833" s="81"/>
      <c r="C833" t="s">
        <v>1073</v>
      </c>
      <c r="D833" s="49" t="b">
        <f>D831&lt;=D822</f>
        <v>1</v>
      </c>
    </row>
    <row r="834" spans="1:4" x14ac:dyDescent="0.25">
      <c r="A834" s="81"/>
      <c r="C834" t="s">
        <v>704</v>
      </c>
      <c r="D834" s="49">
        <f>D831*D824</f>
        <v>6.1440000000000001</v>
      </c>
    </row>
    <row r="835" spans="1:4" x14ac:dyDescent="0.25">
      <c r="A835" s="81"/>
      <c r="C835" t="s">
        <v>705</v>
      </c>
      <c r="D835" s="49">
        <f>POWER(D830, 2)*D829</f>
        <v>6.3999999999999997E-5</v>
      </c>
    </row>
    <row r="837" spans="1:4" x14ac:dyDescent="0.25">
      <c r="A837" s="81" t="s">
        <v>698</v>
      </c>
      <c r="C837" t="s">
        <v>4</v>
      </c>
      <c r="D837">
        <v>1.2</v>
      </c>
    </row>
    <row r="838" spans="1:4" x14ac:dyDescent="0.25">
      <c r="A838" s="81"/>
      <c r="C838" t="s">
        <v>1065</v>
      </c>
      <c r="D838" s="50">
        <v>2</v>
      </c>
    </row>
    <row r="839" spans="1:4" x14ac:dyDescent="0.25">
      <c r="A839" s="81"/>
      <c r="C839" t="s">
        <v>1066</v>
      </c>
      <c r="D839" s="50">
        <f>1.2*D12</f>
        <v>16800</v>
      </c>
    </row>
    <row r="840" spans="1:4" x14ac:dyDescent="0.25">
      <c r="A840" s="81"/>
      <c r="C840" t="s">
        <v>1068</v>
      </c>
      <c r="D840" s="50">
        <v>25000</v>
      </c>
    </row>
    <row r="841" spans="1:4" x14ac:dyDescent="0.25">
      <c r="A841" s="81"/>
      <c r="C841" t="s">
        <v>1067</v>
      </c>
      <c r="D841" s="52">
        <v>100000000</v>
      </c>
    </row>
    <row r="842" spans="1:4" x14ac:dyDescent="0.25">
      <c r="A842" s="81"/>
      <c r="C842" t="s">
        <v>1070</v>
      </c>
      <c r="D842" s="50">
        <v>3.5</v>
      </c>
    </row>
    <row r="843" spans="1:4" x14ac:dyDescent="0.25">
      <c r="A843" s="81"/>
      <c r="C843" t="s">
        <v>1072</v>
      </c>
      <c r="D843" s="50">
        <f>D840/D837</f>
        <v>20833.333333333336</v>
      </c>
    </row>
    <row r="844" spans="1:4" x14ac:dyDescent="0.25">
      <c r="A844" s="81"/>
      <c r="C844" t="s">
        <v>1071</v>
      </c>
      <c r="D844">
        <f>D842/D837</f>
        <v>2.916666666666667</v>
      </c>
    </row>
    <row r="845" spans="1:4" x14ac:dyDescent="0.25">
      <c r="A845" s="81"/>
      <c r="C845" t="s">
        <v>1069</v>
      </c>
      <c r="D845" s="50">
        <f>CEILING(D839/D843, 1)</f>
        <v>1</v>
      </c>
    </row>
    <row r="846" spans="1:4" x14ac:dyDescent="0.25">
      <c r="A846" s="81"/>
      <c r="C846" t="s">
        <v>699</v>
      </c>
      <c r="D846" s="50">
        <v>2</v>
      </c>
    </row>
    <row r="847" spans="1:4" x14ac:dyDescent="0.25">
      <c r="A847" s="81"/>
      <c r="C847" t="s">
        <v>1075</v>
      </c>
      <c r="D847" s="71">
        <f>D839/D846</f>
        <v>8400</v>
      </c>
    </row>
    <row r="848" spans="1:4" x14ac:dyDescent="0.25">
      <c r="A848" s="81"/>
      <c r="C848" t="s">
        <v>211</v>
      </c>
      <c r="D848" s="49">
        <f>D841*D846</f>
        <v>200000000</v>
      </c>
    </row>
    <row r="849" spans="1:5" x14ac:dyDescent="0.25">
      <c r="A849" s="81"/>
      <c r="C849" t="s">
        <v>700</v>
      </c>
      <c r="D849" s="27">
        <f>D839/D838</f>
        <v>8400</v>
      </c>
    </row>
    <row r="850" spans="1:5" x14ac:dyDescent="0.25">
      <c r="A850" s="81"/>
      <c r="C850" t="s">
        <v>701</v>
      </c>
      <c r="D850" s="27">
        <f>D848/D849</f>
        <v>23809.523809523809</v>
      </c>
    </row>
    <row r="851" spans="1:5" x14ac:dyDescent="0.25">
      <c r="A851" s="81"/>
      <c r="C851" t="s">
        <v>738</v>
      </c>
      <c r="D851" s="52">
        <f>D850</f>
        <v>23809.523809523809</v>
      </c>
    </row>
    <row r="852" spans="1:5" x14ac:dyDescent="0.25">
      <c r="A852" s="81"/>
      <c r="C852" t="s">
        <v>1143</v>
      </c>
      <c r="D852" s="52">
        <f>(D846*D841)/D851</f>
        <v>8400</v>
      </c>
    </row>
    <row r="853" spans="1:5" x14ac:dyDescent="0.25">
      <c r="A853" s="81"/>
      <c r="C853" t="s">
        <v>702</v>
      </c>
      <c r="D853" s="49">
        <f>D839/D848</f>
        <v>8.3999999999999995E-5</v>
      </c>
    </row>
    <row r="854" spans="1:5" x14ac:dyDescent="0.25">
      <c r="A854" s="81"/>
      <c r="C854" t="s">
        <v>703</v>
      </c>
      <c r="D854" s="49">
        <f>POWER(D853,2)*D841</f>
        <v>0.7056</v>
      </c>
    </row>
    <row r="855" spans="1:5" x14ac:dyDescent="0.25">
      <c r="A855" s="81"/>
      <c r="C855" t="s">
        <v>1074</v>
      </c>
      <c r="D855" s="49" t="b">
        <f>D847&lt;=D843</f>
        <v>1</v>
      </c>
    </row>
    <row r="856" spans="1:5" x14ac:dyDescent="0.25">
      <c r="A856" s="81"/>
      <c r="C856" t="s">
        <v>1073</v>
      </c>
      <c r="D856" s="49" t="b">
        <f>D854&lt;=D844</f>
        <v>1</v>
      </c>
    </row>
    <row r="857" spans="1:5" x14ac:dyDescent="0.25">
      <c r="A857" s="81"/>
      <c r="C857" t="s">
        <v>704</v>
      </c>
      <c r="D857" s="49">
        <f>D854*D846</f>
        <v>1.4112</v>
      </c>
    </row>
    <row r="858" spans="1:5" x14ac:dyDescent="0.25">
      <c r="A858" s="81"/>
      <c r="C858" t="s">
        <v>705</v>
      </c>
      <c r="D858" s="49">
        <f>POWER(D853, 2)*D851</f>
        <v>1.6799999999999999E-4</v>
      </c>
    </row>
    <row r="859" spans="1:5" x14ac:dyDescent="0.25">
      <c r="A859" s="67"/>
      <c r="D859" s="49"/>
    </row>
    <row r="860" spans="1:5" x14ac:dyDescent="0.25">
      <c r="C860" t="s">
        <v>707</v>
      </c>
      <c r="D860">
        <v>3</v>
      </c>
    </row>
    <row r="861" spans="1:5" x14ac:dyDescent="0.25">
      <c r="A861" s="82" t="s">
        <v>706</v>
      </c>
      <c r="C861" t="s">
        <v>708</v>
      </c>
      <c r="D861">
        <v>550</v>
      </c>
      <c r="E861" t="s">
        <v>710</v>
      </c>
    </row>
    <row r="862" spans="1:5" x14ac:dyDescent="0.25">
      <c r="A862" s="82"/>
      <c r="C862" t="s">
        <v>709</v>
      </c>
      <c r="D862">
        <f>25.4*41.9*0.000001</f>
        <v>1.06426E-3</v>
      </c>
    </row>
    <row r="863" spans="1:5" x14ac:dyDescent="0.25">
      <c r="A863" s="82"/>
      <c r="C863" t="s">
        <v>711</v>
      </c>
      <c r="D863">
        <f>D862*D861*0.3048</f>
        <v>0.17841254640000004</v>
      </c>
      <c r="E863" t="s">
        <v>627</v>
      </c>
    </row>
    <row r="864" spans="1:5" x14ac:dyDescent="0.25">
      <c r="A864" s="82"/>
      <c r="C864" t="s">
        <v>712</v>
      </c>
      <c r="D864">
        <f>D863*50</f>
        <v>8.9206273200000012</v>
      </c>
    </row>
    <row r="865" spans="1:5" x14ac:dyDescent="0.25">
      <c r="A865" s="82"/>
    </row>
    <row r="866" spans="1:5" x14ac:dyDescent="0.25">
      <c r="A866" s="82"/>
    </row>
    <row r="867" spans="1:5" x14ac:dyDescent="0.25">
      <c r="A867" s="82"/>
    </row>
    <row r="868" spans="1:5" x14ac:dyDescent="0.25">
      <c r="A868" s="82"/>
    </row>
    <row r="869" spans="1:5" x14ac:dyDescent="0.25">
      <c r="A869" s="82"/>
    </row>
    <row r="870" spans="1:5" x14ac:dyDescent="0.25">
      <c r="A870" s="82"/>
    </row>
    <row r="871" spans="1:5" x14ac:dyDescent="0.25">
      <c r="A871" s="82"/>
    </row>
    <row r="872" spans="1:5" x14ac:dyDescent="0.25">
      <c r="A872" s="82"/>
    </row>
    <row r="873" spans="1:5" x14ac:dyDescent="0.25">
      <c r="A873" s="82"/>
    </row>
    <row r="874" spans="1:5" x14ac:dyDescent="0.25">
      <c r="C874" t="s">
        <v>740</v>
      </c>
      <c r="E874" s="1">
        <f>D67</f>
        <v>0.31359999999999999</v>
      </c>
    </row>
    <row r="875" spans="1:5" x14ac:dyDescent="0.25">
      <c r="A875" s="82" t="s">
        <v>739</v>
      </c>
      <c r="C875" t="s">
        <v>741</v>
      </c>
      <c r="E875">
        <f>D27</f>
        <v>1.4</v>
      </c>
    </row>
    <row r="876" spans="1:5" x14ac:dyDescent="0.25">
      <c r="A876" s="82"/>
      <c r="C876" t="s">
        <v>742</v>
      </c>
      <c r="E876" s="1">
        <f>D219+D220</f>
        <v>1.536150511549532</v>
      </c>
    </row>
    <row r="877" spans="1:5" x14ac:dyDescent="0.25">
      <c r="A877" s="82"/>
      <c r="C877" t="s">
        <v>743</v>
      </c>
      <c r="E877" s="1">
        <f>E874+E875+E876</f>
        <v>3.2497505115495322</v>
      </c>
    </row>
    <row r="878" spans="1:5" x14ac:dyDescent="0.25">
      <c r="A878" s="82"/>
    </row>
    <row r="879" spans="1:5" x14ac:dyDescent="0.25">
      <c r="A879" s="82"/>
    </row>
    <row r="880" spans="1:5" x14ac:dyDescent="0.25">
      <c r="A880" s="82"/>
      <c r="C880" t="s">
        <v>4</v>
      </c>
      <c r="E880">
        <v>2</v>
      </c>
    </row>
    <row r="881" spans="1:5" x14ac:dyDescent="0.25">
      <c r="A881" s="82"/>
      <c r="C881" t="s">
        <v>628</v>
      </c>
      <c r="D881" t="s">
        <v>205</v>
      </c>
      <c r="E881">
        <v>0.17399999999999999</v>
      </c>
    </row>
    <row r="882" spans="1:5" x14ac:dyDescent="0.25">
      <c r="A882" s="82"/>
      <c r="C882" t="s">
        <v>629</v>
      </c>
      <c r="D882" t="s">
        <v>205</v>
      </c>
      <c r="E882">
        <v>0.5</v>
      </c>
    </row>
    <row r="883" spans="1:5" x14ac:dyDescent="0.25">
      <c r="A883" s="82"/>
      <c r="C883" t="s">
        <v>626</v>
      </c>
      <c r="D883" t="s">
        <v>637</v>
      </c>
      <c r="E883">
        <f>POWER(E881/2, 2)*PI()*E882</f>
        <v>1.1889357397510571E-2</v>
      </c>
    </row>
    <row r="884" spans="1:5" x14ac:dyDescent="0.25">
      <c r="A884" s="82"/>
      <c r="C884" t="s">
        <v>630</v>
      </c>
      <c r="E884" s="1">
        <f>E877</f>
        <v>3.2497505115495322</v>
      </c>
    </row>
    <row r="885" spans="1:5" x14ac:dyDescent="0.25">
      <c r="A885" s="82"/>
      <c r="C885" t="s">
        <v>635</v>
      </c>
      <c r="D885" t="s">
        <v>631</v>
      </c>
      <c r="E885">
        <v>2300</v>
      </c>
    </row>
    <row r="886" spans="1:5" x14ac:dyDescent="0.25">
      <c r="A886" s="82"/>
      <c r="C886" t="s">
        <v>632</v>
      </c>
      <c r="D886" t="s">
        <v>633</v>
      </c>
      <c r="E886">
        <v>20</v>
      </c>
    </row>
    <row r="887" spans="1:5" x14ac:dyDescent="0.25">
      <c r="A887" s="82"/>
      <c r="C887" t="s">
        <v>634</v>
      </c>
      <c r="D887" t="s">
        <v>636</v>
      </c>
      <c r="E887">
        <v>800</v>
      </c>
    </row>
    <row r="888" spans="1:5" x14ac:dyDescent="0.25">
      <c r="A888" s="82"/>
      <c r="C888" t="s">
        <v>638</v>
      </c>
      <c r="D888" t="s">
        <v>639</v>
      </c>
      <c r="E888">
        <f>E887*E883</f>
        <v>9.5114859180084572</v>
      </c>
    </row>
    <row r="889" spans="1:5" x14ac:dyDescent="0.25">
      <c r="A889" s="82"/>
      <c r="C889" t="s">
        <v>640</v>
      </c>
      <c r="D889" t="s">
        <v>641</v>
      </c>
      <c r="E889">
        <f>E885*E888*E886</f>
        <v>437528.35222838906</v>
      </c>
    </row>
    <row r="890" spans="1:5" x14ac:dyDescent="0.25">
      <c r="A890" s="82"/>
      <c r="C890" t="s">
        <v>642</v>
      </c>
      <c r="D890" t="s">
        <v>322</v>
      </c>
      <c r="E890">
        <f>E889/E884</f>
        <v>134634.44368219166</v>
      </c>
    </row>
    <row r="891" spans="1:5" x14ac:dyDescent="0.25">
      <c r="A891" s="82"/>
      <c r="C891" t="s">
        <v>643</v>
      </c>
      <c r="D891" t="s">
        <v>322</v>
      </c>
      <c r="E891">
        <f>E890/E880</f>
        <v>67317.22184109583</v>
      </c>
    </row>
    <row r="892" spans="1:5" x14ac:dyDescent="0.25">
      <c r="A892" s="82"/>
      <c r="C892" t="s">
        <v>644</v>
      </c>
      <c r="D892" t="s">
        <v>645</v>
      </c>
      <c r="E892">
        <f>E883/E891</f>
        <v>1.7661687562769196E-7</v>
      </c>
    </row>
    <row r="893" spans="1:5" x14ac:dyDescent="0.25">
      <c r="A893" s="82"/>
      <c r="C893" t="s">
        <v>644</v>
      </c>
      <c r="D893" t="s">
        <v>646</v>
      </c>
      <c r="E893">
        <f>(1000000)*E892</f>
        <v>0.17661687562769196</v>
      </c>
    </row>
    <row r="894" spans="1:5" x14ac:dyDescent="0.25">
      <c r="A894" s="82"/>
      <c r="C894" t="s">
        <v>647</v>
      </c>
      <c r="D894" t="s">
        <v>648</v>
      </c>
      <c r="E894">
        <v>0.1</v>
      </c>
    </row>
    <row r="895" spans="1:5" x14ac:dyDescent="0.25">
      <c r="A895" s="82"/>
      <c r="C895" t="s">
        <v>649</v>
      </c>
      <c r="D895" t="s">
        <v>206</v>
      </c>
      <c r="E895">
        <f>E892/E894</f>
        <v>1.7661687562769195E-6</v>
      </c>
    </row>
    <row r="896" spans="1:5" x14ac:dyDescent="0.25">
      <c r="A896" s="82"/>
      <c r="C896" t="s">
        <v>650</v>
      </c>
      <c r="D896" t="s">
        <v>205</v>
      </c>
      <c r="E896">
        <f>2*POWER(E895/PI(), 0.5)</f>
        <v>1.499585243714906E-3</v>
      </c>
    </row>
    <row r="897" spans="1:5" x14ac:dyDescent="0.25">
      <c r="A897" s="82"/>
      <c r="C897" t="s">
        <v>652</v>
      </c>
      <c r="D897" t="s">
        <v>205</v>
      </c>
      <c r="E897">
        <f>CEILING(E896, 0.001)</f>
        <v>2E-3</v>
      </c>
    </row>
    <row r="898" spans="1:5" x14ac:dyDescent="0.25">
      <c r="A898" s="82"/>
      <c r="C898" t="s">
        <v>651</v>
      </c>
      <c r="D898" t="s">
        <v>132</v>
      </c>
      <c r="E898">
        <f>E897*1000</f>
        <v>2</v>
      </c>
    </row>
    <row r="899" spans="1:5" x14ac:dyDescent="0.25">
      <c r="A899" s="82"/>
      <c r="C899" t="s">
        <v>657</v>
      </c>
      <c r="D899" t="s">
        <v>132</v>
      </c>
      <c r="E899">
        <v>9</v>
      </c>
    </row>
    <row r="900" spans="1:5" x14ac:dyDescent="0.25">
      <c r="A900" s="82"/>
      <c r="C900" t="s">
        <v>658</v>
      </c>
      <c r="E900">
        <f>E899/1000</f>
        <v>8.9999999999999993E-3</v>
      </c>
    </row>
    <row r="901" spans="1:5" x14ac:dyDescent="0.25">
      <c r="C901" t="s">
        <v>655</v>
      </c>
      <c r="E901">
        <f>0.00604</f>
        <v>6.0400000000000002E-3</v>
      </c>
    </row>
    <row r="902" spans="1:5" x14ac:dyDescent="0.25">
      <c r="C902" t="s">
        <v>654</v>
      </c>
      <c r="E902">
        <f>E901/E887</f>
        <v>7.5500000000000006E-6</v>
      </c>
    </row>
    <row r="903" spans="1:5" x14ac:dyDescent="0.25">
      <c r="C903" t="s">
        <v>653</v>
      </c>
      <c r="E903">
        <v>2300</v>
      </c>
    </row>
    <row r="904" spans="1:5" x14ac:dyDescent="0.25">
      <c r="C904" t="s">
        <v>656</v>
      </c>
      <c r="E904">
        <f>E887*E894*E900/E901</f>
        <v>119.20529801324503</v>
      </c>
    </row>
    <row r="905" spans="1:5" x14ac:dyDescent="0.25">
      <c r="C905" t="s">
        <v>659</v>
      </c>
      <c r="E905" t="b">
        <f>E904&lt;E903</f>
        <v>1</v>
      </c>
    </row>
    <row r="908" spans="1:5" x14ac:dyDescent="0.25">
      <c r="B908" t="s">
        <v>37</v>
      </c>
      <c r="C908" t="s">
        <v>43</v>
      </c>
      <c r="D908" t="s">
        <v>21</v>
      </c>
      <c r="E908">
        <f>D5</f>
        <v>35.400000000000006</v>
      </c>
    </row>
    <row r="909" spans="1:5" x14ac:dyDescent="0.25">
      <c r="A909" s="82" t="s">
        <v>760</v>
      </c>
      <c r="B909" t="s">
        <v>473</v>
      </c>
      <c r="C909" t="s">
        <v>474</v>
      </c>
      <c r="D909" t="s">
        <v>21</v>
      </c>
      <c r="E909">
        <f>D6</f>
        <v>38.099999999999994</v>
      </c>
    </row>
    <row r="910" spans="1:5" x14ac:dyDescent="0.25">
      <c r="A910" s="82"/>
      <c r="B910" t="s">
        <v>38</v>
      </c>
      <c r="C910" t="s">
        <v>42</v>
      </c>
      <c r="D910" t="s">
        <v>21</v>
      </c>
      <c r="E910">
        <f>D7</f>
        <v>44.1</v>
      </c>
    </row>
    <row r="911" spans="1:5" x14ac:dyDescent="0.25">
      <c r="A911" s="82"/>
      <c r="C911" t="s">
        <v>761</v>
      </c>
      <c r="D911" t="s">
        <v>20</v>
      </c>
      <c r="E911">
        <v>3</v>
      </c>
    </row>
    <row r="912" spans="1:5" x14ac:dyDescent="0.25">
      <c r="A912" s="82"/>
      <c r="C912" t="s">
        <v>762</v>
      </c>
      <c r="E912">
        <f>(E910/E911)</f>
        <v>14.700000000000001</v>
      </c>
    </row>
    <row r="913" spans="1:15" x14ac:dyDescent="0.25">
      <c r="A913" s="82"/>
      <c r="C913" t="s">
        <v>763</v>
      </c>
      <c r="E913">
        <f>E908/E911</f>
        <v>11.800000000000002</v>
      </c>
    </row>
    <row r="914" spans="1:15" ht="18.75" customHeight="1" x14ac:dyDescent="0.25">
      <c r="A914" s="82"/>
      <c r="C914" t="s">
        <v>764</v>
      </c>
      <c r="E914">
        <f>E909/E911</f>
        <v>12.699999999999998</v>
      </c>
    </row>
    <row r="915" spans="1:15" hidden="1" x14ac:dyDescent="0.25">
      <c r="A915" s="82"/>
      <c r="C915" t="s">
        <v>765</v>
      </c>
      <c r="E915">
        <f>12</f>
        <v>12</v>
      </c>
    </row>
    <row r="916" spans="1:15" ht="115.5" customHeight="1" x14ac:dyDescent="0.25">
      <c r="A916" s="82"/>
      <c r="C916" t="s">
        <v>766</v>
      </c>
      <c r="E916">
        <f>E910*E910/E915</f>
        <v>162.06750000000002</v>
      </c>
      <c r="G916" s="17" t="s">
        <v>193</v>
      </c>
      <c r="H916" s="41" t="s">
        <v>772</v>
      </c>
      <c r="I916" s="41" t="s">
        <v>775</v>
      </c>
      <c r="J916" s="41" t="s">
        <v>774</v>
      </c>
      <c r="K916" s="41" t="s">
        <v>773</v>
      </c>
      <c r="L916" s="41" t="s">
        <v>776</v>
      </c>
      <c r="M916" s="41" t="s">
        <v>777</v>
      </c>
      <c r="N916" s="41" t="s">
        <v>779</v>
      </c>
      <c r="O916" s="40"/>
    </row>
    <row r="917" spans="1:15" x14ac:dyDescent="0.25">
      <c r="A917" s="82"/>
      <c r="C917" t="s">
        <v>767</v>
      </c>
      <c r="E917">
        <f>6</f>
        <v>6</v>
      </c>
      <c r="G917" s="17">
        <v>1</v>
      </c>
      <c r="H917" s="17">
        <f>E910/G917</f>
        <v>44.1</v>
      </c>
      <c r="I917" s="17">
        <f>H917*H917*G917</f>
        <v>1944.8100000000002</v>
      </c>
      <c r="J917" s="17">
        <f>I917/2</f>
        <v>972.40500000000009</v>
      </c>
      <c r="K917" s="17">
        <f>E908/G917</f>
        <v>35.400000000000006</v>
      </c>
      <c r="L917" s="17">
        <f>E908*E908/G917</f>
        <v>1253.1600000000003</v>
      </c>
      <c r="M917" s="17">
        <f>L917/2</f>
        <v>626.58000000000015</v>
      </c>
      <c r="N917" s="40"/>
    </row>
    <row r="918" spans="1:15" x14ac:dyDescent="0.25">
      <c r="A918" s="82"/>
      <c r="C918" t="s">
        <v>768</v>
      </c>
      <c r="E918">
        <v>2</v>
      </c>
      <c r="G918" s="17">
        <v>2</v>
      </c>
      <c r="H918" s="17">
        <f>E910/G918</f>
        <v>22.05</v>
      </c>
      <c r="I918" s="17">
        <f t="shared" ref="I918:I931" si="83">H918*H918*G918</f>
        <v>972.40500000000009</v>
      </c>
      <c r="J918" s="17">
        <f>I918/2</f>
        <v>486.20250000000004</v>
      </c>
      <c r="K918" s="17">
        <f>E908/G918</f>
        <v>17.700000000000003</v>
      </c>
      <c r="L918" s="17">
        <f>E908*E908/G918</f>
        <v>626.58000000000015</v>
      </c>
      <c r="M918" s="17">
        <f>L918/2</f>
        <v>313.29000000000008</v>
      </c>
      <c r="N918" s="40"/>
    </row>
    <row r="919" spans="1:15" x14ac:dyDescent="0.25">
      <c r="A919" s="82"/>
      <c r="C919" t="s">
        <v>769</v>
      </c>
      <c r="E919">
        <f xml:space="preserve"> E917*E918</f>
        <v>12</v>
      </c>
      <c r="G919" s="17">
        <v>3</v>
      </c>
      <c r="H919" s="17">
        <f>E910/G919</f>
        <v>14.700000000000001</v>
      </c>
      <c r="I919" s="17">
        <f t="shared" si="83"/>
        <v>648.2700000000001</v>
      </c>
      <c r="J919" s="17">
        <f>I919/2</f>
        <v>324.13500000000005</v>
      </c>
      <c r="K919" s="17">
        <f>E908/G919</f>
        <v>11.800000000000002</v>
      </c>
      <c r="L919" s="17">
        <f>E908*E908/G919</f>
        <v>417.72000000000008</v>
      </c>
      <c r="M919" s="17">
        <f>L919/2</f>
        <v>208.86000000000004</v>
      </c>
    </row>
    <row r="920" spans="1:15" x14ac:dyDescent="0.25">
      <c r="A920" s="82"/>
      <c r="G920" s="17">
        <v>4</v>
      </c>
      <c r="H920" s="17">
        <f>E910/G920</f>
        <v>11.025</v>
      </c>
      <c r="I920" s="17">
        <f t="shared" si="83"/>
        <v>486.20250000000004</v>
      </c>
      <c r="J920" s="17">
        <f t="shared" ref="J920:J931" si="84">I920/2</f>
        <v>243.10125000000002</v>
      </c>
      <c r="K920" s="17">
        <f>E908/G920</f>
        <v>8.8500000000000014</v>
      </c>
      <c r="L920" s="17">
        <f>E908*E908/G920</f>
        <v>313.29000000000008</v>
      </c>
      <c r="M920" s="17">
        <f t="shared" ref="M920:M931" si="85">L920/2</f>
        <v>156.64500000000004</v>
      </c>
    </row>
    <row r="921" spans="1:15" x14ac:dyDescent="0.25">
      <c r="A921" s="82"/>
      <c r="C921" t="s">
        <v>770</v>
      </c>
      <c r="E921">
        <f>(POWER(E910,2))/(200*2)</f>
        <v>4.862025</v>
      </c>
      <c r="G921" s="17">
        <v>5</v>
      </c>
      <c r="H921" s="17">
        <f>E910/G921</f>
        <v>8.82</v>
      </c>
      <c r="I921" s="17">
        <f t="shared" si="83"/>
        <v>388.96199999999999</v>
      </c>
      <c r="J921" s="17">
        <f t="shared" si="84"/>
        <v>194.48099999999999</v>
      </c>
      <c r="K921" s="17">
        <f>E908/G921</f>
        <v>7.080000000000001</v>
      </c>
      <c r="L921" s="17">
        <f>E908*E908/G921</f>
        <v>250.63200000000006</v>
      </c>
      <c r="M921" s="17">
        <f t="shared" si="85"/>
        <v>125.31600000000003</v>
      </c>
      <c r="N921" t="s">
        <v>778</v>
      </c>
    </row>
    <row r="922" spans="1:15" x14ac:dyDescent="0.25">
      <c r="A922" s="82"/>
      <c r="C922" t="s">
        <v>771</v>
      </c>
      <c r="E922">
        <f>E910/E921</f>
        <v>9.0702947845804989</v>
      </c>
      <c r="G922" s="17">
        <v>6</v>
      </c>
      <c r="H922" s="17">
        <f>E910/G922</f>
        <v>7.3500000000000005</v>
      </c>
      <c r="I922" s="17">
        <f t="shared" si="83"/>
        <v>324.13500000000005</v>
      </c>
      <c r="J922" s="17">
        <f t="shared" si="84"/>
        <v>162.06750000000002</v>
      </c>
      <c r="K922" s="17">
        <f>E908/G922</f>
        <v>5.9000000000000012</v>
      </c>
      <c r="L922" s="17">
        <f>E908*E908/G922</f>
        <v>208.86000000000004</v>
      </c>
      <c r="M922" s="17">
        <f t="shared" si="85"/>
        <v>104.43000000000002</v>
      </c>
      <c r="N922" t="s">
        <v>780</v>
      </c>
    </row>
    <row r="923" spans="1:15" x14ac:dyDescent="0.25">
      <c r="A923" s="82"/>
      <c r="G923" s="17">
        <v>7</v>
      </c>
      <c r="H923" s="17">
        <f>E910/G923</f>
        <v>6.3</v>
      </c>
      <c r="I923" s="17">
        <f t="shared" si="83"/>
        <v>277.83</v>
      </c>
      <c r="J923" s="17">
        <f t="shared" si="84"/>
        <v>138.91499999999999</v>
      </c>
      <c r="K923" s="17">
        <f>E908/G923</f>
        <v>5.0571428571428578</v>
      </c>
      <c r="L923" s="17">
        <f>E908*E908/G923</f>
        <v>179.02285714285719</v>
      </c>
      <c r="M923" s="17">
        <f t="shared" si="85"/>
        <v>89.511428571428596</v>
      </c>
      <c r="N923" t="s">
        <v>781</v>
      </c>
    </row>
    <row r="924" spans="1:15" x14ac:dyDescent="0.25">
      <c r="G924" s="17">
        <v>8</v>
      </c>
      <c r="H924" s="17">
        <f>E910/G924</f>
        <v>5.5125000000000002</v>
      </c>
      <c r="I924" s="17">
        <f t="shared" si="83"/>
        <v>243.10125000000002</v>
      </c>
      <c r="J924" s="17">
        <f t="shared" si="84"/>
        <v>121.55062500000001</v>
      </c>
      <c r="K924" s="17">
        <f>E908/G924</f>
        <v>4.4250000000000007</v>
      </c>
      <c r="L924" s="17">
        <f>E908*E908/G924</f>
        <v>156.64500000000004</v>
      </c>
      <c r="M924" s="17">
        <f t="shared" si="85"/>
        <v>78.322500000000019</v>
      </c>
      <c r="N924" t="s">
        <v>782</v>
      </c>
    </row>
    <row r="925" spans="1:15" x14ac:dyDescent="0.25">
      <c r="G925" s="17">
        <v>9</v>
      </c>
      <c r="H925" s="17">
        <f>E910/G925</f>
        <v>4.9000000000000004</v>
      </c>
      <c r="I925" s="17">
        <f t="shared" si="83"/>
        <v>216.09000000000003</v>
      </c>
      <c r="J925" s="17">
        <f t="shared" si="84"/>
        <v>108.04500000000002</v>
      </c>
      <c r="K925" s="17">
        <f>E908/G925</f>
        <v>3.933333333333334</v>
      </c>
      <c r="L925" s="17">
        <f>E908*E908/G925</f>
        <v>139.24000000000004</v>
      </c>
      <c r="M925" s="17">
        <f t="shared" si="85"/>
        <v>69.620000000000019</v>
      </c>
      <c r="N925" t="s">
        <v>783</v>
      </c>
    </row>
    <row r="926" spans="1:15" x14ac:dyDescent="0.25">
      <c r="G926" s="17">
        <v>10</v>
      </c>
      <c r="H926" s="17">
        <f>E910/G926</f>
        <v>4.41</v>
      </c>
      <c r="I926" s="17">
        <f t="shared" si="83"/>
        <v>194.48099999999999</v>
      </c>
      <c r="J926" s="17">
        <f t="shared" si="84"/>
        <v>97.240499999999997</v>
      </c>
      <c r="K926" s="17">
        <f>E908/G926</f>
        <v>3.5400000000000005</v>
      </c>
      <c r="L926" s="17">
        <f>E908*E908/G926</f>
        <v>125.31600000000003</v>
      </c>
      <c r="M926" s="17">
        <f t="shared" si="85"/>
        <v>62.658000000000015</v>
      </c>
      <c r="N926" t="s">
        <v>784</v>
      </c>
    </row>
    <row r="927" spans="1:15" x14ac:dyDescent="0.25">
      <c r="A927" s="82" t="s">
        <v>867</v>
      </c>
      <c r="B927" t="s">
        <v>853</v>
      </c>
      <c r="C927" t="s">
        <v>852</v>
      </c>
      <c r="E927">
        <v>5</v>
      </c>
      <c r="F927" s="8" t="s">
        <v>21</v>
      </c>
      <c r="G927" s="17">
        <v>11</v>
      </c>
      <c r="H927" s="17">
        <f>E910/G927</f>
        <v>4.0090909090909088</v>
      </c>
      <c r="I927" s="17">
        <f t="shared" si="83"/>
        <v>176.80090909090904</v>
      </c>
      <c r="J927" s="17">
        <f t="shared" si="84"/>
        <v>88.400454545454522</v>
      </c>
      <c r="K927" s="17">
        <f>E908/G927</f>
        <v>3.2181818181818187</v>
      </c>
      <c r="L927" s="17">
        <f>E908*E908/G927</f>
        <v>113.92363636363639</v>
      </c>
      <c r="M927" s="17">
        <f t="shared" si="85"/>
        <v>56.961818181818195</v>
      </c>
      <c r="N927" t="s">
        <v>785</v>
      </c>
    </row>
    <row r="928" spans="1:15" x14ac:dyDescent="0.25">
      <c r="A928" s="82"/>
      <c r="B928" t="s">
        <v>855</v>
      </c>
      <c r="C928" t="s">
        <v>856</v>
      </c>
      <c r="E928">
        <f>2000</f>
        <v>2000</v>
      </c>
      <c r="F928" s="8" t="s">
        <v>24</v>
      </c>
      <c r="G928" s="17">
        <v>12</v>
      </c>
      <c r="H928" s="17">
        <f>E910/G928</f>
        <v>3.6750000000000003</v>
      </c>
      <c r="I928" s="17">
        <f t="shared" si="83"/>
        <v>162.06750000000002</v>
      </c>
      <c r="J928" s="17">
        <f t="shared" si="84"/>
        <v>81.033750000000012</v>
      </c>
      <c r="K928" s="17">
        <f>E908/G928</f>
        <v>2.9500000000000006</v>
      </c>
      <c r="L928" s="17">
        <f>E908*E908/G928</f>
        <v>104.43000000000002</v>
      </c>
      <c r="M928" s="17">
        <f t="shared" si="85"/>
        <v>52.215000000000011</v>
      </c>
      <c r="N928" t="s">
        <v>787</v>
      </c>
    </row>
    <row r="929" spans="1:14" x14ac:dyDescent="0.25">
      <c r="A929" s="82"/>
      <c r="B929" t="s">
        <v>854</v>
      </c>
      <c r="C929" t="s">
        <v>857</v>
      </c>
      <c r="E929">
        <f>((E927/1.23)-1)*E928</f>
        <v>6130.081300813009</v>
      </c>
      <c r="F929" s="8" t="s">
        <v>24</v>
      </c>
      <c r="G929" s="17">
        <v>13</v>
      </c>
      <c r="H929" s="17">
        <f>E910/G929</f>
        <v>3.3923076923076922</v>
      </c>
      <c r="I929" s="17">
        <f t="shared" si="83"/>
        <v>149.60076923076923</v>
      </c>
      <c r="J929" s="17">
        <f t="shared" si="84"/>
        <v>74.800384615384615</v>
      </c>
      <c r="K929" s="17">
        <f>E908/G929</f>
        <v>2.7230769230769236</v>
      </c>
      <c r="L929" s="17">
        <f>E908*E908/G929</f>
        <v>96.396923076923102</v>
      </c>
      <c r="M929" s="17">
        <f t="shared" si="85"/>
        <v>48.198461538461551</v>
      </c>
      <c r="N929" t="s">
        <v>786</v>
      </c>
    </row>
    <row r="930" spans="1:14" x14ac:dyDescent="0.25">
      <c r="A930" s="45"/>
      <c r="B930" t="s">
        <v>866</v>
      </c>
      <c r="C930" t="s">
        <v>872</v>
      </c>
      <c r="E930">
        <f>1/(31000*E929)</f>
        <v>5.26225720886455E-9</v>
      </c>
      <c r="F930" s="8" t="s">
        <v>23</v>
      </c>
      <c r="G930" s="17"/>
      <c r="H930" s="17"/>
      <c r="I930" s="17"/>
      <c r="J930" s="17"/>
      <c r="K930" s="17"/>
      <c r="L930" s="17"/>
      <c r="M930" s="17"/>
    </row>
    <row r="931" spans="1:14" x14ac:dyDescent="0.25">
      <c r="G931" s="17">
        <v>14</v>
      </c>
      <c r="H931" s="17">
        <f>E910/G931</f>
        <v>3.15</v>
      </c>
      <c r="I931" s="17">
        <f t="shared" si="83"/>
        <v>138.91499999999999</v>
      </c>
      <c r="J931" s="17">
        <f t="shared" si="84"/>
        <v>69.457499999999996</v>
      </c>
      <c r="K931" s="17">
        <f>E908/G931</f>
        <v>2.5285714285714289</v>
      </c>
      <c r="L931" s="17">
        <f>E908*E908/G931</f>
        <v>89.511428571428596</v>
      </c>
      <c r="M931" s="17">
        <f t="shared" si="85"/>
        <v>44.755714285714298</v>
      </c>
      <c r="N931" t="s">
        <v>788</v>
      </c>
    </row>
    <row r="932" spans="1:14" x14ac:dyDescent="0.25">
      <c r="A932" s="82" t="s">
        <v>868</v>
      </c>
      <c r="B932" t="s">
        <v>853</v>
      </c>
      <c r="C932" t="s">
        <v>852</v>
      </c>
      <c r="E932">
        <v>3.3</v>
      </c>
      <c r="F932" s="8" t="s">
        <v>21</v>
      </c>
    </row>
    <row r="933" spans="1:14" x14ac:dyDescent="0.25">
      <c r="A933" s="82"/>
      <c r="B933" t="s">
        <v>855</v>
      </c>
      <c r="C933" t="s">
        <v>856</v>
      </c>
      <c r="E933">
        <f>2000</f>
        <v>2000</v>
      </c>
      <c r="F933" s="8" t="s">
        <v>24</v>
      </c>
    </row>
    <row r="934" spans="1:14" x14ac:dyDescent="0.25">
      <c r="A934" s="82"/>
      <c r="B934" t="s">
        <v>854</v>
      </c>
      <c r="C934" t="s">
        <v>857</v>
      </c>
      <c r="E934">
        <f>((E932/1.23)-1)*E933</f>
        <v>3365.8536585365846</v>
      </c>
      <c r="F934" s="8" t="s">
        <v>24</v>
      </c>
    </row>
    <row r="935" spans="1:14" x14ac:dyDescent="0.25">
      <c r="B935" t="s">
        <v>866</v>
      </c>
      <c r="C935" t="s">
        <v>872</v>
      </c>
      <c r="E935">
        <f>1/(31000*E934)</f>
        <v>9.583917718560077E-9</v>
      </c>
      <c r="F935" s="8" t="s">
        <v>23</v>
      </c>
    </row>
    <row r="937" spans="1:14" x14ac:dyDescent="0.25">
      <c r="A937" s="82" t="s">
        <v>871</v>
      </c>
      <c r="B937" t="s">
        <v>853</v>
      </c>
      <c r="C937" t="s">
        <v>852</v>
      </c>
      <c r="E937">
        <v>10</v>
      </c>
      <c r="F937" s="8" t="s">
        <v>21</v>
      </c>
    </row>
    <row r="938" spans="1:14" x14ac:dyDescent="0.25">
      <c r="A938" s="82"/>
      <c r="B938" t="s">
        <v>855</v>
      </c>
      <c r="C938" t="s">
        <v>856</v>
      </c>
      <c r="E938">
        <f>2000</f>
        <v>2000</v>
      </c>
      <c r="F938" s="8" t="s">
        <v>24</v>
      </c>
    </row>
    <row r="939" spans="1:14" x14ac:dyDescent="0.25">
      <c r="A939" s="82"/>
      <c r="B939" t="s">
        <v>854</v>
      </c>
      <c r="C939" t="s">
        <v>857</v>
      </c>
      <c r="E939">
        <f>((E937/1.23)-1)*E938</f>
        <v>14260.162601626018</v>
      </c>
      <c r="F939" s="8" t="s">
        <v>24</v>
      </c>
    </row>
    <row r="940" spans="1:14" x14ac:dyDescent="0.25">
      <c r="B940" t="s">
        <v>866</v>
      </c>
      <c r="C940" t="s">
        <v>872</v>
      </c>
      <c r="E940">
        <f>1/(31000*E939)</f>
        <v>2.2621105675506673E-9</v>
      </c>
      <c r="F940" s="8" t="s">
        <v>23</v>
      </c>
    </row>
    <row r="942" spans="1:14" x14ac:dyDescent="0.25">
      <c r="A942" s="82" t="s">
        <v>869</v>
      </c>
      <c r="B942" t="s">
        <v>859</v>
      </c>
      <c r="C942" t="s">
        <v>858</v>
      </c>
      <c r="E942">
        <v>2</v>
      </c>
      <c r="F942" s="8" t="s">
        <v>21</v>
      </c>
    </row>
    <row r="943" spans="1:14" x14ac:dyDescent="0.25">
      <c r="A943" s="82"/>
      <c r="B943" t="s">
        <v>860</v>
      </c>
      <c r="C943" t="s">
        <v>861</v>
      </c>
      <c r="E943">
        <v>30</v>
      </c>
      <c r="F943" s="8" t="s">
        <v>21</v>
      </c>
    </row>
    <row r="944" spans="1:14" x14ac:dyDescent="0.25">
      <c r="A944" s="82"/>
      <c r="B944" t="s">
        <v>855</v>
      </c>
      <c r="C944" t="s">
        <v>856</v>
      </c>
      <c r="E944">
        <f>2000</f>
        <v>2000</v>
      </c>
      <c r="F944" s="8" t="s">
        <v>24</v>
      </c>
    </row>
    <row r="945" spans="1:6" x14ac:dyDescent="0.25">
      <c r="A945" s="82"/>
      <c r="B945" t="s">
        <v>865</v>
      </c>
      <c r="C945" t="s">
        <v>862</v>
      </c>
      <c r="E945">
        <f>((E942/1.23)-1)*E944</f>
        <v>1252.0325203252032</v>
      </c>
      <c r="F945" s="8" t="s">
        <v>24</v>
      </c>
    </row>
    <row r="946" spans="1:6" x14ac:dyDescent="0.25">
      <c r="A946" s="82"/>
      <c r="B946" t="s">
        <v>864</v>
      </c>
      <c r="C946" t="s">
        <v>863</v>
      </c>
      <c r="E946">
        <f>((E943/1.23)-1)*E944</f>
        <v>46780.487804878052</v>
      </c>
      <c r="F946" s="8" t="s">
        <v>24</v>
      </c>
    </row>
    <row r="947" spans="1:6" x14ac:dyDescent="0.25">
      <c r="A947" s="82"/>
      <c r="B947" t="s">
        <v>866</v>
      </c>
      <c r="C947" t="s">
        <v>872</v>
      </c>
      <c r="E947">
        <f>1/(31000*E945)</f>
        <v>2.5764558022622537E-8</v>
      </c>
      <c r="F947" s="8" t="s">
        <v>23</v>
      </c>
    </row>
    <row r="949" spans="1:6" x14ac:dyDescent="0.25">
      <c r="A949" s="82" t="s">
        <v>870</v>
      </c>
      <c r="B949" t="s">
        <v>859</v>
      </c>
      <c r="C949" t="s">
        <v>858</v>
      </c>
      <c r="E949">
        <v>9</v>
      </c>
      <c r="F949" s="8" t="s">
        <v>21</v>
      </c>
    </row>
    <row r="950" spans="1:6" x14ac:dyDescent="0.25">
      <c r="A950" s="82"/>
      <c r="B950" t="s">
        <v>860</v>
      </c>
      <c r="C950" t="s">
        <v>861</v>
      </c>
      <c r="E950">
        <v>20</v>
      </c>
      <c r="F950" s="8" t="s">
        <v>21</v>
      </c>
    </row>
    <row r="951" spans="1:6" x14ac:dyDescent="0.25">
      <c r="A951" s="82"/>
      <c r="B951" t="s">
        <v>855</v>
      </c>
      <c r="C951" t="s">
        <v>856</v>
      </c>
      <c r="E951">
        <f>2000</f>
        <v>2000</v>
      </c>
      <c r="F951" s="8" t="s">
        <v>24</v>
      </c>
    </row>
    <row r="952" spans="1:6" x14ac:dyDescent="0.25">
      <c r="A952" s="82"/>
      <c r="B952" t="s">
        <v>865</v>
      </c>
      <c r="C952" t="s">
        <v>862</v>
      </c>
      <c r="E952">
        <f>((E949/1.23)-1)*E951</f>
        <v>12634.146341463415</v>
      </c>
      <c r="F952" s="8" t="s">
        <v>24</v>
      </c>
    </row>
    <row r="953" spans="1:6" x14ac:dyDescent="0.25">
      <c r="A953" s="82"/>
      <c r="B953" t="s">
        <v>864</v>
      </c>
      <c r="C953" t="s">
        <v>863</v>
      </c>
      <c r="E953">
        <f>((E950/1.23)-1)*E951</f>
        <v>30520.325203252036</v>
      </c>
      <c r="F953" s="8" t="s">
        <v>24</v>
      </c>
    </row>
    <row r="954" spans="1:6" x14ac:dyDescent="0.25">
      <c r="A954" s="82"/>
      <c r="B954" t="s">
        <v>866</v>
      </c>
      <c r="C954" t="s">
        <v>872</v>
      </c>
      <c r="E954">
        <f>1/(31000*E952)</f>
        <v>2.5532444887283596E-9</v>
      </c>
      <c r="F954" s="8" t="s">
        <v>23</v>
      </c>
    </row>
    <row r="963" spans="1:14" x14ac:dyDescent="0.25">
      <c r="A963" s="81" t="s">
        <v>1081</v>
      </c>
      <c r="C963" t="s">
        <v>1093</v>
      </c>
      <c r="E963" t="s">
        <v>1094</v>
      </c>
      <c r="G963" t="s">
        <v>1095</v>
      </c>
    </row>
    <row r="964" spans="1:14" x14ac:dyDescent="0.25">
      <c r="A964" s="81"/>
      <c r="B964" t="s">
        <v>1082</v>
      </c>
      <c r="E964">
        <f>PI()*0.0000004</f>
        <v>1.2566370614359173E-6</v>
      </c>
      <c r="F964" s="8" t="s">
        <v>205</v>
      </c>
      <c r="G964">
        <f t="shared" ref="G964:N964" si="86">$E964</f>
        <v>1.2566370614359173E-6</v>
      </c>
      <c r="H964">
        <f t="shared" si="86"/>
        <v>1.2566370614359173E-6</v>
      </c>
      <c r="I964">
        <f t="shared" si="86"/>
        <v>1.2566370614359173E-6</v>
      </c>
      <c r="J964">
        <f t="shared" si="86"/>
        <v>1.2566370614359173E-6</v>
      </c>
      <c r="K964">
        <f t="shared" si="86"/>
        <v>1.2566370614359173E-6</v>
      </c>
      <c r="L964">
        <f t="shared" si="86"/>
        <v>1.2566370614359173E-6</v>
      </c>
      <c r="M964">
        <f t="shared" si="86"/>
        <v>1.2566370614359173E-6</v>
      </c>
      <c r="N964">
        <f t="shared" si="86"/>
        <v>1.2566370614359173E-6</v>
      </c>
    </row>
    <row r="965" spans="1:14" x14ac:dyDescent="0.25">
      <c r="A965" s="81"/>
      <c r="B965" t="s">
        <v>1083</v>
      </c>
      <c r="C965" t="s">
        <v>1129</v>
      </c>
      <c r="E965">
        <v>6.0000000000000001E-3</v>
      </c>
      <c r="F965" s="8" t="s">
        <v>205</v>
      </c>
    </row>
    <row r="966" spans="1:14" x14ac:dyDescent="0.25">
      <c r="A966" s="81"/>
      <c r="B966" t="s">
        <v>134</v>
      </c>
      <c r="C966" t="s">
        <v>1128</v>
      </c>
      <c r="E966">
        <v>0.04</v>
      </c>
      <c r="F966" s="8" t="s">
        <v>205</v>
      </c>
    </row>
    <row r="967" spans="1:14" x14ac:dyDescent="0.25">
      <c r="A967" s="81"/>
      <c r="C967" t="s">
        <v>1130</v>
      </c>
      <c r="E967">
        <f>2*E965/E966</f>
        <v>0.3</v>
      </c>
      <c r="F967" s="8"/>
    </row>
    <row r="968" spans="1:14" x14ac:dyDescent="0.25">
      <c r="A968" s="81"/>
      <c r="C968" t="s">
        <v>1131</v>
      </c>
      <c r="E968">
        <f>1/E967</f>
        <v>3.3333333333333335</v>
      </c>
      <c r="F968" s="8"/>
    </row>
    <row r="969" spans="1:14" x14ac:dyDescent="0.25">
      <c r="A969" s="81"/>
      <c r="C969" t="s">
        <v>1132</v>
      </c>
      <c r="E969">
        <f>POWER(E967, 2)</f>
        <v>0.09</v>
      </c>
      <c r="F969" s="8"/>
    </row>
    <row r="970" spans="1:14" x14ac:dyDescent="0.25">
      <c r="A970" s="81"/>
      <c r="C970" t="s">
        <v>1133</v>
      </c>
      <c r="E970">
        <f>1/E969</f>
        <v>11.111111111111111</v>
      </c>
      <c r="F970" s="8"/>
    </row>
    <row r="971" spans="1:14" x14ac:dyDescent="0.25">
      <c r="A971" s="81"/>
      <c r="F971" s="8"/>
    </row>
    <row r="972" spans="1:14" x14ac:dyDescent="0.25">
      <c r="A972" s="81"/>
      <c r="B972" t="s">
        <v>1085</v>
      </c>
      <c r="C972" t="s">
        <v>1086</v>
      </c>
      <c r="E972">
        <f>(E964/(4*PI()))*(LN(E967+SQRT(1+E969)) - SQRT(1+E970)+E968)</f>
        <v>1.4890421125990595E-8</v>
      </c>
      <c r="F972" t="s">
        <v>153</v>
      </c>
      <c r="G972">
        <f t="shared" ref="G972:N972" si="87">(G964/(4*PI()))*(LN(G967+SQRT(1+G969)) - SQRT(1+G970)+G968)</f>
        <v>-1.0000000000000001E-7</v>
      </c>
      <c r="H972">
        <f t="shared" si="87"/>
        <v>-1.0000000000000001E-7</v>
      </c>
      <c r="I972">
        <f t="shared" si="87"/>
        <v>-1.0000000000000001E-7</v>
      </c>
      <c r="J972">
        <f t="shared" si="87"/>
        <v>-1.0000000000000001E-7</v>
      </c>
      <c r="K972">
        <f t="shared" si="87"/>
        <v>-1.0000000000000001E-7</v>
      </c>
      <c r="L972">
        <f t="shared" si="87"/>
        <v>-1.0000000000000001E-7</v>
      </c>
      <c r="M972">
        <f t="shared" si="87"/>
        <v>-1.0000000000000001E-7</v>
      </c>
      <c r="N972">
        <f t="shared" si="87"/>
        <v>-1.0000000000000001E-7</v>
      </c>
    </row>
    <row r="973" spans="1:14" x14ac:dyDescent="0.25">
      <c r="A973" s="81"/>
      <c r="B973" t="s">
        <v>1087</v>
      </c>
      <c r="C973" t="s">
        <v>1088</v>
      </c>
      <c r="E973">
        <f>22*16000*4</f>
        <v>1408000</v>
      </c>
    </row>
    <row r="974" spans="1:14" x14ac:dyDescent="0.25">
      <c r="A974" s="81"/>
      <c r="B974" s="72" t="s">
        <v>1091</v>
      </c>
      <c r="C974" t="s">
        <v>1092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 s="81"/>
      <c r="B975" t="s">
        <v>1090</v>
      </c>
      <c r="C975" t="s">
        <v>1089</v>
      </c>
      <c r="E975">
        <f>E973*COS(E974)*E972</f>
        <v>2.096571294539476E-2</v>
      </c>
      <c r="F975" t="e">
        <f t="shared" ref="F975:N975" si="88">F973*COS(F974)*F972</f>
        <v>#VALUE!</v>
      </c>
      <c r="G975">
        <f t="shared" si="88"/>
        <v>0</v>
      </c>
      <c r="H975">
        <f t="shared" si="88"/>
        <v>0</v>
      </c>
      <c r="I975">
        <f t="shared" si="88"/>
        <v>0</v>
      </c>
      <c r="J975">
        <f t="shared" si="88"/>
        <v>0</v>
      </c>
      <c r="K975">
        <f t="shared" si="88"/>
        <v>0</v>
      </c>
      <c r="L975">
        <f t="shared" si="88"/>
        <v>0</v>
      </c>
      <c r="M975">
        <f t="shared" si="88"/>
        <v>0</v>
      </c>
      <c r="N975">
        <f t="shared" si="88"/>
        <v>0</v>
      </c>
    </row>
    <row r="976" spans="1:14" x14ac:dyDescent="0.25">
      <c r="A976" s="37"/>
    </row>
    <row r="977" spans="1:6" x14ac:dyDescent="0.25">
      <c r="A977" s="81" t="s">
        <v>1103</v>
      </c>
      <c r="B977" t="s">
        <v>1104</v>
      </c>
      <c r="C977" t="s">
        <v>1105</v>
      </c>
      <c r="E977">
        <v>1.4999999999999999E-2</v>
      </c>
      <c r="F977" t="s">
        <v>205</v>
      </c>
    </row>
    <row r="978" spans="1:6" x14ac:dyDescent="0.25">
      <c r="A978" s="81"/>
      <c r="B978" t="s">
        <v>1084</v>
      </c>
      <c r="C978" t="s">
        <v>1106</v>
      </c>
      <c r="E978">
        <v>1E-3</v>
      </c>
      <c r="F978" t="s">
        <v>205</v>
      </c>
    </row>
    <row r="979" spans="1:6" x14ac:dyDescent="0.25">
      <c r="A979" s="81"/>
      <c r="B979" t="s">
        <v>1107</v>
      </c>
      <c r="C979" t="s">
        <v>1108</v>
      </c>
      <c r="E979">
        <v>1.6000000000000001E-3</v>
      </c>
      <c r="F979" t="s">
        <v>205</v>
      </c>
    </row>
    <row r="980" spans="1:6" x14ac:dyDescent="0.25">
      <c r="A980" s="81"/>
      <c r="B980" t="s">
        <v>1109</v>
      </c>
      <c r="E980">
        <f>0.00000000508*E977*(LN(2*E977/(E978+E979))+0.5+(0.2235*(E978+E979)/E977))</f>
        <v>2.2741325637156556E-10</v>
      </c>
      <c r="F980" t="s">
        <v>153</v>
      </c>
    </row>
    <row r="981" spans="1:6" x14ac:dyDescent="0.25">
      <c r="A981" s="81"/>
    </row>
    <row r="982" spans="1:6" x14ac:dyDescent="0.25">
      <c r="A982" s="81"/>
    </row>
    <row r="983" spans="1:6" x14ac:dyDescent="0.25">
      <c r="A983" s="81"/>
    </row>
    <row r="985" spans="1:6" x14ac:dyDescent="0.25">
      <c r="A985" s="81" t="s">
        <v>1134</v>
      </c>
      <c r="B985" t="s">
        <v>1135</v>
      </c>
      <c r="C985" t="s">
        <v>1135</v>
      </c>
      <c r="E985" s="50" t="b">
        <v>0</v>
      </c>
    </row>
    <row r="986" spans="1:6" x14ac:dyDescent="0.25">
      <c r="A986" s="81"/>
      <c r="B986" t="s">
        <v>510</v>
      </c>
      <c r="E986" s="27">
        <f>IF(E985, 0.024, 0.048)</f>
        <v>4.8000000000000001E-2</v>
      </c>
    </row>
    <row r="987" spans="1:6" x14ac:dyDescent="0.25">
      <c r="A987" s="81"/>
      <c r="B987" t="s">
        <v>1136</v>
      </c>
      <c r="C987" t="s">
        <v>1141</v>
      </c>
      <c r="E987" s="50">
        <f>22/SQRT(3)</f>
        <v>12.701705922171767</v>
      </c>
      <c r="F987" t="s">
        <v>20</v>
      </c>
    </row>
    <row r="988" spans="1:6" x14ac:dyDescent="0.25">
      <c r="A988" s="81"/>
      <c r="B988" s="72" t="s">
        <v>692</v>
      </c>
      <c r="C988" t="s">
        <v>1137</v>
      </c>
      <c r="E988">
        <v>10</v>
      </c>
      <c r="F988" t="s">
        <v>323</v>
      </c>
    </row>
    <row r="989" spans="1:6" x14ac:dyDescent="0.25">
      <c r="A989" s="81"/>
      <c r="C989" t="s">
        <v>1140</v>
      </c>
      <c r="E989">
        <v>2</v>
      </c>
    </row>
    <row r="990" spans="1:6" x14ac:dyDescent="0.25">
      <c r="A990" s="81"/>
      <c r="B990" t="s">
        <v>20</v>
      </c>
      <c r="C990" t="s">
        <v>1138</v>
      </c>
      <c r="E990">
        <f>POWER(E987/(E986*POWER(E988, 0.44)), (1/0.725))</f>
        <v>542.8119517712156</v>
      </c>
      <c r="F990" t="s">
        <v>1139</v>
      </c>
    </row>
    <row r="991" spans="1:6" x14ac:dyDescent="0.25">
      <c r="A991" s="81"/>
      <c r="C991" t="s">
        <v>1142</v>
      </c>
      <c r="E991">
        <f>E990/(E989*1.378*39.37)</f>
        <v>5.0027036102653044</v>
      </c>
      <c r="F991" t="s">
        <v>132</v>
      </c>
    </row>
  </sheetData>
  <mergeCells count="38">
    <mergeCell ref="A570:A582"/>
    <mergeCell ref="M111:Q111"/>
    <mergeCell ref="A99:A138"/>
    <mergeCell ref="A198:A222"/>
    <mergeCell ref="A169:A195"/>
    <mergeCell ref="A140:A166"/>
    <mergeCell ref="A31:A59"/>
    <mergeCell ref="A875:A900"/>
    <mergeCell ref="A288:A339"/>
    <mergeCell ref="G19:J22"/>
    <mergeCell ref="G29:K34"/>
    <mergeCell ref="A601:A667"/>
    <mergeCell ref="A20:A29"/>
    <mergeCell ref="A61:A69"/>
    <mergeCell ref="A71:A95"/>
    <mergeCell ref="A341:A362"/>
    <mergeCell ref="A378:A414"/>
    <mergeCell ref="A231:A286"/>
    <mergeCell ref="A364:A376"/>
    <mergeCell ref="A861:A873"/>
    <mergeCell ref="A416:A456"/>
    <mergeCell ref="A458:A568"/>
    <mergeCell ref="A963:A975"/>
    <mergeCell ref="A977:A983"/>
    <mergeCell ref="A985:A991"/>
    <mergeCell ref="A909:A923"/>
    <mergeCell ref="A584:A596"/>
    <mergeCell ref="A597:A600"/>
    <mergeCell ref="A797:A809"/>
    <mergeCell ref="A711:A782"/>
    <mergeCell ref="A669:A708"/>
    <mergeCell ref="A815:A835"/>
    <mergeCell ref="A837:A858"/>
    <mergeCell ref="A927:A929"/>
    <mergeCell ref="A932:A934"/>
    <mergeCell ref="A937:A939"/>
    <mergeCell ref="A942:A947"/>
    <mergeCell ref="A949:A954"/>
  </mergeCells>
  <conditionalFormatting sqref="D122">
    <cfRule type="cellIs" dxfId="13" priority="13" operator="notEqual">
      <formula>FALSE</formula>
    </cfRule>
    <cfRule type="cellIs" dxfId="12" priority="14" operator="equal">
      <formula>FALSE</formula>
    </cfRule>
  </conditionalFormatting>
  <conditionalFormatting sqref="E905">
    <cfRule type="cellIs" dxfId="11" priority="11" operator="notEqual">
      <formula>TRUE</formula>
    </cfRule>
    <cfRule type="cellIs" dxfId="10" priority="12" operator="equal">
      <formula>TRUE</formula>
    </cfRule>
  </conditionalFormatting>
  <conditionalFormatting sqref="D46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D15">
    <cfRule type="cellIs" dxfId="7" priority="7" operator="notEqual">
      <formula>TRUE</formula>
    </cfRule>
    <cfRule type="cellIs" dxfId="6" priority="8" operator="equal">
      <formula>TRUE</formula>
    </cfRule>
  </conditionalFormatting>
  <conditionalFormatting sqref="D69">
    <cfRule type="cellIs" dxfId="5" priority="5" operator="notEqual">
      <formula>TRUE</formula>
    </cfRule>
    <cfRule type="cellIs" dxfId="4" priority="6" operator="equal">
      <formula>TRUE</formula>
    </cfRule>
  </conditionalFormatting>
  <conditionalFormatting sqref="D158">
    <cfRule type="cellIs" dxfId="3" priority="3" operator="notEqual">
      <formula>FALSE</formula>
    </cfRule>
    <cfRule type="cellIs" dxfId="2" priority="4" operator="equal">
      <formula>FALSE</formula>
    </cfRule>
  </conditionalFormatting>
  <conditionalFormatting sqref="F122">
    <cfRule type="cellIs" dxfId="1" priority="1" operator="notEqual">
      <formula>FALSE</formula>
    </cfRule>
    <cfRule type="cellIs" dxfId="0" priority="2" operator="equal">
      <formula>FALSE</formula>
    </cfRule>
  </conditionalFormatting>
  <hyperlinks>
    <hyperlink ref="G82" r:id="rId1"/>
    <hyperlink ref="D613" r:id="rId2" display="https://www.mouser.co.uk/ProductDetail/Microchip-Technology/MCP6021-E-P?qs=W2ndVjZwIIKVhoK39SuWRw%3D%3D"/>
    <hyperlink ref="G259" r:id="rId3"/>
    <hyperlink ref="G263" r:id="rId4"/>
    <hyperlink ref="F313" r:id="rId5"/>
    <hyperlink ref="E55" r:id="rId6" display="https://www.google.com/search?rlz=1C1OPNX_en-GBGB1133GB1133&amp;cs=1&amp;sca_esv=4f5104ed2b7290e9&amp;sxsrf=AE3TifMBc50EgN_UZeP2TYUaGrAgspuFug%3A1759801360140&amp;q=J%2Fkg%C2%B0C&amp;sa=X&amp;ved=2ahUKEwiAhqn3-pCQAxXbdUEAHcW_ATkQxccNegQIAhAB&amp;mstk=AUtExfBlWf-iKv0tU0x2ALq09kWMnBQLhxnNYa2XTpG6pPdO5k7aHSqqJ135od3xa3OduL5zCUbpNSJRrXFFi2dw0HVU1mc6M78ooul2ZfxT_QB8nPXg0tyJUQMbzMQIRGbDYMG4s69ONoPYyNMGJ4ikkBBv3C0ilHQb5nWaLEDP5a92kXZ-0-li7ATNT1MVYS4_Hl4CpA3jXt8GPmH5rd3Mpb8t8CJPQawnurIf3-5RlejN0Nh5c9e0jym_MrH_UTrMSq60HuFVQ1y4epwqdklQhthXgIM3ozc3jSicaYsJOPIstg&amp;csui=3"/>
    <hyperlink ref="F481" r:id="rId7" display="https://www.mouser.co.uk/ProductDetail/TDK/FG26X7R2A105KNT06?qs=sGAEpiMZZMvsSlwiRhF8qjQUafaa8S5xA6BgDdbMmMhufnE%252BCCuluQ%3D%3D"/>
  </hyperlinks>
  <pageMargins left="0.7" right="0.7" top="0.75" bottom="0.75" header="0.3" footer="0.3"/>
  <pageSetup paperSize="9" orientation="portrait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selection activeCell="B20" sqref="B20:D20"/>
    </sheetView>
  </sheetViews>
  <sheetFormatPr defaultRowHeight="15" x14ac:dyDescent="0.25"/>
  <cols>
    <col min="2" max="2" width="30.85546875" customWidth="1"/>
  </cols>
  <sheetData>
    <row r="2" spans="2:4" x14ac:dyDescent="0.25">
      <c r="B2" t="s">
        <v>123</v>
      </c>
      <c r="C2" t="s">
        <v>65</v>
      </c>
      <c r="D2" t="s">
        <v>19</v>
      </c>
    </row>
    <row r="3" spans="2:4" x14ac:dyDescent="0.25">
      <c r="B3" t="s">
        <v>129</v>
      </c>
      <c r="C3">
        <v>0.02</v>
      </c>
    </row>
    <row r="4" spans="2:4" x14ac:dyDescent="0.25">
      <c r="B4" t="s">
        <v>130</v>
      </c>
      <c r="C4">
        <v>25.4</v>
      </c>
    </row>
    <row r="5" spans="2:4" x14ac:dyDescent="0.25">
      <c r="B5" t="s">
        <v>131</v>
      </c>
      <c r="C5">
        <f>0.6*C4</f>
        <v>15.239999999999998</v>
      </c>
      <c r="D5" t="s">
        <v>132</v>
      </c>
    </row>
    <row r="6" spans="2:4" x14ac:dyDescent="0.25">
      <c r="B6" t="s">
        <v>133</v>
      </c>
      <c r="C6">
        <f>C5*(1+C3)</f>
        <v>15.544799999999999</v>
      </c>
      <c r="D6" t="s">
        <v>132</v>
      </c>
    </row>
    <row r="7" spans="2:4" x14ac:dyDescent="0.25">
      <c r="B7" t="s">
        <v>134</v>
      </c>
      <c r="C7">
        <f>0.032*C4</f>
        <v>0.81279999999999997</v>
      </c>
      <c r="D7" t="s">
        <v>132</v>
      </c>
    </row>
    <row r="8" spans="2:4" x14ac:dyDescent="0.25">
      <c r="B8" t="s">
        <v>135</v>
      </c>
      <c r="C8">
        <f>C7*(1+C3)</f>
        <v>0.82905600000000002</v>
      </c>
      <c r="D8" t="s">
        <v>132</v>
      </c>
    </row>
    <row r="9" spans="2:4" x14ac:dyDescent="0.25">
      <c r="B9" t="s">
        <v>136</v>
      </c>
      <c r="C9">
        <f>0.17*C4</f>
        <v>4.3180000000000005</v>
      </c>
      <c r="D9" t="s">
        <v>132</v>
      </c>
    </row>
    <row r="10" spans="2:4" x14ac:dyDescent="0.25">
      <c r="B10" s="16" t="s">
        <v>39</v>
      </c>
      <c r="C10" s="16">
        <f>C9*(1+C3)</f>
        <v>4.4043600000000005</v>
      </c>
      <c r="D10" s="16" t="s">
        <v>132</v>
      </c>
    </row>
    <row r="11" spans="2:4" x14ac:dyDescent="0.25">
      <c r="B11" s="14" t="s">
        <v>137</v>
      </c>
      <c r="C11" s="14">
        <v>5</v>
      </c>
      <c r="D11" s="14" t="s">
        <v>132</v>
      </c>
    </row>
    <row r="12" spans="2:4" x14ac:dyDescent="0.25">
      <c r="B12" t="s">
        <v>138</v>
      </c>
      <c r="C12">
        <v>5</v>
      </c>
      <c r="D12" t="s">
        <v>132</v>
      </c>
    </row>
    <row r="13" spans="2:4" x14ac:dyDescent="0.25">
      <c r="B13" s="15" t="s">
        <v>139</v>
      </c>
      <c r="C13" s="15">
        <f>C6+(2*C12)</f>
        <v>25.544799999999999</v>
      </c>
      <c r="D13" s="15" t="s">
        <v>132</v>
      </c>
    </row>
    <row r="14" spans="2:4" x14ac:dyDescent="0.25">
      <c r="B14" t="s">
        <v>140</v>
      </c>
      <c r="C14">
        <f>C7+0.2</f>
        <v>1.0127999999999999</v>
      </c>
      <c r="D14" t="s">
        <v>132</v>
      </c>
    </row>
    <row r="15" spans="2:4" x14ac:dyDescent="0.25">
      <c r="B15" t="s">
        <v>141</v>
      </c>
      <c r="C15">
        <f>C8+0.3</f>
        <v>1.1290560000000001</v>
      </c>
      <c r="D15" t="s">
        <v>132</v>
      </c>
    </row>
    <row r="16" spans="2:4" x14ac:dyDescent="0.25">
      <c r="B16" s="15" t="s">
        <v>145</v>
      </c>
      <c r="C16" s="15">
        <v>1.1000000000000001</v>
      </c>
      <c r="D16" s="15" t="s">
        <v>132</v>
      </c>
    </row>
    <row r="17" spans="2:4" x14ac:dyDescent="0.25">
      <c r="B17" t="s">
        <v>142</v>
      </c>
      <c r="C17">
        <f>C16+(2*0.3)</f>
        <v>1.7000000000000002</v>
      </c>
      <c r="D17" t="s">
        <v>132</v>
      </c>
    </row>
    <row r="18" spans="2:4" x14ac:dyDescent="0.25">
      <c r="B18" t="s">
        <v>143</v>
      </c>
      <c r="C18">
        <f>C16+(2*0.5)</f>
        <v>2.1</v>
      </c>
      <c r="D18" t="s">
        <v>132</v>
      </c>
    </row>
    <row r="19" spans="2:4" x14ac:dyDescent="0.25">
      <c r="B19" t="s">
        <v>144</v>
      </c>
      <c r="C19">
        <f>C16+(2*0.7)</f>
        <v>2.5</v>
      </c>
      <c r="D19" t="s">
        <v>132</v>
      </c>
    </row>
    <row r="20" spans="2:4" x14ac:dyDescent="0.25">
      <c r="B20" s="15" t="s">
        <v>146</v>
      </c>
      <c r="C20" s="15">
        <v>2.5</v>
      </c>
      <c r="D20" s="15" t="s">
        <v>132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B1" zoomScale="85" zoomScaleNormal="85" workbookViewId="0">
      <selection activeCell="F23" sqref="F23"/>
    </sheetView>
  </sheetViews>
  <sheetFormatPr defaultRowHeight="15" x14ac:dyDescent="0.25"/>
  <cols>
    <col min="3" max="3" width="36.140625" customWidth="1"/>
  </cols>
  <sheetData>
    <row r="1" spans="1:2" x14ac:dyDescent="0.25">
      <c r="A1" s="87" t="s">
        <v>148</v>
      </c>
      <c r="B1" s="87"/>
    </row>
    <row r="18" spans="3:5" x14ac:dyDescent="0.25">
      <c r="C18" s="88" t="s">
        <v>160</v>
      </c>
      <c r="D18" s="89"/>
      <c r="E18" s="90"/>
    </row>
    <row r="19" spans="3:5" x14ac:dyDescent="0.25">
      <c r="C19" s="17" t="s">
        <v>23</v>
      </c>
      <c r="D19" s="17">
        <v>12</v>
      </c>
      <c r="E19" s="17" t="s">
        <v>132</v>
      </c>
    </row>
    <row r="20" spans="3:5" x14ac:dyDescent="0.25">
      <c r="C20" s="17" t="s">
        <v>149</v>
      </c>
      <c r="D20" s="17">
        <f>D19+0.5</f>
        <v>12.5</v>
      </c>
      <c r="E20" s="17" t="s">
        <v>132</v>
      </c>
    </row>
    <row r="21" spans="3:5" x14ac:dyDescent="0.25">
      <c r="C21" s="17" t="s">
        <v>39</v>
      </c>
      <c r="D21" s="17">
        <v>19.399999999999999</v>
      </c>
      <c r="E21" s="17" t="s">
        <v>132</v>
      </c>
    </row>
    <row r="22" spans="3:5" x14ac:dyDescent="0.25">
      <c r="C22" s="17" t="s">
        <v>147</v>
      </c>
      <c r="D22" s="17">
        <v>7.9</v>
      </c>
      <c r="E22" s="17" t="s">
        <v>132</v>
      </c>
    </row>
    <row r="23" spans="3:5" x14ac:dyDescent="0.25">
      <c r="C23" s="17" t="s">
        <v>134</v>
      </c>
      <c r="D23" s="17">
        <v>0.8</v>
      </c>
      <c r="E23" s="17" t="s">
        <v>132</v>
      </c>
    </row>
    <row r="24" spans="3:5" x14ac:dyDescent="0.25">
      <c r="C24" s="17" t="s">
        <v>140</v>
      </c>
      <c r="D24" s="17">
        <f>D23+0.2</f>
        <v>1</v>
      </c>
      <c r="E24" s="17" t="s">
        <v>132</v>
      </c>
    </row>
    <row r="25" spans="3:5" x14ac:dyDescent="0.25">
      <c r="C25" s="17" t="s">
        <v>141</v>
      </c>
      <c r="D25" s="17">
        <f>D23+0.3</f>
        <v>1.1000000000000001</v>
      </c>
      <c r="E25" s="17" t="s">
        <v>132</v>
      </c>
    </row>
    <row r="26" spans="3:5" x14ac:dyDescent="0.25">
      <c r="C26" s="19" t="s">
        <v>145</v>
      </c>
      <c r="D26" s="19">
        <v>1.1000000000000001</v>
      </c>
      <c r="E26" s="19" t="s">
        <v>132</v>
      </c>
    </row>
    <row r="27" spans="3:5" x14ac:dyDescent="0.25">
      <c r="C27" s="17" t="s">
        <v>142</v>
      </c>
      <c r="D27" s="17">
        <f>D26+(2*0.3)</f>
        <v>1.7000000000000002</v>
      </c>
      <c r="E27" s="17" t="s">
        <v>132</v>
      </c>
    </row>
    <row r="28" spans="3:5" x14ac:dyDescent="0.25">
      <c r="C28" s="17" t="s">
        <v>143</v>
      </c>
      <c r="D28" s="17">
        <f>D26+(2*0.5)</f>
        <v>2.1</v>
      </c>
      <c r="E28" s="17" t="s">
        <v>132</v>
      </c>
    </row>
    <row r="29" spans="3:5" x14ac:dyDescent="0.25">
      <c r="C29" s="17" t="s">
        <v>144</v>
      </c>
      <c r="D29" s="17">
        <f>D26+(2*0.7)</f>
        <v>2.5</v>
      </c>
      <c r="E29" s="17" t="s">
        <v>132</v>
      </c>
    </row>
    <row r="30" spans="3:5" x14ac:dyDescent="0.25">
      <c r="C30" s="19" t="s">
        <v>146</v>
      </c>
      <c r="D30" s="19">
        <v>2.5</v>
      </c>
      <c r="E30" s="19" t="s">
        <v>132</v>
      </c>
    </row>
    <row r="31" spans="3:5" x14ac:dyDescent="0.25">
      <c r="C31" s="17" t="s">
        <v>150</v>
      </c>
      <c r="D31" s="17">
        <v>1</v>
      </c>
      <c r="E31" s="17" t="s">
        <v>132</v>
      </c>
    </row>
    <row r="32" spans="3:5" x14ac:dyDescent="0.25">
      <c r="C32" s="17" t="s">
        <v>151</v>
      </c>
      <c r="D32" s="17">
        <f>CEILING((2*D31)+D21, 1)</f>
        <v>22</v>
      </c>
      <c r="E32" s="17" t="s">
        <v>132</v>
      </c>
    </row>
    <row r="33" spans="3:5" x14ac:dyDescent="0.25">
      <c r="C33" s="17" t="s">
        <v>152</v>
      </c>
      <c r="D33" s="17">
        <f>CEILING((2*D31)+D22, 1)</f>
        <v>10</v>
      </c>
      <c r="E33" s="17" t="s">
        <v>132</v>
      </c>
    </row>
  </sheetData>
  <mergeCells count="2">
    <mergeCell ref="A1:B1"/>
    <mergeCell ref="C18:E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F34" sqref="F34"/>
    </sheetView>
  </sheetViews>
  <sheetFormatPr defaultRowHeight="15" x14ac:dyDescent="0.25"/>
  <cols>
    <col min="2" max="2" width="33.42578125" customWidth="1"/>
  </cols>
  <sheetData>
    <row r="1" spans="1:2" x14ac:dyDescent="0.25">
      <c r="A1" s="87" t="s">
        <v>159</v>
      </c>
      <c r="B1" s="87"/>
    </row>
    <row r="17" spans="1:4" x14ac:dyDescent="0.25">
      <c r="B17" s="88" t="s">
        <v>160</v>
      </c>
      <c r="C17" s="89"/>
      <c r="D17" s="90"/>
    </row>
    <row r="18" spans="1:4" x14ac:dyDescent="0.25">
      <c r="B18" s="17" t="s">
        <v>155</v>
      </c>
      <c r="C18" s="17">
        <v>8</v>
      </c>
      <c r="D18" s="17" t="s">
        <v>132</v>
      </c>
    </row>
    <row r="19" spans="1:4" x14ac:dyDescent="0.25">
      <c r="B19" s="17" t="s">
        <v>156</v>
      </c>
      <c r="C19" s="17">
        <f>C18+0.5</f>
        <v>8.5</v>
      </c>
      <c r="D19" s="17" t="s">
        <v>132</v>
      </c>
    </row>
    <row r="20" spans="1:4" x14ac:dyDescent="0.25">
      <c r="B20" s="17" t="s">
        <v>131</v>
      </c>
      <c r="C20" s="17">
        <v>10</v>
      </c>
      <c r="D20" s="17" t="s">
        <v>132</v>
      </c>
    </row>
    <row r="21" spans="1:4" x14ac:dyDescent="0.25">
      <c r="A21" s="18"/>
      <c r="B21" s="17" t="s">
        <v>133</v>
      </c>
      <c r="C21" s="17">
        <f>C20+2</f>
        <v>12</v>
      </c>
      <c r="D21" s="17" t="s">
        <v>132</v>
      </c>
    </row>
    <row r="22" spans="1:4" x14ac:dyDescent="0.25">
      <c r="B22" s="17" t="s">
        <v>153</v>
      </c>
      <c r="C22" s="17">
        <v>2</v>
      </c>
      <c r="D22" s="17"/>
    </row>
    <row r="23" spans="1:4" x14ac:dyDescent="0.25">
      <c r="B23" s="17" t="s">
        <v>154</v>
      </c>
      <c r="C23" s="17">
        <f>C22+1</f>
        <v>3</v>
      </c>
      <c r="D23" s="17" t="s">
        <v>132</v>
      </c>
    </row>
    <row r="24" spans="1:4" x14ac:dyDescent="0.25">
      <c r="B24" s="17" t="s">
        <v>134</v>
      </c>
      <c r="C24" s="17">
        <v>0.6</v>
      </c>
      <c r="D24" s="17" t="s">
        <v>132</v>
      </c>
    </row>
    <row r="25" spans="1:4" x14ac:dyDescent="0.25">
      <c r="B25" s="17" t="s">
        <v>135</v>
      </c>
      <c r="C25" s="17">
        <f>C24+0.2</f>
        <v>0.8</v>
      </c>
      <c r="D25" s="17" t="s">
        <v>132</v>
      </c>
    </row>
    <row r="26" spans="1:4" x14ac:dyDescent="0.25">
      <c r="B26" s="17" t="s">
        <v>140</v>
      </c>
      <c r="C26" s="17">
        <f>C25+0.2</f>
        <v>1</v>
      </c>
      <c r="D26" s="17" t="s">
        <v>132</v>
      </c>
    </row>
    <row r="27" spans="1:4" x14ac:dyDescent="0.25">
      <c r="B27" s="17" t="s">
        <v>141</v>
      </c>
      <c r="C27" s="17">
        <f>C25+0.3</f>
        <v>1.1000000000000001</v>
      </c>
      <c r="D27" s="17" t="s">
        <v>132</v>
      </c>
    </row>
    <row r="28" spans="1:4" x14ac:dyDescent="0.25">
      <c r="B28" s="19" t="s">
        <v>145</v>
      </c>
      <c r="C28" s="19">
        <v>1</v>
      </c>
      <c r="D28" s="19" t="s">
        <v>132</v>
      </c>
    </row>
    <row r="29" spans="1:4" x14ac:dyDescent="0.25">
      <c r="B29" s="17" t="s">
        <v>142</v>
      </c>
      <c r="C29" s="17">
        <f>C28+(2*0.3)</f>
        <v>1.6</v>
      </c>
      <c r="D29" s="17" t="s">
        <v>132</v>
      </c>
    </row>
    <row r="30" spans="1:4" x14ac:dyDescent="0.25">
      <c r="B30" s="17" t="s">
        <v>143</v>
      </c>
      <c r="C30" s="17">
        <f>C28+(2*0.5)</f>
        <v>2</v>
      </c>
      <c r="D30" s="17" t="s">
        <v>132</v>
      </c>
    </row>
    <row r="31" spans="1:4" x14ac:dyDescent="0.25">
      <c r="B31" s="17" t="s">
        <v>144</v>
      </c>
      <c r="C31" s="17">
        <f>C28+(2*0.7)</f>
        <v>2.4</v>
      </c>
      <c r="D31" s="17" t="s">
        <v>132</v>
      </c>
    </row>
    <row r="32" spans="1:4" x14ac:dyDescent="0.25">
      <c r="B32" s="19" t="s">
        <v>146</v>
      </c>
      <c r="C32" s="19">
        <v>2.4</v>
      </c>
      <c r="D32" s="19" t="s">
        <v>132</v>
      </c>
    </row>
    <row r="33" spans="2:4" x14ac:dyDescent="0.25">
      <c r="B33" s="17" t="s">
        <v>150</v>
      </c>
      <c r="C33" s="17">
        <v>1</v>
      </c>
      <c r="D33" s="17" t="s">
        <v>132</v>
      </c>
    </row>
    <row r="34" spans="2:4" x14ac:dyDescent="0.25">
      <c r="B34" s="17" t="s">
        <v>151</v>
      </c>
      <c r="C34" s="17">
        <f>CEILING((2*C33)+C21, 1)</f>
        <v>14</v>
      </c>
      <c r="D34" s="17" t="s">
        <v>132</v>
      </c>
    </row>
    <row r="35" spans="2:4" x14ac:dyDescent="0.25">
      <c r="B35" s="17" t="s">
        <v>152</v>
      </c>
      <c r="C35" s="17">
        <f>CEILING((2*C33)+C23, 1)</f>
        <v>5</v>
      </c>
      <c r="D35" s="17" t="s">
        <v>132</v>
      </c>
    </row>
    <row r="36" spans="2:4" x14ac:dyDescent="0.25">
      <c r="B36" s="20" t="s">
        <v>157</v>
      </c>
      <c r="C36" s="20">
        <f>C19</f>
        <v>8.5</v>
      </c>
      <c r="D36" s="20" t="s">
        <v>132</v>
      </c>
    </row>
    <row r="37" spans="2:4" x14ac:dyDescent="0.25">
      <c r="B37" s="21" t="s">
        <v>158</v>
      </c>
      <c r="C37" s="21">
        <f>C36-C32</f>
        <v>6.1</v>
      </c>
      <c r="D37" s="21" t="s">
        <v>132</v>
      </c>
    </row>
  </sheetData>
  <mergeCells count="2">
    <mergeCell ref="B17:D17"/>
    <mergeCell ref="A1:B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opLeftCell="A37" workbookViewId="0">
      <selection activeCell="D20" sqref="D20"/>
    </sheetView>
  </sheetViews>
  <sheetFormatPr defaultRowHeight="15" x14ac:dyDescent="0.25"/>
  <cols>
    <col min="2" max="2" width="33.42578125" customWidth="1"/>
  </cols>
  <sheetData>
    <row r="1" spans="1:2" x14ac:dyDescent="0.25">
      <c r="A1" s="87" t="s">
        <v>166</v>
      </c>
      <c r="B1" s="87"/>
    </row>
    <row r="17" spans="1:4" x14ac:dyDescent="0.25">
      <c r="B17" s="88" t="s">
        <v>160</v>
      </c>
      <c r="C17" s="89"/>
      <c r="D17" s="90"/>
    </row>
    <row r="18" spans="1:4" x14ac:dyDescent="0.25">
      <c r="B18" s="17" t="s">
        <v>155</v>
      </c>
      <c r="C18" s="17">
        <v>46</v>
      </c>
      <c r="D18" s="17" t="s">
        <v>132</v>
      </c>
    </row>
    <row r="19" spans="1:4" x14ac:dyDescent="0.25">
      <c r="B19" s="17" t="s">
        <v>156</v>
      </c>
      <c r="C19" s="17">
        <f>C18+0.5</f>
        <v>46.5</v>
      </c>
      <c r="D19" s="17" t="s">
        <v>132</v>
      </c>
    </row>
    <row r="20" spans="1:4" x14ac:dyDescent="0.25">
      <c r="B20" s="17" t="s">
        <v>131</v>
      </c>
      <c r="C20" s="17">
        <v>50</v>
      </c>
      <c r="D20" s="17" t="s">
        <v>132</v>
      </c>
    </row>
    <row r="21" spans="1:4" x14ac:dyDescent="0.25">
      <c r="A21" s="18"/>
      <c r="B21" s="17" t="s">
        <v>133</v>
      </c>
      <c r="C21" s="17">
        <f>C20+2</f>
        <v>52</v>
      </c>
      <c r="D21" s="17" t="s">
        <v>132</v>
      </c>
    </row>
    <row r="22" spans="1:4" x14ac:dyDescent="0.25">
      <c r="B22" s="17" t="s">
        <v>153</v>
      </c>
      <c r="C22" s="17">
        <v>2</v>
      </c>
      <c r="D22" s="17"/>
    </row>
    <row r="23" spans="1:4" x14ac:dyDescent="0.25">
      <c r="B23" s="17" t="s">
        <v>154</v>
      </c>
      <c r="C23" s="17">
        <f>C22+1</f>
        <v>3</v>
      </c>
      <c r="D23" s="17" t="s">
        <v>132</v>
      </c>
    </row>
    <row r="24" spans="1:4" x14ac:dyDescent="0.25">
      <c r="B24" s="17" t="s">
        <v>134</v>
      </c>
      <c r="C24" s="17">
        <v>0.8</v>
      </c>
      <c r="D24" s="17" t="s">
        <v>132</v>
      </c>
    </row>
    <row r="25" spans="1:4" x14ac:dyDescent="0.25">
      <c r="B25" s="17" t="s">
        <v>135</v>
      </c>
      <c r="C25" s="17">
        <f>C24+0.2</f>
        <v>1</v>
      </c>
      <c r="D25" s="17" t="s">
        <v>132</v>
      </c>
    </row>
    <row r="26" spans="1:4" x14ac:dyDescent="0.25">
      <c r="B26" s="17" t="s">
        <v>140</v>
      </c>
      <c r="C26" s="17">
        <f>C25+0.2</f>
        <v>1.2</v>
      </c>
      <c r="D26" s="17" t="s">
        <v>132</v>
      </c>
    </row>
    <row r="27" spans="1:4" x14ac:dyDescent="0.25">
      <c r="B27" s="17" t="s">
        <v>141</v>
      </c>
      <c r="C27" s="17">
        <f>C25+0.3</f>
        <v>1.3</v>
      </c>
      <c r="D27" s="17" t="s">
        <v>132</v>
      </c>
    </row>
    <row r="28" spans="1:4" x14ac:dyDescent="0.25">
      <c r="B28" s="19" t="s">
        <v>145</v>
      </c>
      <c r="C28" s="19">
        <v>1.2</v>
      </c>
      <c r="D28" s="19" t="s">
        <v>132</v>
      </c>
    </row>
    <row r="29" spans="1:4" x14ac:dyDescent="0.25">
      <c r="B29" s="17" t="s">
        <v>142</v>
      </c>
      <c r="C29" s="17">
        <f>C28+(2*0.3)</f>
        <v>1.7999999999999998</v>
      </c>
      <c r="D29" s="17" t="s">
        <v>132</v>
      </c>
    </row>
    <row r="30" spans="1:4" x14ac:dyDescent="0.25">
      <c r="B30" s="17" t="s">
        <v>143</v>
      </c>
      <c r="C30" s="17">
        <f>C28+(2*0.5)</f>
        <v>2.2000000000000002</v>
      </c>
      <c r="D30" s="17" t="s">
        <v>132</v>
      </c>
    </row>
    <row r="31" spans="1:4" x14ac:dyDescent="0.25">
      <c r="B31" s="17" t="s">
        <v>144</v>
      </c>
      <c r="C31" s="17">
        <f>C28+(2*0.7)</f>
        <v>2.5999999999999996</v>
      </c>
      <c r="D31" s="17" t="s">
        <v>132</v>
      </c>
    </row>
    <row r="32" spans="1:4" x14ac:dyDescent="0.25">
      <c r="B32" s="19" t="s">
        <v>146</v>
      </c>
      <c r="C32" s="19">
        <v>2.6</v>
      </c>
      <c r="D32" s="19" t="s">
        <v>132</v>
      </c>
    </row>
    <row r="33" spans="2:4" x14ac:dyDescent="0.25">
      <c r="B33" s="17" t="s">
        <v>150</v>
      </c>
      <c r="C33" s="17">
        <v>1</v>
      </c>
      <c r="D33" s="17" t="s">
        <v>132</v>
      </c>
    </row>
    <row r="34" spans="2:4" x14ac:dyDescent="0.25">
      <c r="B34" s="17" t="s">
        <v>151</v>
      </c>
      <c r="C34" s="17">
        <f>CEILING((2*C33)+C21, 1)</f>
        <v>54</v>
      </c>
      <c r="D34" s="17" t="s">
        <v>132</v>
      </c>
    </row>
    <row r="35" spans="2:4" x14ac:dyDescent="0.25">
      <c r="B35" s="17" t="s">
        <v>152</v>
      </c>
      <c r="C35" s="17">
        <f>CEILING((2*C33)+C23, 1)</f>
        <v>5</v>
      </c>
      <c r="D35" s="17" t="s">
        <v>132</v>
      </c>
    </row>
    <row r="36" spans="2:4" x14ac:dyDescent="0.25">
      <c r="B36" s="20" t="s">
        <v>157</v>
      </c>
      <c r="C36" s="20">
        <f>C19</f>
        <v>46.5</v>
      </c>
      <c r="D36" s="20" t="s">
        <v>132</v>
      </c>
    </row>
    <row r="37" spans="2:4" x14ac:dyDescent="0.25">
      <c r="B37" s="21" t="s">
        <v>158</v>
      </c>
      <c r="C37" s="21">
        <f>C36-C32</f>
        <v>43.9</v>
      </c>
      <c r="D37" s="21" t="s">
        <v>132</v>
      </c>
    </row>
  </sheetData>
  <mergeCells count="2">
    <mergeCell ref="A1:B1"/>
    <mergeCell ref="B17:D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2:U18"/>
  <sheetViews>
    <sheetView topLeftCell="A7" zoomScale="115" zoomScaleNormal="115" workbookViewId="0">
      <selection activeCell="C25" sqref="C25"/>
    </sheetView>
  </sheetViews>
  <sheetFormatPr defaultRowHeight="15" x14ac:dyDescent="0.25"/>
  <sheetData>
    <row r="2" spans="19:20" x14ac:dyDescent="0.25">
      <c r="S2" t="s">
        <v>517</v>
      </c>
      <c r="T2">
        <v>399</v>
      </c>
    </row>
    <row r="3" spans="19:20" x14ac:dyDescent="0.25">
      <c r="S3" t="s">
        <v>530</v>
      </c>
      <c r="T3">
        <v>14000</v>
      </c>
    </row>
    <row r="4" spans="19:20" x14ac:dyDescent="0.25">
      <c r="S4" t="s">
        <v>551</v>
      </c>
      <c r="T4" s="1">
        <v>5.4399999999999996E-6</v>
      </c>
    </row>
    <row r="5" spans="19:20" x14ac:dyDescent="0.25">
      <c r="S5" t="s">
        <v>519</v>
      </c>
      <c r="T5">
        <v>40</v>
      </c>
    </row>
    <row r="6" spans="19:20" x14ac:dyDescent="0.25">
      <c r="S6" t="s">
        <v>520</v>
      </c>
      <c r="T6">
        <v>20</v>
      </c>
    </row>
    <row r="7" spans="19:20" x14ac:dyDescent="0.25">
      <c r="S7" t="s">
        <v>522</v>
      </c>
      <c r="T7">
        <v>1E-4</v>
      </c>
    </row>
    <row r="8" spans="19:20" x14ac:dyDescent="0.25">
      <c r="S8" t="s">
        <v>524</v>
      </c>
      <c r="T8">
        <f>POWER(T4/T7, 0.5)</f>
        <v>0.23323807579381201</v>
      </c>
    </row>
    <row r="9" spans="19:20" x14ac:dyDescent="0.25">
      <c r="S9" t="s">
        <v>523</v>
      </c>
      <c r="T9">
        <v>0.1</v>
      </c>
    </row>
    <row r="10" spans="19:20" x14ac:dyDescent="0.25">
      <c r="S10" t="s">
        <v>553</v>
      </c>
      <c r="T10">
        <f>T9/T12</f>
        <v>2.2471910112359553E-3</v>
      </c>
    </row>
    <row r="11" spans="19:20" x14ac:dyDescent="0.25">
      <c r="S11" t="s">
        <v>518</v>
      </c>
      <c r="T11">
        <f>T9/T12</f>
        <v>2.2471910112359553E-3</v>
      </c>
    </row>
    <row r="12" spans="19:20" x14ac:dyDescent="0.25">
      <c r="S12" t="s">
        <v>521</v>
      </c>
      <c r="T12">
        <v>44.5</v>
      </c>
    </row>
    <row r="13" spans="19:20" x14ac:dyDescent="0.25">
      <c r="S13" t="s">
        <v>547</v>
      </c>
      <c r="T13">
        <f>T6-POWER(POWER((T9-(T11*T12))/T8, 2)+POWER(T6, 2), 0.5)</f>
        <v>0</v>
      </c>
    </row>
    <row r="14" spans="19:20" x14ac:dyDescent="0.25">
      <c r="S14" t="s">
        <v>548</v>
      </c>
      <c r="T14">
        <f>(1/T11)*(T13-T6)</f>
        <v>-8899.9999999999982</v>
      </c>
    </row>
    <row r="15" spans="19:20" x14ac:dyDescent="0.25">
      <c r="S15" t="s">
        <v>549</v>
      </c>
      <c r="T15">
        <f>T13-T14</f>
        <v>8899.9999999999982</v>
      </c>
    </row>
    <row r="16" spans="19:20" x14ac:dyDescent="0.25">
      <c r="S16" t="s">
        <v>550</v>
      </c>
      <c r="T16">
        <f>T5</f>
        <v>40</v>
      </c>
    </row>
    <row r="17" spans="19:21" x14ac:dyDescent="0.25">
      <c r="S17" t="s">
        <v>522</v>
      </c>
      <c r="T17">
        <f>T4*POWER(T5, 2)/POWER(T9-(T3/T2), 2)</f>
        <v>7.1102949277174389E-6</v>
      </c>
    </row>
    <row r="18" spans="19:21" x14ac:dyDescent="0.25">
      <c r="S18" t="s">
        <v>552</v>
      </c>
      <c r="T18" t="str">
        <f>IF(T11&lt;T9/T12, "Decrease V_max by", "Increase V_max by")</f>
        <v>Increase V_max by</v>
      </c>
      <c r="U18">
        <f>T11/(T9/T12)</f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zoomScale="115" zoomScaleNormal="115" workbookViewId="0">
      <selection activeCell="D28" sqref="B3:D28"/>
    </sheetView>
  </sheetViews>
  <sheetFormatPr defaultRowHeight="15" x14ac:dyDescent="0.25"/>
  <cols>
    <col min="2" max="2" width="46.85546875" bestFit="1" customWidth="1"/>
    <col min="4" max="4" width="12" bestFit="1" customWidth="1"/>
  </cols>
  <sheetData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1"/>
  <sheetViews>
    <sheetView workbookViewId="0">
      <selection activeCell="E14" sqref="E14"/>
    </sheetView>
  </sheetViews>
  <sheetFormatPr defaultRowHeight="15" x14ac:dyDescent="0.25"/>
  <sheetData>
    <row r="3" spans="1:5" x14ac:dyDescent="0.25">
      <c r="A3" t="s">
        <v>662</v>
      </c>
      <c r="B3" t="s">
        <v>661</v>
      </c>
      <c r="C3" t="s">
        <v>122</v>
      </c>
      <c r="D3" t="s">
        <v>663</v>
      </c>
    </row>
    <row r="4" spans="1:5" x14ac:dyDescent="0.25">
      <c r="A4" t="s">
        <v>660</v>
      </c>
      <c r="B4" t="s">
        <v>665</v>
      </c>
      <c r="D4">
        <v>12</v>
      </c>
      <c r="E4" t="s">
        <v>672</v>
      </c>
    </row>
    <row r="5" spans="1:5" x14ac:dyDescent="0.25">
      <c r="A5" t="s">
        <v>664</v>
      </c>
      <c r="B5" t="s">
        <v>669</v>
      </c>
      <c r="D5">
        <v>5</v>
      </c>
      <c r="E5" t="s">
        <v>671</v>
      </c>
    </row>
    <row r="6" spans="1:5" x14ac:dyDescent="0.25">
      <c r="A6" t="s">
        <v>666</v>
      </c>
      <c r="B6" t="s">
        <v>668</v>
      </c>
      <c r="D6">
        <v>8</v>
      </c>
      <c r="E6" t="s">
        <v>673</v>
      </c>
    </row>
    <row r="7" spans="1:5" x14ac:dyDescent="0.25">
      <c r="A7" t="s">
        <v>667</v>
      </c>
      <c r="B7" t="s">
        <v>665</v>
      </c>
      <c r="D7">
        <v>4</v>
      </c>
      <c r="E7" t="s">
        <v>670</v>
      </c>
    </row>
    <row r="8" spans="1:5" x14ac:dyDescent="0.25">
      <c r="A8" t="s">
        <v>660</v>
      </c>
      <c r="B8" t="s">
        <v>668</v>
      </c>
      <c r="D8">
        <v>4</v>
      </c>
      <c r="E8" t="s">
        <v>672</v>
      </c>
    </row>
    <row r="9" spans="1:5" x14ac:dyDescent="0.25">
      <c r="A9" t="s">
        <v>666</v>
      </c>
      <c r="B9" t="s">
        <v>675</v>
      </c>
      <c r="D9">
        <v>4</v>
      </c>
      <c r="E9" t="s">
        <v>674</v>
      </c>
    </row>
    <row r="10" spans="1:5" x14ac:dyDescent="0.25">
      <c r="A10" t="s">
        <v>677</v>
      </c>
      <c r="E10" t="s">
        <v>676</v>
      </c>
    </row>
    <row r="11" spans="1:5" x14ac:dyDescent="0.25">
      <c r="A11" t="s">
        <v>664</v>
      </c>
      <c r="B11" t="s">
        <v>678</v>
      </c>
      <c r="D11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Driver And Controller</vt:lpstr>
      <vt:lpstr>Villard Diode PCB Calcs</vt:lpstr>
      <vt:lpstr>Villard Capacitor PCB Calcs</vt:lpstr>
      <vt:lpstr>Villard Capacitor Bleeder Calcs</vt:lpstr>
      <vt:lpstr>Output Series Compsite Resistor</vt:lpstr>
      <vt:lpstr>Regenerative snubber design</vt:lpstr>
      <vt:lpstr>Active Cooling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2024-11-04T21:29:48Z</dcterms:created>
  <dcterms:modified xsi:type="dcterms:W3CDTF">2026-04-27T06:58:38Z</dcterms:modified>
</cp:coreProperties>
</file>